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fileSharing readOnlyRecommended="1"/>
  <workbookPr filterPrivacy="1" codeName="ThisWorkbook" defaultThemeVersion="166925"/>
  <xr:revisionPtr revIDLastSave="69" documentId="8_{5109B266-667E-40FE-A5AB-87F02101402E}" xr6:coauthVersionLast="47" xr6:coauthVersionMax="47" xr10:uidLastSave="{0ECF65DC-9B85-41C9-9637-6CEC83329D2C}"/>
  <workbookProtection lockStructure="1"/>
  <bookViews>
    <workbookView xWindow="-98" yWindow="-98" windowWidth="21795" windowHeight="13875" tabRatio="715" xr2:uid="{658F2685-4DA9-4E8C-B004-273E83FB23AA}"/>
  </bookViews>
  <sheets>
    <sheet name="Cover" sheetId="25" r:id="rId1"/>
    <sheet name="Conceptual Model" sheetId="21" r:id="rId2"/>
    <sheet name="F_Inputs" sheetId="23" r:id="rId3"/>
    <sheet name="Inputs_All" sheetId="4" r:id="rId4"/>
    <sheet name="Difference to PCL" sheetId="5" r:id="rId5"/>
    <sheet name="Percentiles" sheetId="19" r:id="rId6"/>
    <sheet name="Final Output" sheetId="2" r:id="rId7"/>
    <sheet name="F_Outputs" sheetId="9" r:id="rId8"/>
  </sheets>
  <definedNames>
    <definedName name="____net1" localSheetId="0" hidden="1">{"NET",#N/A,FALSE,"401C11"}</definedName>
    <definedName name="____net1" hidden="1">{"NET",#N/A,FALSE,"401C11"}</definedName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X" localSheetId="0" hidden="1">#REF!</definedName>
    <definedName name="__123Graph_X" hidden="1">#REF!</definedName>
    <definedName name="__net1" localSheetId="0" hidden="1">{"NET",#N/A,FALSE,"401C11"}</definedName>
    <definedName name="__net1" hidden="1">{"NET",#N/A,FALSE,"401C11"}</definedName>
    <definedName name="_1_0__123Grap" localSheetId="0" hidden="1">#REF!</definedName>
    <definedName name="_1_0__123Grap" hidden="1">#REF!</definedName>
    <definedName name="_1_123Grap" localSheetId="0" hidden="1">#REF!</definedName>
    <definedName name="_1_123Grap" hidden="1">#REF!</definedName>
    <definedName name="_123Graph_F" localSheetId="0" hidden="1">#REF!</definedName>
    <definedName name="_123Graph_F" hidden="1">#REF!</definedName>
    <definedName name="_2_0__123Grap" localSheetId="0" hidden="1">#REF!</definedName>
    <definedName name="_2_0__123Grap" hidden="1">#REF!</definedName>
    <definedName name="_2_123Grap" localSheetId="0" hidden="1">#REF!</definedName>
    <definedName name="_2_123Grap" hidden="1">#REF!</definedName>
    <definedName name="_3_0_S" localSheetId="0" hidden="1">#REF!</definedName>
    <definedName name="_3_0_S" hidden="1">#REF!</definedName>
    <definedName name="_3_123Grap" localSheetId="0" hidden="1">#REF!</definedName>
    <definedName name="_3_123Grap" hidden="1">#REF!</definedName>
    <definedName name="_34_123Grap" localSheetId="0" hidden="1">#REF!</definedName>
    <definedName name="_34_123Grap" hidden="1">#REF!</definedName>
    <definedName name="_42S" localSheetId="0" hidden="1">#REF!</definedName>
    <definedName name="_42S" hidden="1">#REF!</definedName>
    <definedName name="_4S" localSheetId="0" hidden="1">#REF!</definedName>
    <definedName name="_4S" hidden="1">#REF!</definedName>
    <definedName name="_5_0__123Grap" localSheetId="0" hidden="1">#REF!</definedName>
    <definedName name="_5_0__123Grap" hidden="1">#REF!</definedName>
    <definedName name="_6_0_S" localSheetId="0" hidden="1">#REF!</definedName>
    <definedName name="_6_0_S" hidden="1">#REF!</definedName>
    <definedName name="_6_123Grap" localSheetId="0" hidden="1">#REF!</definedName>
    <definedName name="_6_123Grap" hidden="1">#REF!</definedName>
    <definedName name="_8_123Grap" localSheetId="0" hidden="1">#REF!</definedName>
    <definedName name="_8_123Grap" hidden="1">#REF!</definedName>
    <definedName name="_8S" localSheetId="0" hidden="1">#REF!</definedName>
    <definedName name="_8S" hidden="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OptionCustomItemsCount">0</definedName>
    <definedName name="_AtRisk_SimSetting_ReportOptionDataMode">1</definedName>
    <definedName name="_AtRisk_SimSetting_ReportOptionReportMultiSimType">1</definedName>
    <definedName name="_AtRisk_SimSetting_ReportOptionReportPlacement">1</definedName>
    <definedName name="_AtRisk_SimSetting_ReportOptionReportSelection">257</definedName>
    <definedName name="_AtRisk_SimSetting_ReportOptionReportsFileType">1</definedName>
    <definedName name="_AtRisk_SimSetting_ReportOptionSelectiveQR">FALSE</definedName>
    <definedName name="_AtRisk_SimSetting_ReportsList">257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_Dist_Values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net1" localSheetId="0" hidden="1">{"NET",#N/A,FALSE,"401C11"}</definedName>
    <definedName name="_net1" hidden="1">{"NET",#N/A,FALSE,"401C11"}</definedName>
    <definedName name="_Order1">255</definedName>
    <definedName name="_Order2">255</definedName>
    <definedName name="_Sort" localSheetId="0" hidden="1">#REF!</definedName>
    <definedName name="_Sort" hidden="1">#REF!</definedName>
    <definedName name="a" localSheetId="0" hidden="1">{"CHARGE",#N/A,FALSE,"401C11"}</definedName>
    <definedName name="a" hidden="1">{"CHARGE",#N/A,FALSE,"401C11"}</definedName>
    <definedName name="aa" localSheetId="0" hidden="1">{"CHARGE",#N/A,FALSE,"401C11"}</definedName>
    <definedName name="aa" hidden="1">{"CHARGE",#N/A,FALSE,"401C11"}</definedName>
    <definedName name="aaa" localSheetId="0" hidden="1">{"CHARGE",#N/A,FALSE,"401C11"}</definedName>
    <definedName name="aaa" hidden="1">{"CHARGE",#N/A,FALSE,"401C11"}</definedName>
    <definedName name="aaaa" localSheetId="0" hidden="1">{"CHARGE",#N/A,FALSE,"401C11"}</definedName>
    <definedName name="aaaa" hidden="1">{"CHARGE",#N/A,FALSE,"401C11"}</definedName>
    <definedName name="abc" localSheetId="0" hidden="1">{"NET",#N/A,FALSE,"401C11"}</definedName>
    <definedName name="abc" hidden="1">{"NET",#N/A,FALSE,"401C11"}</definedName>
    <definedName name="adbr" localSheetId="0" hidden="1">{"CHARGE",#N/A,FALSE,"401C11"}</definedName>
    <definedName name="adbr" hidden="1">{"CHARGE",#N/A,FALSE,"401C11"}</definedName>
    <definedName name="b" localSheetId="0" hidden="1">{"CHARGE",#N/A,FALSE,"401C11"}</definedName>
    <definedName name="b" hidden="1">{"CHARGE",#N/A,FALSE,"401C11"}</definedName>
    <definedName name="BMGHIndex" hidden="1">"O"</definedName>
    <definedName name="change1" localSheetId="0" hidden="1">{"CHARGE",#N/A,FALSE,"401C11"}</definedName>
    <definedName name="change1" hidden="1">{"CHARGE",#N/A,FALSE,"401C11"}</definedName>
    <definedName name="charge" localSheetId="0" hidden="1">{"CHARGE",#N/A,FALSE,"401C11"}</definedName>
    <definedName name="charge" hidden="1">{"CHARGE",#N/A,FALSE,"401C11"}</definedName>
    <definedName name="da" localSheetId="0" hidden="1">#REF!</definedName>
    <definedName name="da" hidden="1">#REF!</definedName>
    <definedName name="dog" localSheetId="0" hidden="1">{"NET",#N/A,FALSE,"401C11"}</definedName>
    <definedName name="dog" hidden="1">{"NET",#N/A,FALSE,"401C11"}</definedName>
    <definedName name="EV__LASTREFTIME__" hidden="1">40339.4799074074</definedName>
    <definedName name="Expired" hidden="1">FALSE</definedName>
    <definedName name="F">{"bal",#N/A,FALSE,"working papers";"income",#N/A,FALSE,"working papers"}</definedName>
    <definedName name="fdraf">{"bal",#N/A,FALSE,"working papers";"income",#N/A,FALSE,"working papers"}</definedName>
    <definedName name="Fdraft">{"bal",#N/A,FALSE,"working papers";"income",#N/A,FALSE,"working papers"}</definedName>
    <definedName name="Foutput" localSheetId="0" hidden="1">#REF!</definedName>
    <definedName name="Foutput" hidden="1">#REF!</definedName>
    <definedName name="fsdfffd" localSheetId="0" hidden="1">#REF!</definedName>
    <definedName name="fsdfffd" hidden="1">#REF!</definedName>
    <definedName name="fsdfsd" localSheetId="0" hidden="1">#REF!</definedName>
    <definedName name="fsdfsd" hidden="1">#REF!</definedName>
    <definedName name="fsfds" localSheetId="0" hidden="1">#REF!</definedName>
    <definedName name="fsfds" hidden="1">#REF!</definedName>
    <definedName name="fsfsd" localSheetId="0" hidden="1">#REF!</definedName>
    <definedName name="fsfsd" hidden="1">#REF!</definedName>
    <definedName name="gfff" localSheetId="0" hidden="1">{"CHARGE",#N/A,FALSE,"401C11"}</definedName>
    <definedName name="gfff" hidden="1">{"CHARGE",#N/A,FALSE,"401C11"}</definedName>
    <definedName name="gross" localSheetId="0" hidden="1">{"GROSS",#N/A,FALSE,"401C11"}</definedName>
    <definedName name="gross" hidden="1">{"GROSS",#N/A,FALSE,"401C11"}</definedName>
    <definedName name="gross1" localSheetId="0" hidden="1">{"GROSS",#N/A,FALSE,"401C11"}</definedName>
    <definedName name="gross1" hidden="1">{"GROSS",#N/A,FALSE,"401C11"}</definedName>
    <definedName name="hasdfjklhklj" localSheetId="0" hidden="1">{"NET",#N/A,FALSE,"401C11"}</definedName>
    <definedName name="hasdfjklhklj" hidden="1">{"NET",#N/A,FALSE,"401C11"}</definedName>
    <definedName name="help" localSheetId="0" hidden="1">{"CHARGE",#N/A,FALSE,"401C11"}</definedName>
    <definedName name="help" hidden="1">{"CHARGE",#N/A,FALSE,"401C11"}</definedName>
    <definedName name="hghghhj" localSheetId="0" hidden="1">{"CHARGE",#N/A,FALSE,"401C11"}</definedName>
    <definedName name="hghghhj" hidden="1">{"CHARGE",#N/A,FALSE,"401C11"}</definedName>
    <definedName name="HTML_CodePage" hidden="1">1252</definedName>
    <definedName name="HTML_Control" localSheetId="0" hidden="1">{"'Trust by name'!$A$6:$E$350","'Trust by name'!$A$1:$D$348"}</definedName>
    <definedName name="HTML_Control" hidden="1">{"'Trust by name'!$A$6:$E$350","'Trust by name'!$A$1:$D$348"}</definedName>
    <definedName name="HTML_Description" hidden="1">""</definedName>
    <definedName name="HTML_Email" hidden="1">""</definedName>
    <definedName name="HTML_Header" hidden="1">"Trust by name"</definedName>
    <definedName name="HTML_LastUpdate" hidden="1">"22/03/2001"</definedName>
    <definedName name="HTML_LineAfter" hidden="1">FALSE</definedName>
    <definedName name="HTML_LineBefore" hidden="1">FALSE</definedName>
    <definedName name="HTML_Name" hidden="1">"OISIII"</definedName>
    <definedName name="HTML_OBDlg2" hidden="1">TRUE</definedName>
    <definedName name="HTML_OBDlg4" hidden="1">TRUE</definedName>
    <definedName name="HTML_OS" hidden="1">0</definedName>
    <definedName name="HTML_PathFile" hidden="1">"G:\ACTIVITY\HELP\DTPANIC\2001-02\MyHTML.htm"</definedName>
    <definedName name="HTML_Title" hidden="1">"Section 1"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EXPENSE_CODE_">80019595006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41366.3748958333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JFELL" localSheetId="0" hidden="1">#REF!</definedName>
    <definedName name="JFELL" hidden="1">#REF!</definedName>
    <definedName name="new" localSheetId="0" hidden="1">{"bal",#N/A,FALSE,"working papers";"income",#N/A,FALSE,"working papers"}</definedName>
    <definedName name="new" hidden="1">{"bal",#N/A,FALSE,"working papers";"income",#N/A,FALSE,"working papers"}</definedName>
    <definedName name="OISIII" localSheetId="0" hidden="1">#REF!</definedName>
    <definedName name="OISIII" hidden="1">#REF!</definedName>
    <definedName name="qfx" localSheetId="0" hidden="1">{"NET",#N/A,FALSE,"401C11"}</definedName>
    <definedName name="qfx" hidden="1">{"NET",#N/A,FALSE,"401C11"}</definedName>
    <definedName name="qwefqefa" localSheetId="0" hidden="1">#REF!</definedName>
    <definedName name="qwefqefa" hidden="1">#REF!</definedName>
    <definedName name="real" localSheetId="0" hidden="1">#REF!</definedName>
    <definedName name="real" hidden="1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2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ytry" localSheetId="0" hidden="1">{"NET",#N/A,FALSE,"401C11"}</definedName>
    <definedName name="rytry" hidden="1">{"NET",#N/A,FALSE,"401C11"}</definedName>
    <definedName name="SAPBEXrevision">1</definedName>
    <definedName name="SAPBEXsysID">"BWB"</definedName>
    <definedName name="SAPBEXwbID">"49ZLUKBQR0WG29D9LLI3IBIIT"</definedName>
    <definedName name="sort" localSheetId="0" hidden="1">#REF!</definedName>
    <definedName name="sort" hidden="1">#REF!</definedName>
    <definedName name="Table3.4" localSheetId="0" hidden="1">{"CHARGE",#N/A,FALSE,"401C11"}</definedName>
    <definedName name="Table3.4" hidden="1">{"CHARGE",#N/A,FALSE,"401C11"}</definedName>
    <definedName name="Test23" localSheetId="0" hidden="1">{"NET",#N/A,FALSE,"401C11"}</definedName>
    <definedName name="Test23" hidden="1">{"NET",#N/A,FALSE,"401C11"}</definedName>
    <definedName name="trdhtr" localSheetId="0" hidden="1">#REF!</definedName>
    <definedName name="trdhtr" hidden="1">#REF!</definedName>
    <definedName name="wert" localSheetId="0" hidden="1">{"GROSS",#N/A,FALSE,"401C11"}</definedName>
    <definedName name="wert" hidden="1">{"GROSS",#N/A,FALSE,"401C11"}</definedName>
    <definedName name="wombat" localSheetId="0" hidden="1">#REF!</definedName>
    <definedName name="wombat" hidden="1">#REF!</definedName>
    <definedName name="wotsthis" localSheetId="0" hidden="1">{"P&amp;L phased",#N/A,FALSE,"P and L";"Interest phased",#N/A,FALSE,"Interest";"Cshf phased",#N/A,FALSE,"Cashflow";"BSheet phased",#N/A,FALSE,"B Sheet";"Capex phased",#N/A,FALSE,"Capex"}</definedName>
    <definedName name="wotsthis" hidden="1">{"P&amp;L phased",#N/A,FALSE,"P and L";"Interest phased",#N/A,FALSE,"Interest";"Cshf phased",#N/A,FALSE,"Cashflow";"BSheet phased",#N/A,FALSE,"B Sheet";"Capex phased",#N/A,FALSE,"Capex"}</definedName>
    <definedName name="wrn.CHARGE." localSheetId="0" hidden="1">{"CHARGE",#N/A,FALSE,"401C11"}</definedName>
    <definedName name="wrn.CHARGE." hidden="1">{"CHARGE",#N/A,FALSE,"401C11"}</definedName>
    <definedName name="wrn.GROSS." localSheetId="0" hidden="1">{"GROSS",#N/A,FALSE,"401C11"}</definedName>
    <definedName name="wrn.GROSS." hidden="1">{"GROSS",#N/A,FALSE,"401C11"}</definedName>
    <definedName name="wrn.NET." localSheetId="0" hidden="1">{"NET",#N/A,FALSE,"401C11"}</definedName>
    <definedName name="wrn.NET." hidden="1">{"NET",#N/A,FALSE,"401C11"}</definedName>
    <definedName name="wrn.papersdraft">{"bal",#N/A,FALSE,"working papers";"income",#N/A,FALSE,"working papers"}</definedName>
    <definedName name="wrn.Print._.5._.and._.12." localSheetId="0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5._.and._.12.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Phased." localSheetId="0" hidden="1">{"P&amp;L phased",#N/A,FALSE,"P and L";"Interest phased",#N/A,FALSE,"Interest";"Cshf phased",#N/A,FALSE,"Cashflow";"BSheet phased",#N/A,FALSE,"B Sheet";"Capex phased",#N/A,FALSE,"Capex"}</definedName>
    <definedName name="wrn.Print._.Phased." hidden="1">{"P&amp;L phased",#N/A,FALSE,"P and L";"Interest phased",#N/A,FALSE,"Interest";"Cshf phased",#N/A,FALSE,"Cashflow";"BSheet phased",#N/A,FALSE,"B Sheet";"Capex phased",#N/A,FALSE,"Capex"}</definedName>
    <definedName name="wrn.wpapers.">{"bal",#N/A,FALSE,"working papers";"income",#N/A,FALSE,"working papers"}</definedName>
    <definedName name="xxx" localSheetId="0" hidden="1">{"CHARGE",#N/A,FALSE,"401C11"}</definedName>
    <definedName name="xxx" hidden="1">{"CHARGE",#N/A,FALSE,"401C11"}</definedName>
    <definedName name="yyy" localSheetId="0" hidden="1">{"GROSS",#N/A,FALSE,"401C11"}</definedName>
    <definedName name="yyy" hidden="1">{"GROSS",#N/A,FALSE,"401C11"}</definedName>
    <definedName name="zzz" localSheetId="0" hidden="1">{"NET",#N/A,FALSE,"401C11"}</definedName>
    <definedName name="zzz" hidden="1">{"NET",#N/A,FALSE,"401C11"}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5" l="1"/>
  <c r="C7" i="25"/>
  <c r="F342" i="9"/>
  <c r="F341" i="9"/>
  <c r="F340" i="9"/>
  <c r="F321" i="9"/>
  <c r="F320" i="9"/>
  <c r="F319" i="9"/>
  <c r="F300" i="9"/>
  <c r="F299" i="9"/>
  <c r="F298" i="9"/>
  <c r="F279" i="9"/>
  <c r="F278" i="9"/>
  <c r="F277" i="9"/>
  <c r="F258" i="9"/>
  <c r="F257" i="9"/>
  <c r="F256" i="9"/>
  <c r="F237" i="9"/>
  <c r="F236" i="9"/>
  <c r="F235" i="9"/>
  <c r="F216" i="9"/>
  <c r="F215" i="9"/>
  <c r="F214" i="9"/>
  <c r="F195" i="9"/>
  <c r="F194" i="9"/>
  <c r="F193" i="9"/>
  <c r="F174" i="9"/>
  <c r="F173" i="9"/>
  <c r="F172" i="9"/>
  <c r="F153" i="9"/>
  <c r="F152" i="9"/>
  <c r="F151" i="9"/>
  <c r="F132" i="9"/>
  <c r="F131" i="9"/>
  <c r="F130" i="9"/>
  <c r="F111" i="9"/>
  <c r="F110" i="9"/>
  <c r="F109" i="9"/>
  <c r="F90" i="9"/>
  <c r="F89" i="9"/>
  <c r="F88" i="9"/>
  <c r="F69" i="9"/>
  <c r="F68" i="9"/>
  <c r="F67" i="9"/>
  <c r="F48" i="9"/>
  <c r="F47" i="9"/>
  <c r="F46" i="9"/>
  <c r="F27" i="9"/>
  <c r="F26" i="9"/>
  <c r="F25" i="9"/>
  <c r="F6" i="9"/>
  <c r="F5" i="9"/>
  <c r="F4" i="9"/>
  <c r="A1" i="2"/>
  <c r="S24" i="19"/>
  <c r="R24" i="19"/>
  <c r="Q23" i="19"/>
  <c r="P23" i="19"/>
  <c r="O23" i="19"/>
  <c r="V14" i="19"/>
  <c r="V13" i="19"/>
  <c r="V10" i="19"/>
  <c r="A1" i="19"/>
  <c r="J69" i="5"/>
  <c r="K25" i="19" s="1"/>
  <c r="U68" i="5"/>
  <c r="V24" i="19" s="1"/>
  <c r="J68" i="5"/>
  <c r="K24" i="19" s="1"/>
  <c r="J67" i="5"/>
  <c r="K23" i="19" s="1"/>
  <c r="U66" i="5"/>
  <c r="V22" i="19" s="1"/>
  <c r="T66" i="5"/>
  <c r="U22" i="19" s="1"/>
  <c r="S66" i="5"/>
  <c r="T22" i="19" s="1"/>
  <c r="J66" i="5"/>
  <c r="K22" i="19" s="1"/>
  <c r="U65" i="5"/>
  <c r="V21" i="19" s="1"/>
  <c r="T65" i="5"/>
  <c r="U21" i="19" s="1"/>
  <c r="S65" i="5"/>
  <c r="T21" i="19" s="1"/>
  <c r="R65" i="5"/>
  <c r="S21" i="19" s="1"/>
  <c r="Q65" i="5"/>
  <c r="R21" i="19" s="1"/>
  <c r="P65" i="5"/>
  <c r="Q21" i="19" s="1"/>
  <c r="O65" i="5"/>
  <c r="P21" i="19" s="1"/>
  <c r="T64" i="5"/>
  <c r="U20" i="19" s="1"/>
  <c r="S64" i="5"/>
  <c r="T20" i="19" s="1"/>
  <c r="J64" i="5"/>
  <c r="K20" i="19" s="1"/>
  <c r="U63" i="5"/>
  <c r="V19" i="19" s="1"/>
  <c r="J63" i="5"/>
  <c r="K19" i="19" s="1"/>
  <c r="P62" i="5"/>
  <c r="Q18" i="19" s="1"/>
  <c r="O62" i="5"/>
  <c r="P18" i="19" s="1"/>
  <c r="J62" i="5"/>
  <c r="K18" i="19" s="1"/>
  <c r="U61" i="5"/>
  <c r="V17" i="19" s="1"/>
  <c r="J61" i="5"/>
  <c r="K17" i="19" s="1"/>
  <c r="U60" i="5"/>
  <c r="V16" i="19" s="1"/>
  <c r="J60" i="5"/>
  <c r="K16" i="19" s="1"/>
  <c r="U59" i="5"/>
  <c r="V15" i="19" s="1"/>
  <c r="T59" i="5"/>
  <c r="U15" i="19" s="1"/>
  <c r="J58" i="5"/>
  <c r="K14" i="19" s="1"/>
  <c r="P57" i="5"/>
  <c r="Q13" i="19" s="1"/>
  <c r="O57" i="5"/>
  <c r="P13" i="19" s="1"/>
  <c r="J56" i="5"/>
  <c r="K12" i="19" s="1"/>
  <c r="U55" i="5"/>
  <c r="V11" i="19" s="1"/>
  <c r="T55" i="5"/>
  <c r="U11" i="19" s="1"/>
  <c r="S55" i="5"/>
  <c r="T11" i="19" s="1"/>
  <c r="R55" i="5"/>
  <c r="S11" i="19" s="1"/>
  <c r="Q55" i="5"/>
  <c r="R11" i="19" s="1"/>
  <c r="J55" i="5"/>
  <c r="K11" i="19" s="1"/>
  <c r="J54" i="5"/>
  <c r="K10" i="19" s="1"/>
  <c r="U53" i="5"/>
  <c r="V9" i="19" s="1"/>
  <c r="T53" i="5"/>
  <c r="U9" i="19" s="1"/>
  <c r="Q53" i="5"/>
  <c r="R9" i="19" s="1"/>
  <c r="P53" i="5"/>
  <c r="Q9" i="19" s="1"/>
  <c r="U49" i="5"/>
  <c r="U69" i="5" s="1"/>
  <c r="V25" i="19" s="1"/>
  <c r="T49" i="5"/>
  <c r="T69" i="5" s="1"/>
  <c r="U25" i="19" s="1"/>
  <c r="S49" i="5"/>
  <c r="S69" i="5" s="1"/>
  <c r="T25" i="19" s="1"/>
  <c r="R49" i="5"/>
  <c r="R69" i="5" s="1"/>
  <c r="S25" i="19" s="1"/>
  <c r="Q49" i="5"/>
  <c r="Q69" i="5" s="1"/>
  <c r="R25" i="19" s="1"/>
  <c r="P49" i="5"/>
  <c r="P69" i="5" s="1"/>
  <c r="Q25" i="19" s="1"/>
  <c r="O49" i="5"/>
  <c r="O69" i="5" s="1"/>
  <c r="P25" i="19" s="1"/>
  <c r="N49" i="5"/>
  <c r="N69" i="5" s="1"/>
  <c r="O25" i="19" s="1"/>
  <c r="M49" i="5"/>
  <c r="M69" i="5" s="1"/>
  <c r="N25" i="19" s="1"/>
  <c r="L49" i="5"/>
  <c r="L69" i="5" s="1"/>
  <c r="M25" i="19" s="1"/>
  <c r="K49" i="5"/>
  <c r="K69" i="5" s="1"/>
  <c r="L25" i="19" s="1"/>
  <c r="J49" i="5"/>
  <c r="U48" i="5"/>
  <c r="T48" i="5"/>
  <c r="T68" i="5" s="1"/>
  <c r="U24" i="19" s="1"/>
  <c r="S48" i="5"/>
  <c r="S68" i="5" s="1"/>
  <c r="T24" i="19" s="1"/>
  <c r="R48" i="5"/>
  <c r="R68" i="5" s="1"/>
  <c r="Q48" i="5"/>
  <c r="Q68" i="5" s="1"/>
  <c r="P48" i="5"/>
  <c r="P68" i="5" s="1"/>
  <c r="Q24" i="19" s="1"/>
  <c r="O48" i="5"/>
  <c r="O68" i="5" s="1"/>
  <c r="P24" i="19" s="1"/>
  <c r="N48" i="5"/>
  <c r="N68" i="5" s="1"/>
  <c r="O24" i="19" s="1"/>
  <c r="M48" i="5"/>
  <c r="M68" i="5" s="1"/>
  <c r="N24" i="19" s="1"/>
  <c r="L48" i="5"/>
  <c r="L68" i="5" s="1"/>
  <c r="M24" i="19" s="1"/>
  <c r="K48" i="5"/>
  <c r="K68" i="5" s="1"/>
  <c r="L24" i="19" s="1"/>
  <c r="J48" i="5"/>
  <c r="U47" i="5"/>
  <c r="U67" i="5" s="1"/>
  <c r="V23" i="19" s="1"/>
  <c r="T47" i="5"/>
  <c r="T67" i="5" s="1"/>
  <c r="U23" i="19" s="1"/>
  <c r="S47" i="5"/>
  <c r="S67" i="5" s="1"/>
  <c r="T23" i="19" s="1"/>
  <c r="R47" i="5"/>
  <c r="R67" i="5" s="1"/>
  <c r="S23" i="19" s="1"/>
  <c r="Q47" i="5"/>
  <c r="Q67" i="5" s="1"/>
  <c r="R23" i="19" s="1"/>
  <c r="P47" i="5"/>
  <c r="P67" i="5" s="1"/>
  <c r="O47" i="5"/>
  <c r="O67" i="5" s="1"/>
  <c r="N47" i="5"/>
  <c r="N67" i="5" s="1"/>
  <c r="M47" i="5"/>
  <c r="M67" i="5" s="1"/>
  <c r="N23" i="19" s="1"/>
  <c r="L47" i="5"/>
  <c r="L67" i="5" s="1"/>
  <c r="M23" i="19" s="1"/>
  <c r="K47" i="5"/>
  <c r="K67" i="5" s="1"/>
  <c r="L23" i="19" s="1"/>
  <c r="J47" i="5"/>
  <c r="U46" i="5"/>
  <c r="T46" i="5"/>
  <c r="S46" i="5"/>
  <c r="R46" i="5"/>
  <c r="R66" i="5" s="1"/>
  <c r="S22" i="19" s="1"/>
  <c r="Q46" i="5"/>
  <c r="Q66" i="5" s="1"/>
  <c r="R22" i="19" s="1"/>
  <c r="P46" i="5"/>
  <c r="P66" i="5" s="1"/>
  <c r="Q22" i="19" s="1"/>
  <c r="O46" i="5"/>
  <c r="O66" i="5" s="1"/>
  <c r="P22" i="19" s="1"/>
  <c r="N46" i="5"/>
  <c r="N66" i="5" s="1"/>
  <c r="O22" i="19" s="1"/>
  <c r="M46" i="5"/>
  <c r="M66" i="5" s="1"/>
  <c r="N22" i="19" s="1"/>
  <c r="L46" i="5"/>
  <c r="L66" i="5" s="1"/>
  <c r="M22" i="19" s="1"/>
  <c r="K46" i="5"/>
  <c r="K66" i="5" s="1"/>
  <c r="L22" i="19" s="1"/>
  <c r="J46" i="5"/>
  <c r="U45" i="5"/>
  <c r="T45" i="5"/>
  <c r="S45" i="5"/>
  <c r="R45" i="5"/>
  <c r="Q45" i="5"/>
  <c r="P45" i="5"/>
  <c r="O45" i="5"/>
  <c r="N45" i="5"/>
  <c r="N65" i="5" s="1"/>
  <c r="O21" i="19" s="1"/>
  <c r="M45" i="5"/>
  <c r="M65" i="5" s="1"/>
  <c r="N21" i="19" s="1"/>
  <c r="L45" i="5"/>
  <c r="L65" i="5" s="1"/>
  <c r="M21" i="19" s="1"/>
  <c r="K45" i="5"/>
  <c r="K65" i="5" s="1"/>
  <c r="L21" i="19" s="1"/>
  <c r="J45" i="5"/>
  <c r="J65" i="5" s="1"/>
  <c r="K21" i="19" s="1"/>
  <c r="U44" i="5"/>
  <c r="U64" i="5" s="1"/>
  <c r="V20" i="19" s="1"/>
  <c r="T44" i="5"/>
  <c r="S44" i="5"/>
  <c r="R44" i="5"/>
  <c r="R64" i="5" s="1"/>
  <c r="S20" i="19" s="1"/>
  <c r="Q44" i="5"/>
  <c r="Q64" i="5" s="1"/>
  <c r="R20" i="19" s="1"/>
  <c r="P44" i="5"/>
  <c r="P64" i="5" s="1"/>
  <c r="Q20" i="19" s="1"/>
  <c r="O44" i="5"/>
  <c r="O64" i="5" s="1"/>
  <c r="P20" i="19" s="1"/>
  <c r="N44" i="5"/>
  <c r="N64" i="5" s="1"/>
  <c r="O20" i="19" s="1"/>
  <c r="M44" i="5"/>
  <c r="M64" i="5" s="1"/>
  <c r="N20" i="19" s="1"/>
  <c r="L44" i="5"/>
  <c r="L64" i="5" s="1"/>
  <c r="M20" i="19" s="1"/>
  <c r="K44" i="5"/>
  <c r="K64" i="5" s="1"/>
  <c r="L20" i="19" s="1"/>
  <c r="J44" i="5"/>
  <c r="U43" i="5"/>
  <c r="T43" i="5"/>
  <c r="T63" i="5" s="1"/>
  <c r="U19" i="19" s="1"/>
  <c r="S43" i="5"/>
  <c r="S63" i="5" s="1"/>
  <c r="T19" i="19" s="1"/>
  <c r="R43" i="5"/>
  <c r="R63" i="5" s="1"/>
  <c r="S19" i="19" s="1"/>
  <c r="Q43" i="5"/>
  <c r="Q63" i="5" s="1"/>
  <c r="R19" i="19" s="1"/>
  <c r="P43" i="5"/>
  <c r="P63" i="5" s="1"/>
  <c r="Q19" i="19" s="1"/>
  <c r="O43" i="5"/>
  <c r="O63" i="5" s="1"/>
  <c r="P19" i="19" s="1"/>
  <c r="N43" i="5"/>
  <c r="N63" i="5" s="1"/>
  <c r="O19" i="19" s="1"/>
  <c r="M43" i="5"/>
  <c r="M63" i="5" s="1"/>
  <c r="N19" i="19" s="1"/>
  <c r="L43" i="5"/>
  <c r="L63" i="5" s="1"/>
  <c r="M19" i="19" s="1"/>
  <c r="K43" i="5"/>
  <c r="K63" i="5" s="1"/>
  <c r="L19" i="19" s="1"/>
  <c r="J43" i="5"/>
  <c r="U42" i="5"/>
  <c r="U62" i="5" s="1"/>
  <c r="V18" i="19" s="1"/>
  <c r="T42" i="5"/>
  <c r="T62" i="5" s="1"/>
  <c r="U18" i="19" s="1"/>
  <c r="S42" i="5"/>
  <c r="S62" i="5" s="1"/>
  <c r="T18" i="19" s="1"/>
  <c r="R42" i="5"/>
  <c r="R62" i="5" s="1"/>
  <c r="S18" i="19" s="1"/>
  <c r="Q42" i="5"/>
  <c r="Q62" i="5" s="1"/>
  <c r="R18" i="19" s="1"/>
  <c r="P42" i="5"/>
  <c r="O42" i="5"/>
  <c r="N42" i="5"/>
  <c r="N62" i="5" s="1"/>
  <c r="O18" i="19" s="1"/>
  <c r="M42" i="5"/>
  <c r="M62" i="5" s="1"/>
  <c r="N18" i="19" s="1"/>
  <c r="L42" i="5"/>
  <c r="L62" i="5" s="1"/>
  <c r="M18" i="19" s="1"/>
  <c r="K42" i="5"/>
  <c r="K62" i="5" s="1"/>
  <c r="L18" i="19" s="1"/>
  <c r="J42" i="5"/>
  <c r="U41" i="5"/>
  <c r="T41" i="5"/>
  <c r="T61" i="5" s="1"/>
  <c r="U17" i="19" s="1"/>
  <c r="S41" i="5"/>
  <c r="S61" i="5" s="1"/>
  <c r="T17" i="19" s="1"/>
  <c r="R41" i="5"/>
  <c r="R61" i="5" s="1"/>
  <c r="S17" i="19" s="1"/>
  <c r="Q41" i="5"/>
  <c r="Q61" i="5" s="1"/>
  <c r="R17" i="19" s="1"/>
  <c r="P41" i="5"/>
  <c r="P61" i="5" s="1"/>
  <c r="Q17" i="19" s="1"/>
  <c r="O41" i="5"/>
  <c r="O61" i="5" s="1"/>
  <c r="P17" i="19" s="1"/>
  <c r="N41" i="5"/>
  <c r="N61" i="5" s="1"/>
  <c r="O17" i="19" s="1"/>
  <c r="M41" i="5"/>
  <c r="M61" i="5" s="1"/>
  <c r="N17" i="19" s="1"/>
  <c r="L41" i="5"/>
  <c r="L61" i="5" s="1"/>
  <c r="M17" i="19" s="1"/>
  <c r="K41" i="5"/>
  <c r="K61" i="5" s="1"/>
  <c r="L17" i="19" s="1"/>
  <c r="J41" i="5"/>
  <c r="U40" i="5"/>
  <c r="T40" i="5"/>
  <c r="T60" i="5" s="1"/>
  <c r="U16" i="19" s="1"/>
  <c r="S40" i="5"/>
  <c r="S60" i="5" s="1"/>
  <c r="T16" i="19" s="1"/>
  <c r="R40" i="5"/>
  <c r="R60" i="5" s="1"/>
  <c r="S16" i="19" s="1"/>
  <c r="Q40" i="5"/>
  <c r="Q60" i="5" s="1"/>
  <c r="R16" i="19" s="1"/>
  <c r="P40" i="5"/>
  <c r="P60" i="5" s="1"/>
  <c r="Q16" i="19" s="1"/>
  <c r="O40" i="5"/>
  <c r="O60" i="5" s="1"/>
  <c r="P16" i="19" s="1"/>
  <c r="N40" i="5"/>
  <c r="N60" i="5" s="1"/>
  <c r="O16" i="19" s="1"/>
  <c r="M40" i="5"/>
  <c r="M60" i="5" s="1"/>
  <c r="N16" i="19" s="1"/>
  <c r="L40" i="5"/>
  <c r="L60" i="5" s="1"/>
  <c r="M16" i="19" s="1"/>
  <c r="K40" i="5"/>
  <c r="K60" i="5" s="1"/>
  <c r="L16" i="19" s="1"/>
  <c r="J40" i="5"/>
  <c r="U39" i="5"/>
  <c r="T39" i="5"/>
  <c r="S39" i="5"/>
  <c r="S59" i="5" s="1"/>
  <c r="T15" i="19" s="1"/>
  <c r="R39" i="5"/>
  <c r="R59" i="5" s="1"/>
  <c r="S15" i="19" s="1"/>
  <c r="Q39" i="5"/>
  <c r="Q59" i="5" s="1"/>
  <c r="R15" i="19" s="1"/>
  <c r="P39" i="5"/>
  <c r="P59" i="5" s="1"/>
  <c r="Q15" i="19" s="1"/>
  <c r="O39" i="5"/>
  <c r="O59" i="5" s="1"/>
  <c r="P15" i="19" s="1"/>
  <c r="N39" i="5"/>
  <c r="N59" i="5" s="1"/>
  <c r="O15" i="19" s="1"/>
  <c r="M39" i="5"/>
  <c r="M59" i="5" s="1"/>
  <c r="N15" i="19" s="1"/>
  <c r="L39" i="5"/>
  <c r="L59" i="5" s="1"/>
  <c r="M15" i="19" s="1"/>
  <c r="K39" i="5"/>
  <c r="K59" i="5" s="1"/>
  <c r="L15" i="19" s="1"/>
  <c r="J39" i="5"/>
  <c r="J59" i="5" s="1"/>
  <c r="K15" i="19" s="1"/>
  <c r="U38" i="5"/>
  <c r="U58" i="5" s="1"/>
  <c r="T38" i="5"/>
  <c r="T58" i="5" s="1"/>
  <c r="U14" i="19" s="1"/>
  <c r="S38" i="5"/>
  <c r="S58" i="5" s="1"/>
  <c r="T14" i="19" s="1"/>
  <c r="R38" i="5"/>
  <c r="R58" i="5" s="1"/>
  <c r="S14" i="19" s="1"/>
  <c r="Q38" i="5"/>
  <c r="Q58" i="5" s="1"/>
  <c r="R14" i="19" s="1"/>
  <c r="P38" i="5"/>
  <c r="P58" i="5" s="1"/>
  <c r="Q14" i="19" s="1"/>
  <c r="O38" i="5"/>
  <c r="O58" i="5" s="1"/>
  <c r="P14" i="19" s="1"/>
  <c r="N38" i="5"/>
  <c r="N58" i="5" s="1"/>
  <c r="O14" i="19" s="1"/>
  <c r="M38" i="5"/>
  <c r="M58" i="5" s="1"/>
  <c r="N14" i="19" s="1"/>
  <c r="L38" i="5"/>
  <c r="L58" i="5" s="1"/>
  <c r="M14" i="19" s="1"/>
  <c r="K38" i="5"/>
  <c r="K58" i="5" s="1"/>
  <c r="L14" i="19" s="1"/>
  <c r="J38" i="5"/>
  <c r="U37" i="5"/>
  <c r="U57" i="5" s="1"/>
  <c r="T37" i="5"/>
  <c r="T57" i="5" s="1"/>
  <c r="U13" i="19" s="1"/>
  <c r="S37" i="5"/>
  <c r="S57" i="5" s="1"/>
  <c r="T13" i="19" s="1"/>
  <c r="R37" i="5"/>
  <c r="R57" i="5" s="1"/>
  <c r="S13" i="19" s="1"/>
  <c r="Q37" i="5"/>
  <c r="Q57" i="5" s="1"/>
  <c r="R13" i="19" s="1"/>
  <c r="P37" i="5"/>
  <c r="O37" i="5"/>
  <c r="N37" i="5"/>
  <c r="N57" i="5" s="1"/>
  <c r="O13" i="19" s="1"/>
  <c r="M37" i="5"/>
  <c r="M57" i="5" s="1"/>
  <c r="N13" i="19" s="1"/>
  <c r="L37" i="5"/>
  <c r="L57" i="5" s="1"/>
  <c r="M13" i="19" s="1"/>
  <c r="K37" i="5"/>
  <c r="K57" i="5" s="1"/>
  <c r="L13" i="19" s="1"/>
  <c r="J37" i="5"/>
  <c r="J57" i="5" s="1"/>
  <c r="K13" i="19" s="1"/>
  <c r="U36" i="5"/>
  <c r="U56" i="5" s="1"/>
  <c r="V12" i="19" s="1"/>
  <c r="T36" i="5"/>
  <c r="T56" i="5" s="1"/>
  <c r="U12" i="19" s="1"/>
  <c r="S36" i="5"/>
  <c r="S56" i="5" s="1"/>
  <c r="T12" i="19" s="1"/>
  <c r="R36" i="5"/>
  <c r="R56" i="5" s="1"/>
  <c r="S12" i="19" s="1"/>
  <c r="Q36" i="5"/>
  <c r="Q56" i="5" s="1"/>
  <c r="R12" i="19" s="1"/>
  <c r="P36" i="5"/>
  <c r="P56" i="5" s="1"/>
  <c r="Q12" i="19" s="1"/>
  <c r="O36" i="5"/>
  <c r="O56" i="5" s="1"/>
  <c r="P12" i="19" s="1"/>
  <c r="N36" i="5"/>
  <c r="N56" i="5" s="1"/>
  <c r="O12" i="19" s="1"/>
  <c r="M36" i="5"/>
  <c r="M56" i="5" s="1"/>
  <c r="N12" i="19" s="1"/>
  <c r="L36" i="5"/>
  <c r="L56" i="5" s="1"/>
  <c r="M12" i="19" s="1"/>
  <c r="K36" i="5"/>
  <c r="K56" i="5" s="1"/>
  <c r="L12" i="19" s="1"/>
  <c r="J36" i="5"/>
  <c r="U35" i="5"/>
  <c r="T35" i="5"/>
  <c r="S35" i="5"/>
  <c r="R35" i="5"/>
  <c r="Q35" i="5"/>
  <c r="P35" i="5"/>
  <c r="P55" i="5" s="1"/>
  <c r="Q11" i="19" s="1"/>
  <c r="O35" i="5"/>
  <c r="O55" i="5" s="1"/>
  <c r="P11" i="19" s="1"/>
  <c r="N35" i="5"/>
  <c r="N55" i="5" s="1"/>
  <c r="O11" i="19" s="1"/>
  <c r="M35" i="5"/>
  <c r="M55" i="5" s="1"/>
  <c r="N11" i="19" s="1"/>
  <c r="L35" i="5"/>
  <c r="L55" i="5" s="1"/>
  <c r="M11" i="19" s="1"/>
  <c r="K35" i="5"/>
  <c r="K55" i="5" s="1"/>
  <c r="L11" i="19" s="1"/>
  <c r="J35" i="5"/>
  <c r="U34" i="5"/>
  <c r="U54" i="5" s="1"/>
  <c r="T34" i="5"/>
  <c r="T54" i="5" s="1"/>
  <c r="U10" i="19" s="1"/>
  <c r="S34" i="5"/>
  <c r="S54" i="5" s="1"/>
  <c r="T10" i="19" s="1"/>
  <c r="R34" i="5"/>
  <c r="R54" i="5" s="1"/>
  <c r="S10" i="19" s="1"/>
  <c r="Q34" i="5"/>
  <c r="Q54" i="5" s="1"/>
  <c r="R10" i="19" s="1"/>
  <c r="P34" i="5"/>
  <c r="P54" i="5" s="1"/>
  <c r="Q10" i="19" s="1"/>
  <c r="O34" i="5"/>
  <c r="O54" i="5" s="1"/>
  <c r="P10" i="19" s="1"/>
  <c r="N34" i="5"/>
  <c r="N54" i="5" s="1"/>
  <c r="O10" i="19" s="1"/>
  <c r="M34" i="5"/>
  <c r="M54" i="5" s="1"/>
  <c r="N10" i="19" s="1"/>
  <c r="L34" i="5"/>
  <c r="L54" i="5" s="1"/>
  <c r="M10" i="19" s="1"/>
  <c r="K34" i="5"/>
  <c r="K54" i="5" s="1"/>
  <c r="L10" i="19" s="1"/>
  <c r="J34" i="5"/>
  <c r="U33" i="5"/>
  <c r="T33" i="5"/>
  <c r="S33" i="5"/>
  <c r="S53" i="5" s="1"/>
  <c r="T9" i="19" s="1"/>
  <c r="R33" i="5"/>
  <c r="R53" i="5" s="1"/>
  <c r="S9" i="19" s="1"/>
  <c r="Q33" i="5"/>
  <c r="P33" i="5"/>
  <c r="O33" i="5"/>
  <c r="O53" i="5" s="1"/>
  <c r="P9" i="19" s="1"/>
  <c r="N33" i="5"/>
  <c r="N53" i="5" s="1"/>
  <c r="O9" i="19" s="1"/>
  <c r="M33" i="5"/>
  <c r="M53" i="5" s="1"/>
  <c r="N9" i="19" s="1"/>
  <c r="L33" i="5"/>
  <c r="L53" i="5" s="1"/>
  <c r="M9" i="19" s="1"/>
  <c r="K33" i="5"/>
  <c r="K53" i="5" s="1"/>
  <c r="L9" i="19" s="1"/>
  <c r="J33" i="5"/>
  <c r="J53" i="5" s="1"/>
  <c r="K9" i="19" s="1"/>
  <c r="U29" i="5"/>
  <c r="T29" i="5"/>
  <c r="S29" i="5"/>
  <c r="R29" i="5"/>
  <c r="Q29" i="5"/>
  <c r="P29" i="5"/>
  <c r="O29" i="5"/>
  <c r="N29" i="5"/>
  <c r="M29" i="5"/>
  <c r="L29" i="5"/>
  <c r="K29" i="5"/>
  <c r="J29" i="5"/>
  <c r="U25" i="5"/>
  <c r="T25" i="5"/>
  <c r="S25" i="5"/>
  <c r="R25" i="5"/>
  <c r="Q25" i="5"/>
  <c r="P25" i="5"/>
  <c r="O25" i="5"/>
  <c r="N25" i="5"/>
  <c r="M25" i="5"/>
  <c r="L25" i="5"/>
  <c r="K25" i="5"/>
  <c r="J25" i="5"/>
  <c r="U24" i="5"/>
  <c r="T24" i="5"/>
  <c r="S24" i="5"/>
  <c r="R24" i="5"/>
  <c r="Q24" i="5"/>
  <c r="P24" i="5"/>
  <c r="O24" i="5"/>
  <c r="N24" i="5"/>
  <c r="M24" i="5"/>
  <c r="L24" i="5"/>
  <c r="K24" i="5"/>
  <c r="J24" i="5"/>
  <c r="U23" i="5"/>
  <c r="T23" i="5"/>
  <c r="S23" i="5"/>
  <c r="R23" i="5"/>
  <c r="Q23" i="5"/>
  <c r="P23" i="5"/>
  <c r="O23" i="5"/>
  <c r="N23" i="5"/>
  <c r="M23" i="5"/>
  <c r="L23" i="5"/>
  <c r="K23" i="5"/>
  <c r="J23" i="5"/>
  <c r="U22" i="5"/>
  <c r="T22" i="5"/>
  <c r="S22" i="5"/>
  <c r="R22" i="5"/>
  <c r="Q22" i="5"/>
  <c r="P22" i="5"/>
  <c r="O22" i="5"/>
  <c r="N22" i="5"/>
  <c r="M22" i="5"/>
  <c r="L22" i="5"/>
  <c r="K22" i="5"/>
  <c r="J22" i="5"/>
  <c r="U21" i="5"/>
  <c r="T21" i="5"/>
  <c r="S21" i="5"/>
  <c r="R21" i="5"/>
  <c r="Q21" i="5"/>
  <c r="P21" i="5"/>
  <c r="O21" i="5"/>
  <c r="N21" i="5"/>
  <c r="M21" i="5"/>
  <c r="L21" i="5"/>
  <c r="K21" i="5"/>
  <c r="J21" i="5"/>
  <c r="U20" i="5"/>
  <c r="T20" i="5"/>
  <c r="S20" i="5"/>
  <c r="R20" i="5"/>
  <c r="Q20" i="5"/>
  <c r="P20" i="5"/>
  <c r="O20" i="5"/>
  <c r="N20" i="5"/>
  <c r="M20" i="5"/>
  <c r="L20" i="5"/>
  <c r="K20" i="5"/>
  <c r="J20" i="5"/>
  <c r="U19" i="5"/>
  <c r="T19" i="5"/>
  <c r="S19" i="5"/>
  <c r="R19" i="5"/>
  <c r="Q19" i="5"/>
  <c r="P19" i="5"/>
  <c r="O19" i="5"/>
  <c r="N19" i="5"/>
  <c r="M19" i="5"/>
  <c r="L19" i="5"/>
  <c r="K19" i="5"/>
  <c r="J19" i="5"/>
  <c r="U18" i="5"/>
  <c r="T18" i="5"/>
  <c r="S18" i="5"/>
  <c r="R18" i="5"/>
  <c r="Q18" i="5"/>
  <c r="P18" i="5"/>
  <c r="O18" i="5"/>
  <c r="N18" i="5"/>
  <c r="M18" i="5"/>
  <c r="L18" i="5"/>
  <c r="K18" i="5"/>
  <c r="J18" i="5"/>
  <c r="U17" i="5"/>
  <c r="T17" i="5"/>
  <c r="S17" i="5"/>
  <c r="R17" i="5"/>
  <c r="Q17" i="5"/>
  <c r="P17" i="5"/>
  <c r="O17" i="5"/>
  <c r="N17" i="5"/>
  <c r="M17" i="5"/>
  <c r="L17" i="5"/>
  <c r="K17" i="5"/>
  <c r="J17" i="5"/>
  <c r="U16" i="5"/>
  <c r="T16" i="5"/>
  <c r="S16" i="5"/>
  <c r="R16" i="5"/>
  <c r="Q16" i="5"/>
  <c r="P16" i="5"/>
  <c r="O16" i="5"/>
  <c r="N16" i="5"/>
  <c r="M16" i="5"/>
  <c r="L16" i="5"/>
  <c r="K16" i="5"/>
  <c r="J16" i="5"/>
  <c r="U15" i="5"/>
  <c r="T15" i="5"/>
  <c r="S15" i="5"/>
  <c r="R15" i="5"/>
  <c r="Q15" i="5"/>
  <c r="P15" i="5"/>
  <c r="O15" i="5"/>
  <c r="N15" i="5"/>
  <c r="M15" i="5"/>
  <c r="L15" i="5"/>
  <c r="K15" i="5"/>
  <c r="J15" i="5"/>
  <c r="U14" i="5"/>
  <c r="T14" i="5"/>
  <c r="S14" i="5"/>
  <c r="R14" i="5"/>
  <c r="Q14" i="5"/>
  <c r="P14" i="5"/>
  <c r="O14" i="5"/>
  <c r="N14" i="5"/>
  <c r="M14" i="5"/>
  <c r="L14" i="5"/>
  <c r="K14" i="5"/>
  <c r="J14" i="5"/>
  <c r="U13" i="5"/>
  <c r="T13" i="5"/>
  <c r="S13" i="5"/>
  <c r="R13" i="5"/>
  <c r="Q13" i="5"/>
  <c r="P13" i="5"/>
  <c r="O13" i="5"/>
  <c r="N13" i="5"/>
  <c r="M13" i="5"/>
  <c r="L13" i="5"/>
  <c r="K13" i="5"/>
  <c r="J13" i="5"/>
  <c r="U12" i="5"/>
  <c r="T12" i="5"/>
  <c r="S12" i="5"/>
  <c r="R12" i="5"/>
  <c r="Q12" i="5"/>
  <c r="P12" i="5"/>
  <c r="O12" i="5"/>
  <c r="N12" i="5"/>
  <c r="M12" i="5"/>
  <c r="L12" i="5"/>
  <c r="K12" i="5"/>
  <c r="J12" i="5"/>
  <c r="U11" i="5"/>
  <c r="T11" i="5"/>
  <c r="S11" i="5"/>
  <c r="R11" i="5"/>
  <c r="Q11" i="5"/>
  <c r="P11" i="5"/>
  <c r="O11" i="5"/>
  <c r="N11" i="5"/>
  <c r="M11" i="5"/>
  <c r="L11" i="5"/>
  <c r="K11" i="5"/>
  <c r="J11" i="5"/>
  <c r="U10" i="5"/>
  <c r="T10" i="5"/>
  <c r="S10" i="5"/>
  <c r="R10" i="5"/>
  <c r="Q10" i="5"/>
  <c r="P10" i="5"/>
  <c r="O10" i="5"/>
  <c r="N10" i="5"/>
  <c r="M10" i="5"/>
  <c r="L10" i="5"/>
  <c r="K10" i="5"/>
  <c r="J10" i="5"/>
  <c r="U9" i="5"/>
  <c r="T9" i="5"/>
  <c r="S9" i="5"/>
  <c r="R9" i="5"/>
  <c r="Q9" i="5"/>
  <c r="P9" i="5"/>
  <c r="O9" i="5"/>
  <c r="N9" i="5"/>
  <c r="M9" i="5"/>
  <c r="L9" i="5"/>
  <c r="K9" i="5"/>
  <c r="J9" i="5"/>
  <c r="A1" i="5"/>
  <c r="V25" i="4"/>
  <c r="U25" i="4"/>
  <c r="T25" i="4"/>
  <c r="S25" i="4"/>
  <c r="R25" i="4"/>
  <c r="Q25" i="4"/>
  <c r="P25" i="4"/>
  <c r="O25" i="4"/>
  <c r="N25" i="4"/>
  <c r="M25" i="4"/>
  <c r="L25" i="4"/>
  <c r="K25" i="4"/>
  <c r="V24" i="4"/>
  <c r="U24" i="4"/>
  <c r="T24" i="4"/>
  <c r="S24" i="4"/>
  <c r="R24" i="4"/>
  <c r="Q24" i="4"/>
  <c r="P24" i="4"/>
  <c r="O24" i="4"/>
  <c r="N24" i="4"/>
  <c r="M24" i="4"/>
  <c r="L24" i="4"/>
  <c r="K24" i="4"/>
  <c r="V23" i="4"/>
  <c r="U23" i="4"/>
  <c r="T23" i="4"/>
  <c r="S23" i="4"/>
  <c r="R23" i="4"/>
  <c r="Q23" i="4"/>
  <c r="P23" i="4"/>
  <c r="O23" i="4"/>
  <c r="N23" i="4"/>
  <c r="M23" i="4"/>
  <c r="L23" i="4"/>
  <c r="K23" i="4"/>
  <c r="V22" i="4"/>
  <c r="U22" i="4"/>
  <c r="T22" i="4"/>
  <c r="S22" i="4"/>
  <c r="R22" i="4"/>
  <c r="Q22" i="4"/>
  <c r="P22" i="4"/>
  <c r="O22" i="4"/>
  <c r="N22" i="4"/>
  <c r="M22" i="4"/>
  <c r="L22" i="4"/>
  <c r="K22" i="4"/>
  <c r="V21" i="4"/>
  <c r="U21" i="4"/>
  <c r="T21" i="4"/>
  <c r="S21" i="4"/>
  <c r="R21" i="4"/>
  <c r="Q21" i="4"/>
  <c r="P21" i="4"/>
  <c r="O21" i="4"/>
  <c r="N21" i="4"/>
  <c r="M21" i="4"/>
  <c r="L21" i="4"/>
  <c r="K21" i="4"/>
  <c r="V20" i="4"/>
  <c r="U20" i="4"/>
  <c r="T20" i="4"/>
  <c r="S20" i="4"/>
  <c r="R20" i="4"/>
  <c r="Q20" i="4"/>
  <c r="P20" i="4"/>
  <c r="O20" i="4"/>
  <c r="N20" i="4"/>
  <c r="M20" i="4"/>
  <c r="L20" i="4"/>
  <c r="K20" i="4"/>
  <c r="V19" i="4"/>
  <c r="U19" i="4"/>
  <c r="T19" i="4"/>
  <c r="S19" i="4"/>
  <c r="R19" i="4"/>
  <c r="Q19" i="4"/>
  <c r="P19" i="4"/>
  <c r="O19" i="4"/>
  <c r="N19" i="4"/>
  <c r="M19" i="4"/>
  <c r="L19" i="4"/>
  <c r="K19" i="4"/>
  <c r="V18" i="4"/>
  <c r="U18" i="4"/>
  <c r="T18" i="4"/>
  <c r="S18" i="4"/>
  <c r="R18" i="4"/>
  <c r="Q18" i="4"/>
  <c r="P18" i="4"/>
  <c r="O18" i="4"/>
  <c r="N18" i="4"/>
  <c r="M18" i="4"/>
  <c r="L18" i="4"/>
  <c r="K18" i="4"/>
  <c r="V17" i="4"/>
  <c r="U17" i="4"/>
  <c r="T17" i="4"/>
  <c r="S17" i="4"/>
  <c r="R17" i="4"/>
  <c r="Q17" i="4"/>
  <c r="P17" i="4"/>
  <c r="O17" i="4"/>
  <c r="N17" i="4"/>
  <c r="M17" i="4"/>
  <c r="L17" i="4"/>
  <c r="K17" i="4"/>
  <c r="V16" i="4"/>
  <c r="U16" i="4"/>
  <c r="T16" i="4"/>
  <c r="S16" i="4"/>
  <c r="R16" i="4"/>
  <c r="Q16" i="4"/>
  <c r="P16" i="4"/>
  <c r="O16" i="4"/>
  <c r="N16" i="4"/>
  <c r="M16" i="4"/>
  <c r="L16" i="4"/>
  <c r="K16" i="4"/>
  <c r="V15" i="4"/>
  <c r="U15" i="4"/>
  <c r="T15" i="4"/>
  <c r="S15" i="4"/>
  <c r="R15" i="4"/>
  <c r="Q15" i="4"/>
  <c r="P15" i="4"/>
  <c r="O15" i="4"/>
  <c r="N15" i="4"/>
  <c r="M15" i="4"/>
  <c r="L15" i="4"/>
  <c r="K15" i="4"/>
  <c r="V14" i="4"/>
  <c r="U14" i="4"/>
  <c r="T14" i="4"/>
  <c r="S14" i="4"/>
  <c r="R14" i="4"/>
  <c r="Q14" i="4"/>
  <c r="P14" i="4"/>
  <c r="O14" i="4"/>
  <c r="N14" i="4"/>
  <c r="M14" i="4"/>
  <c r="L14" i="4"/>
  <c r="K14" i="4"/>
  <c r="V13" i="4"/>
  <c r="U13" i="4"/>
  <c r="T13" i="4"/>
  <c r="S13" i="4"/>
  <c r="R13" i="4"/>
  <c r="Q13" i="4"/>
  <c r="P13" i="4"/>
  <c r="O13" i="4"/>
  <c r="N13" i="4"/>
  <c r="M13" i="4"/>
  <c r="L13" i="4"/>
  <c r="K13" i="4"/>
  <c r="V12" i="4"/>
  <c r="U12" i="4"/>
  <c r="T12" i="4"/>
  <c r="S12" i="4"/>
  <c r="R12" i="4"/>
  <c r="Q12" i="4"/>
  <c r="P12" i="4"/>
  <c r="O12" i="4"/>
  <c r="N12" i="4"/>
  <c r="M12" i="4"/>
  <c r="L12" i="4"/>
  <c r="K12" i="4"/>
  <c r="V11" i="4"/>
  <c r="U11" i="4"/>
  <c r="T11" i="4"/>
  <c r="S11" i="4"/>
  <c r="R11" i="4"/>
  <c r="Q11" i="4"/>
  <c r="P11" i="4"/>
  <c r="O11" i="4"/>
  <c r="N11" i="4"/>
  <c r="M11" i="4"/>
  <c r="L11" i="4"/>
  <c r="K11" i="4"/>
  <c r="V10" i="4"/>
  <c r="U10" i="4"/>
  <c r="T10" i="4"/>
  <c r="S10" i="4"/>
  <c r="R10" i="4"/>
  <c r="Q10" i="4"/>
  <c r="P10" i="4"/>
  <c r="O10" i="4"/>
  <c r="N10" i="4"/>
  <c r="M10" i="4"/>
  <c r="L10" i="4"/>
  <c r="K10" i="4"/>
  <c r="V9" i="4"/>
  <c r="U9" i="4"/>
  <c r="T9" i="4"/>
  <c r="S9" i="4"/>
  <c r="R9" i="4"/>
  <c r="Q9" i="4"/>
  <c r="P9" i="4"/>
  <c r="O9" i="4"/>
  <c r="N9" i="4"/>
  <c r="M9" i="4"/>
  <c r="L9" i="4"/>
  <c r="K9" i="4"/>
  <c r="A1" i="4"/>
  <c r="A1" i="21"/>
  <c r="H61" i="19" l="1"/>
  <c r="K39" i="2" s="1"/>
  <c r="H64" i="19"/>
  <c r="K42" i="2" s="1"/>
  <c r="H48" i="19"/>
  <c r="K25" i="2" s="1"/>
  <c r="H43" i="19"/>
  <c r="K20" i="2" s="1"/>
  <c r="H42" i="19"/>
  <c r="K19" i="2" s="1"/>
  <c r="H39" i="19"/>
  <c r="K16" i="2" s="1"/>
  <c r="H37" i="19"/>
  <c r="K14" i="2" s="1"/>
  <c r="H36" i="19"/>
  <c r="K13" i="2" s="1"/>
  <c r="H34" i="19"/>
  <c r="K11" i="2" s="1"/>
  <c r="H38" i="19"/>
  <c r="K15" i="2" s="1"/>
  <c r="H56" i="19"/>
  <c r="K34" i="2" s="1"/>
  <c r="H63" i="19"/>
  <c r="K41" i="2" s="1"/>
  <c r="H60" i="19"/>
  <c r="K38" i="2" s="1"/>
  <c r="H62" i="19"/>
  <c r="K40" i="2" s="1"/>
  <c r="H59" i="19"/>
  <c r="K37" i="2" s="1"/>
  <c r="H58" i="19"/>
  <c r="K36" i="2" s="1"/>
  <c r="H57" i="19"/>
  <c r="K35" i="2" s="1"/>
  <c r="H66" i="19"/>
  <c r="K44" i="2" s="1"/>
  <c r="H65" i="19"/>
  <c r="K43" i="2" s="1"/>
  <c r="H67" i="19"/>
  <c r="K45" i="2" s="1"/>
  <c r="H68" i="19"/>
  <c r="K46" i="2" s="1"/>
  <c r="H52" i="19"/>
  <c r="K30" i="2" s="1"/>
  <c r="H53" i="19"/>
  <c r="K31" i="2" s="1"/>
  <c r="H54" i="19"/>
  <c r="K32" i="2" s="1"/>
  <c r="H47" i="19"/>
  <c r="K24" i="2" s="1"/>
  <c r="H35" i="19"/>
  <c r="K12" i="2" s="1"/>
  <c r="H44" i="19"/>
  <c r="K21" i="2" s="1"/>
  <c r="H32" i="19"/>
  <c r="K9" i="2" s="1"/>
  <c r="H41" i="19"/>
  <c r="K18" i="2" s="1"/>
  <c r="H40" i="19"/>
  <c r="K17" i="2" s="1"/>
  <c r="H46" i="19"/>
  <c r="K23" i="2" s="1"/>
  <c r="H45" i="19"/>
  <c r="K22" i="2" s="1"/>
  <c r="H33" i="19"/>
  <c r="K10" i="2" s="1"/>
  <c r="H55" i="19"/>
  <c r="K33" i="2" s="1"/>
  <c r="F348" i="9" l="1"/>
  <c r="F285" i="9"/>
  <c r="F306" i="9"/>
  <c r="F243" i="9"/>
  <c r="F264" i="9"/>
  <c r="F327" i="9"/>
  <c r="F177" i="9"/>
  <c r="F156" i="9"/>
  <c r="F51" i="9"/>
  <c r="F135" i="9"/>
  <c r="F114" i="9"/>
  <c r="F30" i="9"/>
  <c r="F9" i="9"/>
  <c r="F219" i="9"/>
  <c r="F198" i="9"/>
  <c r="F93" i="9"/>
  <c r="F72" i="9"/>
  <c r="F168" i="9"/>
  <c r="F105" i="9"/>
  <c r="F231" i="9"/>
  <c r="F21" i="9"/>
  <c r="F84" i="9"/>
  <c r="F147" i="9"/>
  <c r="F126" i="9"/>
  <c r="F189" i="9"/>
  <c r="F63" i="9"/>
  <c r="F42" i="9"/>
  <c r="F210" i="9"/>
  <c r="F338" i="9"/>
  <c r="F275" i="9"/>
  <c r="F359" i="9"/>
  <c r="F296" i="9"/>
  <c r="F317" i="9"/>
  <c r="F254" i="9"/>
  <c r="F184" i="9"/>
  <c r="F121" i="9"/>
  <c r="F58" i="9"/>
  <c r="F16" i="9"/>
  <c r="F37" i="9"/>
  <c r="F163" i="9"/>
  <c r="F142" i="9"/>
  <c r="F100" i="9"/>
  <c r="F79" i="9"/>
  <c r="F226" i="9"/>
  <c r="F205" i="9"/>
  <c r="F253" i="9"/>
  <c r="F358" i="9"/>
  <c r="F295" i="9"/>
  <c r="F316" i="9"/>
  <c r="F337" i="9"/>
  <c r="F274" i="9"/>
  <c r="F122" i="9"/>
  <c r="F17" i="9"/>
  <c r="F185" i="9"/>
  <c r="F38" i="9"/>
  <c r="F101" i="9"/>
  <c r="F227" i="9"/>
  <c r="F206" i="9"/>
  <c r="F80" i="9"/>
  <c r="F143" i="9"/>
  <c r="F164" i="9"/>
  <c r="F59" i="9"/>
  <c r="F265" i="9"/>
  <c r="F286" i="9"/>
  <c r="F307" i="9"/>
  <c r="F349" i="9"/>
  <c r="F328" i="9"/>
  <c r="F244" i="9"/>
  <c r="F186" i="9"/>
  <c r="F60" i="9"/>
  <c r="F123" i="9"/>
  <c r="F102" i="9"/>
  <c r="F18" i="9"/>
  <c r="F39" i="9"/>
  <c r="F228" i="9"/>
  <c r="F207" i="9"/>
  <c r="F81" i="9"/>
  <c r="F165" i="9"/>
  <c r="F144" i="9"/>
  <c r="F197" i="9"/>
  <c r="F134" i="9"/>
  <c r="F71" i="9"/>
  <c r="F8" i="9"/>
  <c r="F218" i="9"/>
  <c r="F92" i="9"/>
  <c r="F176" i="9"/>
  <c r="F155" i="9"/>
  <c r="F50" i="9"/>
  <c r="F29" i="9"/>
  <c r="F113" i="9"/>
  <c r="F266" i="9"/>
  <c r="F329" i="9"/>
  <c r="F287" i="9"/>
  <c r="F308" i="9"/>
  <c r="F350" i="9"/>
  <c r="F245" i="9"/>
  <c r="F187" i="9"/>
  <c r="F124" i="9"/>
  <c r="F61" i="9"/>
  <c r="F208" i="9"/>
  <c r="F145" i="9"/>
  <c r="F103" i="9"/>
  <c r="F19" i="9"/>
  <c r="F40" i="9"/>
  <c r="F166" i="9"/>
  <c r="F82" i="9"/>
  <c r="F229" i="9"/>
  <c r="F346" i="9"/>
  <c r="F325" i="9"/>
  <c r="F304" i="9"/>
  <c r="F241" i="9"/>
  <c r="F283" i="9"/>
  <c r="F262" i="9"/>
  <c r="F77" i="9"/>
  <c r="F119" i="9"/>
  <c r="F140" i="9"/>
  <c r="F224" i="9"/>
  <c r="F182" i="9"/>
  <c r="F203" i="9"/>
  <c r="F161" i="9"/>
  <c r="F56" i="9"/>
  <c r="F14" i="9"/>
  <c r="F35" i="9"/>
  <c r="F98" i="9"/>
  <c r="F360" i="9"/>
  <c r="F297" i="9"/>
  <c r="F318" i="9"/>
  <c r="F339" i="9"/>
  <c r="F276" i="9"/>
  <c r="F255" i="9"/>
  <c r="F169" i="9"/>
  <c r="F106" i="9"/>
  <c r="F232" i="9"/>
  <c r="F85" i="9"/>
  <c r="F211" i="9"/>
  <c r="F190" i="9"/>
  <c r="F64" i="9"/>
  <c r="F43" i="9"/>
  <c r="F127" i="9"/>
  <c r="F22" i="9"/>
  <c r="F148" i="9"/>
  <c r="F315" i="9"/>
  <c r="F252" i="9"/>
  <c r="F273" i="9"/>
  <c r="F294" i="9"/>
  <c r="F357" i="9"/>
  <c r="F336" i="9"/>
  <c r="F209" i="9"/>
  <c r="F146" i="9"/>
  <c r="F83" i="9"/>
  <c r="F20" i="9"/>
  <c r="F62" i="9"/>
  <c r="F230" i="9"/>
  <c r="F41" i="9"/>
  <c r="F125" i="9"/>
  <c r="F188" i="9"/>
  <c r="F167" i="9"/>
  <c r="F104" i="9"/>
  <c r="F351" i="9"/>
  <c r="F288" i="9"/>
  <c r="F309" i="9"/>
  <c r="F246" i="9"/>
  <c r="F330" i="9"/>
  <c r="F267" i="9"/>
  <c r="F313" i="9"/>
  <c r="F250" i="9"/>
  <c r="F334" i="9"/>
  <c r="F271" i="9"/>
  <c r="F355" i="9"/>
  <c r="F292" i="9"/>
  <c r="F282" i="9"/>
  <c r="F345" i="9"/>
  <c r="F324" i="9"/>
  <c r="F303" i="9"/>
  <c r="F240" i="9"/>
  <c r="F261" i="9"/>
  <c r="F326" i="9"/>
  <c r="F263" i="9"/>
  <c r="F347" i="9"/>
  <c r="F284" i="9"/>
  <c r="F305" i="9"/>
  <c r="F242" i="9"/>
  <c r="F323" i="9"/>
  <c r="F260" i="9"/>
  <c r="F281" i="9"/>
  <c r="F344" i="9"/>
  <c r="F239" i="9"/>
  <c r="F302" i="9"/>
  <c r="F31" i="9"/>
  <c r="F136" i="9"/>
  <c r="F157" i="9"/>
  <c r="F52" i="9"/>
  <c r="F115" i="9"/>
  <c r="F220" i="9"/>
  <c r="F199" i="9"/>
  <c r="F94" i="9"/>
  <c r="F73" i="9"/>
  <c r="F10" i="9"/>
  <c r="F178" i="9"/>
  <c r="F222" i="9"/>
  <c r="F159" i="9"/>
  <c r="F96" i="9"/>
  <c r="F33" i="9"/>
  <c r="F138" i="9"/>
  <c r="F201" i="9"/>
  <c r="F75" i="9"/>
  <c r="F180" i="9"/>
  <c r="F54" i="9"/>
  <c r="F12" i="9"/>
  <c r="F117" i="9"/>
  <c r="F202" i="9"/>
  <c r="F76" i="9"/>
  <c r="F118" i="9"/>
  <c r="F97" i="9"/>
  <c r="F223" i="9"/>
  <c r="F181" i="9"/>
  <c r="F139" i="9"/>
  <c r="F160" i="9"/>
  <c r="F55" i="9"/>
  <c r="F34" i="9"/>
  <c r="F13" i="9"/>
  <c r="F225" i="9"/>
  <c r="F162" i="9"/>
  <c r="F99" i="9"/>
  <c r="F36" i="9"/>
  <c r="F183" i="9"/>
  <c r="F120" i="9"/>
  <c r="F141" i="9"/>
  <c r="F204" i="9"/>
  <c r="F78" i="9"/>
  <c r="F57" i="9"/>
  <c r="F15" i="9"/>
  <c r="F234" i="9"/>
  <c r="F171" i="9"/>
  <c r="F108" i="9"/>
  <c r="F45" i="9"/>
  <c r="F87" i="9"/>
  <c r="F213" i="9"/>
  <c r="F192" i="9"/>
  <c r="F150" i="9"/>
  <c r="F66" i="9"/>
  <c r="F129" i="9"/>
  <c r="F24" i="9"/>
  <c r="F200" i="9"/>
  <c r="F137" i="9"/>
  <c r="F74" i="9"/>
  <c r="F11" i="9"/>
  <c r="F221" i="9"/>
  <c r="F158" i="9"/>
  <c r="F32" i="9"/>
  <c r="F116" i="9"/>
  <c r="F95" i="9"/>
  <c r="F179" i="9"/>
  <c r="F53" i="9"/>
  <c r="F249" i="9"/>
  <c r="F291" i="9"/>
  <c r="F270" i="9"/>
  <c r="F333" i="9"/>
  <c r="F354" i="9"/>
  <c r="F312" i="9"/>
  <c r="F335" i="9"/>
  <c r="F272" i="9"/>
  <c r="F251" i="9"/>
  <c r="F314" i="9"/>
  <c r="F293" i="9"/>
  <c r="F356" i="9"/>
  <c r="F212" i="9"/>
  <c r="F149" i="9"/>
  <c r="F86" i="9"/>
  <c r="F23" i="9"/>
  <c r="F233" i="9"/>
  <c r="F170" i="9"/>
  <c r="F128" i="9"/>
  <c r="F107" i="9"/>
  <c r="F44" i="9"/>
  <c r="F191" i="9"/>
  <c r="F65" i="9"/>
  <c r="F310" i="9"/>
  <c r="F247" i="9"/>
  <c r="F289" i="9"/>
  <c r="F268" i="9"/>
  <c r="F331" i="9"/>
  <c r="F352" i="9"/>
  <c r="F290" i="9"/>
  <c r="F269" i="9"/>
  <c r="F248" i="9"/>
  <c r="F311" i="9"/>
  <c r="F353" i="9"/>
  <c r="F332" i="9"/>
</calcChain>
</file>

<file path=xl/sharedStrings.xml><?xml version="1.0" encoding="utf-8"?>
<sst xmlns="http://schemas.openxmlformats.org/spreadsheetml/2006/main" count="2624" uniqueCount="141">
  <si>
    <t>ODI Risk DIS Feeder Input Run 11</t>
  </si>
  <si>
    <t>Run 11 - PR24 FD Data</t>
  </si>
  <si>
    <t>PR24 ODI Risk - Feeder Model (Discharge Permit Compliance)</t>
  </si>
  <si>
    <t>Version number:</t>
  </si>
  <si>
    <t>File name:</t>
  </si>
  <si>
    <t>Date:</t>
  </si>
  <si>
    <t>For enquiries please contact:</t>
  </si>
  <si>
    <t>PR24@ofwat.gov.uk</t>
  </si>
  <si>
    <t>Conceptual model</t>
  </si>
  <si>
    <t>Run on 12 Nov 2024 17:31</t>
  </si>
  <si>
    <t>Acronym</t>
  </si>
  <si>
    <t>Reference</t>
  </si>
  <si>
    <t>Item description</t>
  </si>
  <si>
    <t>Unit</t>
  </si>
  <si>
    <t>Model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</si>
  <si>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</si>
  <si>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</si>
  <si>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</si>
  <si>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</si>
  <si>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</si>
  <si>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</si>
  <si>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</si>
  <si>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</si>
  <si>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</si>
  <si>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</si>
  <si>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</si>
  <si>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</si>
  <si>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Price Review 2024</t>
  </si>
  <si>
    <t>Latest</t>
  </si>
  <si>
    <t>ANH</t>
  </si>
  <si>
    <t>OUT4_19_PR24</t>
  </si>
  <si>
    <t>Underlying calculations for common performance commitments - water and combined - Discharge permit compliance  - Percentage compliance</t>
  </si>
  <si>
    <t>%</t>
  </si>
  <si>
    <t>WSH</t>
  </si>
  <si>
    <t>HDD</t>
  </si>
  <si>
    <t>NES</t>
  </si>
  <si>
    <t/>
  </si>
  <si>
    <t>SVE</t>
  </si>
  <si>
    <t>SWB</t>
  </si>
  <si>
    <t>SRN</t>
  </si>
  <si>
    <t>TMS</t>
  </si>
  <si>
    <t>NWT</t>
  </si>
  <si>
    <t>WSX</t>
  </si>
  <si>
    <t>YKY</t>
  </si>
  <si>
    <t>AFW</t>
  </si>
  <si>
    <t>BRL</t>
  </si>
  <si>
    <t>SSC</t>
  </si>
  <si>
    <t>PRT</t>
  </si>
  <si>
    <t>SEW</t>
  </si>
  <si>
    <t>SES</t>
  </si>
  <si>
    <t>Company</t>
  </si>
  <si>
    <t>Performance Commitment</t>
  </si>
  <si>
    <t>Measure</t>
  </si>
  <si>
    <t>Percentage Compliance</t>
  </si>
  <si>
    <t>WaSC</t>
  </si>
  <si>
    <t>DPC</t>
  </si>
  <si>
    <t>Percentage compliance</t>
  </si>
  <si>
    <t>UUW</t>
  </si>
  <si>
    <t>WoC</t>
  </si>
  <si>
    <t>Industry-wide Historic PCL</t>
  </si>
  <si>
    <t xml:space="preserve">Percentage compliance </t>
  </si>
  <si>
    <t>END</t>
  </si>
  <si>
    <t>Discharge permit compliance - percentage compliance</t>
  </si>
  <si>
    <t>PCL</t>
  </si>
  <si>
    <t>Difference to PCL (Numeric)</t>
  </si>
  <si>
    <t>Difference to PCL (As % of PCL)</t>
  </si>
  <si>
    <t>Percentile</t>
  </si>
  <si>
    <t>Value</t>
  </si>
  <si>
    <t>Helper</t>
  </si>
  <si>
    <t>Difference to PCL</t>
  </si>
  <si>
    <t>Industry-wide percentiles of difference to PCL</t>
  </si>
  <si>
    <t>WaSC-Wide Percentiles</t>
  </si>
  <si>
    <t>P10</t>
  </si>
  <si>
    <t>P15</t>
  </si>
  <si>
    <t>P20</t>
  </si>
  <si>
    <t>P25</t>
  </si>
  <si>
    <t>P30</t>
  </si>
  <si>
    <t>P35</t>
  </si>
  <si>
    <t>P40</t>
  </si>
  <si>
    <t>P45</t>
  </si>
  <si>
    <t>P50</t>
  </si>
  <si>
    <t>P55</t>
  </si>
  <si>
    <t>P60</t>
  </si>
  <si>
    <t>P65</t>
  </si>
  <si>
    <t>P70</t>
  </si>
  <si>
    <t>P75</t>
  </si>
  <si>
    <t>P80</t>
  </si>
  <si>
    <t>P85</t>
  </si>
  <si>
    <t>P90</t>
  </si>
  <si>
    <t>WoC-Wide Percentiles</t>
  </si>
  <si>
    <t>Percentiles ( WaSCs )</t>
  </si>
  <si>
    <t>Percentiles ( WoCs )</t>
  </si>
  <si>
    <t>_PR24OC02</t>
  </si>
  <si>
    <t>Constant</t>
  </si>
  <si>
    <t>PR24QA_PR24OC02_OUT1</t>
  </si>
  <si>
    <t>Date &amp; Time for Model - PR24OC02</t>
  </si>
  <si>
    <t>Text</t>
  </si>
  <si>
    <t>PR24QA_PR24OC02_OUT2</t>
  </si>
  <si>
    <t>Name of Model - PR24OC02</t>
  </si>
  <si>
    <t>PR24QA_PR24OC02_OUT3</t>
  </si>
  <si>
    <t>F_Inputs time stamp - PR24OC02</t>
  </si>
  <si>
    <t>PR24QA_PR24OC02_OUT4</t>
  </si>
  <si>
    <t>Model override switch for - PR24OC02</t>
  </si>
  <si>
    <t>nr</t>
  </si>
  <si>
    <t>N/A</t>
  </si>
  <si>
    <t>C_ODIRISK_DIS_FEED_P10</t>
  </si>
  <si>
    <t>Historic performance range Percentile (P10) for Discharge Permit Compliance Performance Commitment PR24</t>
  </si>
  <si>
    <t>C_ODIRISK_DIS_FEED_P15</t>
  </si>
  <si>
    <t>Historic performance range Percentile (P15) for Discharge Permit Compliance Performance Commitment PR24</t>
  </si>
  <si>
    <t>C_ODIRISK_DIS_FEED_P20</t>
  </si>
  <si>
    <t>Historic performance range Percentile (P20) for Discharge Permit Compliance Performance Commitment PR24</t>
  </si>
  <si>
    <t>C_ODIRISK_DIS_FEED_P25</t>
  </si>
  <si>
    <t>Historic performance range Percentile (P25) for Discharge Permit Compliance Performance Commitment PR24</t>
  </si>
  <si>
    <t>C_ODIRISK_DIS_FEED_P30</t>
  </si>
  <si>
    <t>Historic performance range Percentile (P30) for Discharge Permit Compliance Performance Commitment PR24</t>
  </si>
  <si>
    <t>C_ODIRISK_DIS_FEED_P35</t>
  </si>
  <si>
    <t>Historic performance range Percentile (P35) for Discharge Permit Compliance Performance Commitment PR24</t>
  </si>
  <si>
    <t>C_ODIRISK_DIS_FEED_P40</t>
  </si>
  <si>
    <t>Historic performance range Percentile (P40) for Discharge Permit Compliance Performance Commitment PR24</t>
  </si>
  <si>
    <t>C_ODIRISK_DIS_FEED_P45</t>
  </si>
  <si>
    <t>Historic performance range Percentile (P45) for Discharge Permit Compliance Performance Commitment PR24</t>
  </si>
  <si>
    <t>C_ODIRISK_DIS_FEED_P50</t>
  </si>
  <si>
    <t>Historic performance range Percentile (P50) for Discharge Permit Compliance Performance Commitment PR24</t>
  </si>
  <si>
    <t>C_ODIRISK_DIS_FEED_P55</t>
  </si>
  <si>
    <t>Historic performance range Percentile (P55) for Discharge Permit Compliance Performance Commitment PR24</t>
  </si>
  <si>
    <t>C_ODIRISK_DIS_FEED_P60</t>
  </si>
  <si>
    <t>Historic performance range Percentile (P60) for Discharge Permit Compliance Performance Commitment PR24</t>
  </si>
  <si>
    <t>C_ODIRISK_DIS_FEED_P65</t>
  </si>
  <si>
    <t>Historic performance range Percentile (P65) for Discharge Permit Compliance Performance Commitment PR24</t>
  </si>
  <si>
    <t>C_ODIRISK_DIS_FEED_P70</t>
  </si>
  <si>
    <t>Historic performance range Percentile (P70) for Discharge Permit Compliance Performance Commitment PR24</t>
  </si>
  <si>
    <t>C_ODIRISK_DIS_FEED_P75</t>
  </si>
  <si>
    <t>Historic performance range Percentile (P75) for Discharge Permit Compliance Performance Commitment PR24</t>
  </si>
  <si>
    <t>C_ODIRISK_DIS_FEED_P80</t>
  </si>
  <si>
    <t>Historic performance range Percentile (P80) for Discharge Permit Compliance Performance Commitment PR24</t>
  </si>
  <si>
    <t>C_ODIRISK_DIS_FEED_P85</t>
  </si>
  <si>
    <t>Historic performance range Percentile (P85) for Discharge Permit Compliance Performance Commitment PR24</t>
  </si>
  <si>
    <t>C_ODIRISK_DIS_FEED_P90</t>
  </si>
  <si>
    <t>Historic performance range Percentile (P90) for Discharge Permit Compliance Performance Commitment PR24</t>
  </si>
  <si>
    <t>Model code</t>
  </si>
  <si>
    <t>PR24OC11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</si>
</sst>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);\(#,##0\);&quot;-  &quot;;&quot; &quot;@&quot; &quot;"/>
    <numFmt numFmtId="165" formatCode="###0_);\(###0\);&quot;-  &quot;;&quot; &quot;@&quot; &quot;"/>
    <numFmt numFmtId="166" formatCode="#,##0.0_);\(#,##0.0\);&quot;-  &quot;;&quot; &quot;@&quot; &quot;"/>
    <numFmt numFmtId="167" formatCode="mmmm\ yyyy;@"/>
  </numFmts>
  <fonts count="32" x14ac:knownFonts="1"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</font>
    <font>
      <sz val="10"/>
      <color theme="0" tint="-0.249977111117893"/>
      <name val="Calibri"/>
      <family val="2"/>
      <scheme val="minor"/>
    </font>
    <font>
      <sz val="8"/>
      <name val="Arial"/>
      <family val="2"/>
    </font>
    <font>
      <sz val="10"/>
      <color rgb="FF0071CE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z val="10"/>
      <color rgb="FFD60037"/>
      <name val="Calibri"/>
      <family val="2"/>
      <scheme val="minor"/>
    </font>
    <font>
      <sz val="24"/>
      <color theme="0" tint="-0.34998626667073579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8"/>
      <color theme="1"/>
      <name val="Tahoma"/>
      <family val="2"/>
    </font>
    <font>
      <b/>
      <sz val="10"/>
      <color rgb="FF0071CE"/>
      <name val="Calibri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8"/>
      <name val="Calibri"/>
      <family val="2"/>
    </font>
    <font>
      <u/>
      <sz val="11"/>
      <color theme="10"/>
      <name val="Arial"/>
      <family val="2"/>
    </font>
    <font>
      <sz val="1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FFFF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3595"/>
        <bgColor indexed="64"/>
      </patternFill>
    </fill>
    <fill>
      <patternFill patternType="solid">
        <fgColor rgb="FFDCECF5"/>
        <bgColor indexed="64"/>
      </patternFill>
    </fill>
    <fill>
      <patternFill patternType="solid">
        <fgColor rgb="FFCCCCC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</patternFill>
    </fill>
    <fill>
      <patternFill patternType="solid">
        <fgColor rgb="FFFFFFE0"/>
      </patternFill>
    </fill>
    <fill>
      <patternFill patternType="solid">
        <fgColor rgb="FFFFDB8E"/>
        <bgColor rgb="FF000000"/>
      </patternFill>
    </fill>
    <fill>
      <patternFill patternType="solid">
        <fgColor rgb="FF003479"/>
        <bgColor rgb="FF000000"/>
      </patternFill>
    </fill>
    <fill>
      <patternFill patternType="solid">
        <fgColor rgb="FF003479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164" fontId="6" fillId="0" borderId="0" applyFill="0" applyBorder="0" applyProtection="0">
      <alignment vertical="top"/>
    </xf>
    <xf numFmtId="0" fontId="10" fillId="0" borderId="0"/>
    <xf numFmtId="9" fontId="12" fillId="0" borderId="0" applyFont="0" applyFill="0" applyBorder="0" applyAlignment="0" applyProtection="0"/>
    <xf numFmtId="164" fontId="17" fillId="0" borderId="0" applyFont="0" applyFill="0" applyBorder="0" applyProtection="0">
      <alignment vertical="top"/>
    </xf>
    <xf numFmtId="0" fontId="12" fillId="0" borderId="0"/>
    <xf numFmtId="165" fontId="6" fillId="0" borderId="0" applyFont="0" applyFill="0" applyBorder="0" applyProtection="0">
      <alignment vertical="top"/>
    </xf>
    <xf numFmtId="0" fontId="23" fillId="0" borderId="0" applyNumberFormat="0" applyFill="0" applyBorder="0" applyAlignment="0" applyProtection="0"/>
    <xf numFmtId="164" fontId="17" fillId="0" borderId="0" applyFont="0" applyFill="0" applyBorder="0" applyProtection="0">
      <alignment vertical="top"/>
    </xf>
  </cellStyleXfs>
  <cellXfs count="7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1" fontId="1" fillId="0" borderId="0" xfId="0" applyNumberFormat="1" applyFont="1" applyAlignment="1">
      <alignment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5" fillId="0" borderId="0" xfId="0" applyFont="1" applyAlignment="1">
      <alignment vertical="top"/>
    </xf>
    <xf numFmtId="164" fontId="2" fillId="0" borderId="0" xfId="1" applyFont="1">
      <alignment vertical="top"/>
    </xf>
    <xf numFmtId="2" fontId="1" fillId="0" borderId="0" xfId="0" applyNumberFormat="1" applyFont="1" applyAlignment="1">
      <alignment vertical="top"/>
    </xf>
    <xf numFmtId="0" fontId="1" fillId="4" borderId="0" xfId="0" applyFont="1" applyFill="1" applyAlignment="1">
      <alignment vertical="top"/>
    </xf>
    <xf numFmtId="2" fontId="3" fillId="0" borderId="0" xfId="0" applyNumberFormat="1" applyFont="1" applyAlignment="1">
      <alignment vertical="top"/>
    </xf>
    <xf numFmtId="9" fontId="1" fillId="0" borderId="0" xfId="0" applyNumberFormat="1" applyFont="1" applyAlignment="1">
      <alignment vertical="top"/>
    </xf>
    <xf numFmtId="0" fontId="7" fillId="5" borderId="0" xfId="0" applyFont="1" applyFill="1" applyAlignment="1">
      <alignment vertical="top"/>
    </xf>
    <xf numFmtId="9" fontId="9" fillId="0" borderId="0" xfId="0" applyNumberFormat="1" applyFont="1" applyAlignment="1">
      <alignment vertical="top"/>
    </xf>
    <xf numFmtId="0" fontId="11" fillId="0" borderId="0" xfId="0" applyFont="1"/>
    <xf numFmtId="0" fontId="3" fillId="0" borderId="0" xfId="0" applyFont="1"/>
    <xf numFmtId="0" fontId="9" fillId="0" borderId="0" xfId="0" applyFont="1" applyAlignment="1">
      <alignment vertical="top"/>
    </xf>
    <xf numFmtId="0" fontId="4" fillId="2" borderId="0" xfId="0" applyFont="1" applyFill="1" applyAlignment="1">
      <alignment horizontal="right" vertical="top"/>
    </xf>
    <xf numFmtId="0" fontId="1" fillId="0" borderId="0" xfId="0" applyFont="1" applyAlignment="1">
      <alignment horizontal="right" vertical="top"/>
    </xf>
    <xf numFmtId="164" fontId="2" fillId="0" borderId="0" xfId="1" applyFont="1" applyAlignment="1">
      <alignment horizontal="right" vertical="top"/>
    </xf>
    <xf numFmtId="1" fontId="1" fillId="0" borderId="0" xfId="0" applyNumberFormat="1" applyFont="1" applyAlignment="1">
      <alignment horizontal="right" vertical="top"/>
    </xf>
    <xf numFmtId="0" fontId="7" fillId="5" borderId="0" xfId="0" applyFont="1" applyFill="1" applyAlignment="1">
      <alignment horizontal="right" vertical="top"/>
    </xf>
    <xf numFmtId="2" fontId="3" fillId="0" borderId="0" xfId="0" applyNumberFormat="1" applyFont="1" applyAlignment="1">
      <alignment horizontal="right" vertical="top"/>
    </xf>
    <xf numFmtId="2" fontId="1" fillId="0" borderId="0" xfId="0" applyNumberFormat="1" applyFont="1" applyAlignment="1">
      <alignment horizontal="right" vertical="top"/>
    </xf>
    <xf numFmtId="9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right" vertical="top"/>
    </xf>
    <xf numFmtId="9" fontId="13" fillId="0" borderId="0" xfId="0" applyNumberFormat="1" applyFont="1" applyAlignment="1">
      <alignment vertical="top"/>
    </xf>
    <xf numFmtId="0" fontId="14" fillId="2" borderId="0" xfId="0" applyFont="1" applyFill="1" applyAlignment="1">
      <alignment horizontal="right" vertical="top"/>
    </xf>
    <xf numFmtId="0" fontId="15" fillId="0" borderId="0" xfId="0" applyFont="1" applyAlignment="1">
      <alignment horizontal="right" vertical="top"/>
    </xf>
    <xf numFmtId="164" fontId="16" fillId="0" borderId="0" xfId="1" applyFont="1" applyAlignment="1">
      <alignment horizontal="right" vertical="top"/>
    </xf>
    <xf numFmtId="0" fontId="15" fillId="5" borderId="0" xfId="0" applyFont="1" applyFill="1" applyAlignment="1">
      <alignment horizontal="right" vertical="top"/>
    </xf>
    <xf numFmtId="2" fontId="15" fillId="0" borderId="0" xfId="0" applyNumberFormat="1" applyFont="1" applyAlignment="1">
      <alignment horizontal="right" vertical="top"/>
    </xf>
    <xf numFmtId="0" fontId="3" fillId="0" borderId="0" xfId="0" applyFont="1" applyAlignment="1">
      <alignment vertical="top"/>
    </xf>
    <xf numFmtId="9" fontId="3" fillId="0" borderId="0" xfId="0" applyNumberFormat="1" applyFont="1" applyAlignment="1">
      <alignment vertical="top"/>
    </xf>
    <xf numFmtId="0" fontId="1" fillId="0" borderId="0" xfId="5" applyFont="1"/>
    <xf numFmtId="0" fontId="2" fillId="0" borderId="0" xfId="5" applyFont="1" applyAlignment="1">
      <alignment vertical="top"/>
    </xf>
    <xf numFmtId="0" fontId="3" fillId="0" borderId="0" xfId="5" applyFont="1" applyAlignment="1">
      <alignment vertical="top"/>
    </xf>
    <xf numFmtId="0" fontId="3" fillId="0" borderId="0" xfId="5" applyFont="1" applyAlignment="1">
      <alignment horizontal="center" vertical="top"/>
    </xf>
    <xf numFmtId="0" fontId="18" fillId="3" borderId="0" xfId="2" applyFont="1" applyFill="1" applyAlignment="1">
      <alignment vertical="center"/>
    </xf>
    <xf numFmtId="0" fontId="19" fillId="0" borderId="0" xfId="5" applyFont="1" applyAlignment="1">
      <alignment vertical="top"/>
    </xf>
    <xf numFmtId="0" fontId="20" fillId="0" borderId="0" xfId="5" applyFont="1" applyAlignment="1">
      <alignment vertical="top"/>
    </xf>
    <xf numFmtId="0" fontId="2" fillId="0" borderId="0" xfId="5" applyFont="1" applyAlignment="1">
      <alignment horizontal="centerContinuous" vertical="top"/>
    </xf>
    <xf numFmtId="0" fontId="21" fillId="0" borderId="0" xfId="5" applyFont="1" applyAlignment="1">
      <alignment horizontal="centerContinuous" vertical="top"/>
    </xf>
    <xf numFmtId="0" fontId="3" fillId="0" borderId="0" xfId="5" applyFont="1" applyAlignment="1">
      <alignment horizontal="centerContinuous" vertical="top"/>
    </xf>
    <xf numFmtId="0" fontId="2" fillId="0" borderId="0" xfId="5" applyFont="1" applyAlignment="1">
      <alignment horizontal="center" vertical="top"/>
    </xf>
    <xf numFmtId="0" fontId="19" fillId="0" borderId="0" xfId="5" applyFont="1" applyAlignment="1">
      <alignment horizontal="centerContinuous" vertical="top"/>
    </xf>
    <xf numFmtId="0" fontId="20" fillId="0" borderId="0" xfId="5" applyFont="1" applyAlignment="1">
      <alignment horizontal="centerContinuous" vertical="top"/>
    </xf>
    <xf numFmtId="0" fontId="1" fillId="0" borderId="0" xfId="5" applyFont="1" applyAlignment="1">
      <alignment vertical="top"/>
    </xf>
    <xf numFmtId="164" fontId="3" fillId="0" borderId="0" xfId="1" applyFont="1" applyFill="1">
      <alignment vertical="top"/>
    </xf>
    <xf numFmtId="164" fontId="1" fillId="0" borderId="0" xfId="8" applyFont="1" applyAlignment="1"/>
    <xf numFmtId="167" fontId="3" fillId="0" borderId="0" xfId="6" applyNumberFormat="1" applyFont="1" applyFill="1" applyAlignment="1">
      <alignment horizontal="left" vertical="top"/>
    </xf>
    <xf numFmtId="164" fontId="3" fillId="0" borderId="0" xfId="1" applyFont="1" applyFill="1" applyAlignment="1">
      <alignment horizontal="left" vertical="center"/>
    </xf>
    <xf numFmtId="166" fontId="3" fillId="0" borderId="0" xfId="1" applyNumberFormat="1" applyFont="1" applyFill="1" applyAlignment="1">
      <alignment horizontal="left" vertical="top"/>
    </xf>
    <xf numFmtId="164" fontId="24" fillId="0" borderId="0" xfId="1" applyFont="1" applyFill="1">
      <alignment vertical="top"/>
    </xf>
    <xf numFmtId="164" fontId="3" fillId="2" borderId="0" xfId="1" applyFont="1" applyFill="1">
      <alignment vertical="top"/>
    </xf>
    <xf numFmtId="164" fontId="4" fillId="2" borderId="0" xfId="8" applyFont="1" applyFill="1">
      <alignment vertical="top"/>
    </xf>
    <xf numFmtId="164" fontId="25" fillId="0" borderId="0" xfId="7" applyNumberFormat="1" applyFont="1" applyFill="1" applyAlignment="1">
      <alignment vertical="top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6" borderId="0" xfId="0" applyFont="1" applyFill="1"/>
    <xf numFmtId="10" fontId="27" fillId="7" borderId="0" xfId="0" applyNumberFormat="1" applyFont="1" applyFill="1"/>
    <xf numFmtId="0" fontId="27" fillId="7" borderId="0" xfId="0" applyFont="1" applyFill="1"/>
    <xf numFmtId="0" fontId="9" fillId="3" borderId="0" xfId="0" applyFont="1" applyFill="1" applyAlignment="1">
      <alignment vertical="center"/>
    </xf>
    <xf numFmtId="0" fontId="27" fillId="5" borderId="0" xfId="0" applyFont="1" applyFill="1"/>
    <xf numFmtId="9" fontId="11" fillId="8" borderId="0" xfId="3" applyFont="1" applyFill="1"/>
    <xf numFmtId="0" fontId="30" fillId="9" borderId="0" xfId="0" applyFont="1" applyFill="1"/>
    <xf numFmtId="0" fontId="27" fillId="10" borderId="0" xfId="0" applyFont="1" applyFill="1"/>
    <xf numFmtId="0" fontId="30" fillId="9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9" fillId="0" borderId="0" xfId="0" applyFont="1"/>
    <xf numFmtId="9" fontId="9" fillId="0" borderId="0" xfId="0" applyNumberFormat="1" applyFont="1"/>
    <xf numFmtId="0" fontId="27" fillId="0" borderId="0" xfId="0" applyFont="1" applyAlignment="1">
      <alignment horizontal="right"/>
    </xf>
    <xf numFmtId="0" fontId="27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11" fillId="0" borderId="0" xfId="0" applyFont="1" applyAlignment="1">
      <alignment horizontal="left"/>
    </xf>
    <xf numFmtId="1" fontId="3" fillId="0" borderId="0" xfId="0" applyNumberFormat="1" applyFont="1"/>
    <xf numFmtId="9" fontId="27" fillId="0" borderId="0" xfId="0" applyNumberFormat="1" applyFont="1"/>
    <xf numFmtId="0" fontId="22" fillId="0" borderId="0" xfId="0" applyFont="1" applyAlignment="1">
      <alignment vertical="top"/>
    </xf>
  </cellXfs>
  <cellStyles count="9">
    <cellStyle name="Hyperlink" xfId="7" builtinId="8"/>
    <cellStyle name="Normal" xfId="0" builtinId="0"/>
    <cellStyle name="Normal 2" xfId="1" xr:uid="{7B0540D0-879D-47A7-8A97-092585E19F6D}"/>
    <cellStyle name="Normal 3" xfId="4" xr:uid="{EF5CF0A3-6DB8-4CB5-BAB6-2D0519890A41}"/>
    <cellStyle name="Normal 3 2" xfId="8" xr:uid="{2D2A4250-54EF-4EA2-A289-A77B5BC37376}"/>
    <cellStyle name="Normal 7" xfId="2" xr:uid="{77B897B4-101E-406C-88EA-F35488D45565}"/>
    <cellStyle name="Normal 8" xfId="5" xr:uid="{AADD73C9-EEE6-4D96-A376-6F6B2FFA1774}"/>
    <cellStyle name="Per cent" xfId="3" builtinId="5"/>
    <cellStyle name="Year" xfId="6" xr:uid="{D9725D2F-6266-499A-83E5-0DD010E8311A}"/>
  </cellStyles>
  <dxfs count="0"/>
  <tableStyles count="0" defaultTableStyle="TableStyleMedium2" defaultPivotStyle="PivotStyleLight16"/>
  <colors>
    <mruColors>
      <color rgb="FFFFDB8E"/>
      <color rgb="FFCCCCCE"/>
      <color rgb="FF98C561"/>
      <color rgb="FF0071CE"/>
      <color rgb="FFD600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38916</xdr:colOff>
      <xdr:row>11</xdr:row>
      <xdr:rowOff>103413</xdr:rowOff>
    </xdr:from>
    <xdr:to>
      <xdr:col>8</xdr:col>
      <xdr:colOff>560101</xdr:colOff>
      <xdr:row>25</xdr:row>
      <xdr:rowOff>250031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990DB7DC-E715-441F-89C8-D905C4ACF42A}"/>
            </a:ext>
          </a:extLst>
        </xdr:cNvPr>
        <xdr:cNvSpPr txBox="1"/>
      </xdr:nvSpPr>
      <xdr:spPr>
        <a:xfrm>
          <a:off x="648516" y="1989363"/>
          <a:ext cx="4788385" cy="2470718"/>
        </a:xfrm>
        <a:prstGeom prst="rect">
          <a:avLst/>
        </a:prstGeom>
        <a:noFill/>
        <a:ln>
          <a:noFill/>
        </a:ln>
      </xdr:spPr>
      <xdr:txBody>
        <a:bodyPr lIns="27432" tIns="22860" rIns="0" bIns="0" rtlCol="0"/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Summary of the model:</a:t>
          </a:r>
          <a:endParaRPr lang="en-US" sz="1000" b="1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endParaRPr lang="en-GB" sz="1000">
            <a:effectLst/>
          </a:endParaRPr>
        </a:p>
        <a:p>
          <a:r>
            <a:rPr lang="en-US" sz="1100" baseline="0">
              <a:effectLst/>
              <a:latin typeface="+mn-lt"/>
              <a:ea typeface="+mn-ea"/>
              <a:cs typeface="+mn-cs"/>
            </a:rPr>
            <a:t>This model uses historical performance data to forecast future performance percentiles for PR24 performance commitment: Discharge Permit Compliance (DPC).</a:t>
          </a:r>
          <a:endParaRPr lang="en-GB" sz="1000">
            <a:effectLst/>
          </a:endParaRPr>
        </a:p>
        <a:p>
          <a:pPr rtl="0" fontAlgn="base"/>
          <a:r>
            <a:rPr lang="en-GB" sz="1100" b="0" i="0">
              <a:effectLst/>
              <a:latin typeface="+mn-lt"/>
              <a:ea typeface="+mn-ea"/>
              <a:cs typeface="+mn-cs"/>
            </a:rPr>
            <a:t>This performance commitment (PC) is a continuation of the Treatment works compliance PC from PR19. However, it now includes water treatment works and it applies to water-only companies</a:t>
          </a:r>
          <a:r>
            <a:rPr lang="en-GB" sz="1100" b="0" i="0" baseline="0">
              <a:effectLst/>
              <a:latin typeface="+mn-lt"/>
              <a:ea typeface="+mn-ea"/>
              <a:cs typeface="+mn-cs"/>
            </a:rPr>
            <a:t> (</a:t>
          </a:r>
          <a:r>
            <a:rPr lang="en-GB" sz="1100" b="0" i="0">
              <a:effectLst/>
              <a:latin typeface="+mn-lt"/>
              <a:ea typeface="+mn-ea"/>
              <a:cs typeface="+mn-cs"/>
            </a:rPr>
            <a:t>WoCs) as well as water and sewerage</a:t>
          </a:r>
          <a:r>
            <a:rPr lang="en-GB" sz="1100" b="0" i="0" baseline="0">
              <a:effectLst/>
              <a:latin typeface="+mn-lt"/>
              <a:ea typeface="+mn-ea"/>
              <a:cs typeface="+mn-cs"/>
            </a:rPr>
            <a:t> companies (</a:t>
          </a:r>
          <a:r>
            <a:rPr lang="en-GB" sz="1100" b="0" i="0">
              <a:effectLst/>
              <a:latin typeface="+mn-lt"/>
              <a:ea typeface="+mn-ea"/>
              <a:cs typeface="+mn-cs"/>
            </a:rPr>
            <a:t>WaSCs).</a:t>
          </a:r>
          <a:r>
            <a:rPr lang="en-US" sz="1100" b="0" i="0">
              <a:effectLst/>
              <a:latin typeface="+mn-lt"/>
              <a:ea typeface="+mn-ea"/>
              <a:cs typeface="+mn-cs"/>
            </a:rPr>
            <a:t>​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 i="0">
              <a:effectLst/>
              <a:latin typeface="+mn-lt"/>
              <a:ea typeface="+mn-ea"/>
              <a:cs typeface="+mn-cs"/>
            </a:rPr>
            <a:t>We can use historic performance data to estimate a performance range for WaSCs. Since this data is dominated by sewage treatment works, an estimated performance range would not be applicable to WoCs.</a:t>
          </a:r>
          <a:r>
            <a:rPr lang="en-US" sz="1100" b="0" i="0">
              <a:effectLst/>
              <a:latin typeface="+mn-lt"/>
              <a:ea typeface="+mn-ea"/>
              <a:cs typeface="+mn-cs"/>
            </a:rPr>
            <a:t>​</a:t>
          </a:r>
          <a:endParaRPr lang="en-GB" sz="1000">
            <a:effectLst/>
          </a:endParaRPr>
        </a:p>
        <a:p>
          <a:pPr rtl="0" fontAlgn="base"/>
          <a:r>
            <a:rPr lang="en-GB" sz="1100" b="0" i="0">
              <a:effectLst/>
              <a:latin typeface="+mn-lt"/>
              <a:ea typeface="+mn-ea"/>
              <a:cs typeface="+mn-cs"/>
            </a:rPr>
            <a:t>​</a:t>
          </a:r>
          <a:endParaRPr lang="en-GB" sz="1000">
            <a:effectLst/>
          </a:endParaRPr>
        </a:p>
        <a:p>
          <a:r>
            <a:rPr lang="en-US" sz="1100" baseline="0">
              <a:effectLst/>
              <a:latin typeface="+mn-lt"/>
              <a:ea typeface="+mn-ea"/>
              <a:cs typeface="+mn-cs"/>
            </a:rPr>
            <a:t>The outputs from this model will feed into the 'ODI Risk - 5 Year Additive Performance Range' model and the 'ODI Risk - Monte Carlo set up' model.</a:t>
          </a:r>
          <a:endParaRPr lang="en-GB" sz="1000">
            <a:effectLst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Quality assurance: </a:t>
          </a:r>
          <a:endParaRPr lang="en-US" sz="1000" b="1">
            <a:latin typeface="+mn-lt"/>
            <a:ea typeface="+mn-lt"/>
            <a:cs typeface="+mn-lt"/>
          </a:endParaRPr>
        </a:p>
        <a:p>
          <a:pPr marL="0" indent="0" algn="l"/>
          <a:endParaRPr lang="en-US" sz="1000">
            <a:latin typeface="+mn-lt"/>
            <a:ea typeface="+mn-lt"/>
            <a:cs typeface="+mn-lt"/>
          </a:endParaRPr>
        </a:p>
        <a:p>
          <a:pPr marL="0" indent="0" algn="l"/>
          <a:r>
            <a:rPr lang="en-US" sz="1000">
              <a:latin typeface="+mn-lt"/>
              <a:ea typeface="+mn-lt"/>
              <a:cs typeface="+mn-lt"/>
            </a:rPr>
            <a:t>An earlier model has been subject to Ofwat internal quality assurance </a:t>
          </a:r>
        </a:p>
        <a:p>
          <a:pPr marL="0" indent="0" algn="l"/>
          <a:r>
            <a:rPr lang="en-US" sz="1000">
              <a:latin typeface="+mn-lt"/>
              <a:ea typeface="+mn-lt"/>
              <a:cs typeface="+mn-lt"/>
            </a:rPr>
            <a:t>Further changes detailed below have been subject to internal QA.</a:t>
          </a:r>
        </a:p>
        <a:p>
          <a:pPr marL="0" indent="0" algn="l"/>
          <a:r>
            <a:rPr lang="en-US" sz="1000">
              <a:latin typeface="+mn-lt"/>
              <a:ea typeface="+mn-lt"/>
              <a:cs typeface="+mn-lt"/>
            </a:rPr>
            <a:t>  </a:t>
          </a:r>
          <a:endParaRPr lang="en-US" sz="1000" b="1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000" b="1">
              <a:solidFill>
                <a:srgbClr val="000000"/>
              </a:solidFill>
              <a:latin typeface="+mn-lt"/>
              <a:ea typeface="+mn-lt"/>
              <a:cs typeface="+mn-lt"/>
            </a:rPr>
            <a:t>Disclaimer:</a:t>
          </a:r>
        </a:p>
        <a:p>
          <a:pPr marL="0" indent="0" algn="l"/>
          <a:endParaRPr lang="en-US" sz="1000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i="0">
              <a:effectLst/>
              <a:latin typeface="+mn-lt"/>
              <a:ea typeface="+mn-ea"/>
              <a:cs typeface="+mn-cs"/>
            </a:rPr>
            <a:t>This model is part of our final determinations setting out the price, service, and incentive package for water companies for the period 2025-30. It should be read together with the other documents and information that we have now published.</a:t>
          </a:r>
          <a:endParaRPr lang="en-GB" sz="1000" i="0"/>
        </a:p>
        <a:p>
          <a:pPr marL="0" indent="0" algn="l"/>
          <a:endParaRPr lang="en-US" sz="1000" b="1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000" b="1">
              <a:solidFill>
                <a:srgbClr val="000000"/>
              </a:solidFill>
              <a:latin typeface="+mn-lt"/>
              <a:ea typeface="+mn-lt"/>
              <a:cs typeface="+mn-lt"/>
            </a:rPr>
            <a:t>Changes since previous published model:</a:t>
          </a:r>
        </a:p>
        <a:p>
          <a:pPr marL="0" indent="0" algn="l"/>
          <a:endParaRPr lang="en-US" sz="1000" b="0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r>
            <a:rPr lang="en-GB" sz="1100" b="0">
              <a:effectLst/>
              <a:latin typeface="+mn-lt"/>
              <a:ea typeface="+mn-ea"/>
              <a:cs typeface="+mn-cs"/>
            </a:rPr>
            <a:t>This</a:t>
          </a:r>
          <a:r>
            <a:rPr lang="en-GB" sz="1100" b="0" baseline="0">
              <a:effectLst/>
              <a:latin typeface="+mn-lt"/>
              <a:ea typeface="+mn-ea"/>
              <a:cs typeface="+mn-cs"/>
            </a:rPr>
            <a:t> model has been updated with an additional year of outturn data from 2023-24.</a:t>
          </a:r>
          <a:endParaRPr lang="en-GB">
            <a:effectLst/>
          </a:endParaRPr>
        </a:p>
      </xdr:txBody>
    </xdr:sp>
    <xdr:clientData/>
  </xdr:twoCellAnchor>
  <xdr:oneCellAnchor>
    <xdr:from>
      <xdr:col>6</xdr:col>
      <xdr:colOff>514351</xdr:colOff>
      <xdr:row>1</xdr:row>
      <xdr:rowOff>9524</xdr:rowOff>
    </xdr:from>
    <xdr:ext cx="1667736" cy="922911"/>
    <xdr:pic>
      <xdr:nvPicPr>
        <xdr:cNvPr id="3" name="Picture 2">
          <a:extLst>
            <a:ext uri="{FF2B5EF4-FFF2-40B4-BE49-F238E27FC236}">
              <a16:creationId xmlns:a16="http://schemas.microsoft.com/office/drawing/2014/main" id="{2A8AD01B-7DF9-47B5-9111-8F592C786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1951" y="180974"/>
          <a:ext cx="1667736" cy="92291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1790383</xdr:colOff>
      <xdr:row>13</xdr:row>
      <xdr:rowOff>27161</xdr:rowOff>
    </xdr:from>
    <xdr:to>
      <xdr:col>11</xdr:col>
      <xdr:colOff>201490</xdr:colOff>
      <xdr:row>16</xdr:row>
      <xdr:rowOff>164803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4A7008D-413D-4F88-8386-26FB743DF7C5}"/>
            </a:ext>
            <a:ext uri="{147F2762-F138-4A5C-976F-8EAC2B608ADB}">
              <a16:predDERef xmlns:a16="http://schemas.microsoft.com/office/drawing/2014/main" pred="{5C5290BD-E8EF-41A3-86C1-F96D83AC2561}"/>
            </a:ext>
          </a:extLst>
        </xdr:cNvPr>
        <xdr:cNvSpPr/>
      </xdr:nvSpPr>
      <xdr:spPr>
        <a:xfrm>
          <a:off x="2884843" y="2394674"/>
          <a:ext cx="1181599" cy="632209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100" baseline="0"/>
            <a:t>Difference to PCL</a:t>
          </a:r>
        </a:p>
      </xdr:txBody>
    </xdr:sp>
    <xdr:clientData/>
  </xdr:twoCellAnchor>
  <xdr:twoCellAnchor>
    <xdr:from>
      <xdr:col>7</xdr:col>
      <xdr:colOff>260576</xdr:colOff>
      <xdr:row>13</xdr:row>
      <xdr:rowOff>30301</xdr:rowOff>
    </xdr:from>
    <xdr:to>
      <xdr:col>7</xdr:col>
      <xdr:colOff>1282211</xdr:colOff>
      <xdr:row>17</xdr:row>
      <xdr:rowOff>7849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B513046-15ED-4B15-A54A-DA0CD4C9688C}"/>
            </a:ext>
            <a:ext uri="{147F2762-F138-4A5C-976F-8EAC2B608ADB}">
              <a16:predDERef xmlns:a16="http://schemas.microsoft.com/office/drawing/2014/main" pred="{B4A7008D-413D-4F88-8386-26FB743DF7C5}"/>
            </a:ext>
          </a:extLst>
        </xdr:cNvPr>
        <xdr:cNvSpPr/>
      </xdr:nvSpPr>
      <xdr:spPr>
        <a:xfrm>
          <a:off x="1355036" y="2397814"/>
          <a:ext cx="1021635" cy="636971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>
              <a:effectLst/>
            </a:rPr>
            <a:t>Inputs_All</a:t>
          </a:r>
        </a:p>
      </xdr:txBody>
    </xdr:sp>
    <xdr:clientData/>
  </xdr:twoCellAnchor>
  <xdr:twoCellAnchor>
    <xdr:from>
      <xdr:col>12</xdr:col>
      <xdr:colOff>113636</xdr:colOff>
      <xdr:row>13</xdr:row>
      <xdr:rowOff>28380</xdr:rowOff>
    </xdr:from>
    <xdr:to>
      <xdr:col>16</xdr:col>
      <xdr:colOff>361767</xdr:colOff>
      <xdr:row>17</xdr:row>
      <xdr:rowOff>1165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17D15B3-082D-4A31-92A6-99579BE2F565}"/>
            </a:ext>
            <a:ext uri="{147F2762-F138-4A5C-976F-8EAC2B608ADB}">
              <a16:predDERef xmlns:a16="http://schemas.microsoft.com/office/drawing/2014/main" pred="{0AAF5A60-E078-456D-9A4A-5E79228AB273}"/>
            </a:ext>
          </a:extLst>
        </xdr:cNvPr>
        <xdr:cNvSpPr/>
      </xdr:nvSpPr>
      <xdr:spPr>
        <a:xfrm>
          <a:off x="6075920" y="2395893"/>
          <a:ext cx="1104465" cy="632208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100"/>
            <a:t>Final</a:t>
          </a:r>
          <a:r>
            <a:rPr lang="en-GB" sz="1100" baseline="0"/>
            <a:t> Output</a:t>
          </a:r>
          <a:endParaRPr lang="en-GB" sz="1100"/>
        </a:p>
      </xdr:txBody>
    </xdr:sp>
    <xdr:clientData/>
  </xdr:twoCellAnchor>
  <xdr:twoCellAnchor>
    <xdr:from>
      <xdr:col>11</xdr:col>
      <xdr:colOff>711889</xdr:colOff>
      <xdr:row>13</xdr:row>
      <xdr:rowOff>25668</xdr:rowOff>
    </xdr:from>
    <xdr:to>
      <xdr:col>11</xdr:col>
      <xdr:colOff>1661668</xdr:colOff>
      <xdr:row>16</xdr:row>
      <xdr:rowOff>149024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B17A6FB-B950-4EF7-88EC-CC0D1B65A4FF}"/>
            </a:ext>
            <a:ext uri="{147F2762-F138-4A5C-976F-8EAC2B608ADB}">
              <a16:predDERef xmlns:a16="http://schemas.microsoft.com/office/drawing/2014/main" pred="{C013E088-361E-488B-80FC-EA811F41D638}"/>
            </a:ext>
          </a:extLst>
        </xdr:cNvPr>
        <xdr:cNvSpPr/>
      </xdr:nvSpPr>
      <xdr:spPr>
        <a:xfrm>
          <a:off x="4576841" y="2393181"/>
          <a:ext cx="949779" cy="617923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100"/>
            <a:t>Percentiles</a:t>
          </a:r>
        </a:p>
      </xdr:txBody>
    </xdr:sp>
    <xdr:clientData/>
  </xdr:twoCellAnchor>
  <xdr:twoCellAnchor>
    <xdr:from>
      <xdr:col>7</xdr:col>
      <xdr:colOff>1282211</xdr:colOff>
      <xdr:row>15</xdr:row>
      <xdr:rowOff>13555</xdr:rowOff>
    </xdr:from>
    <xdr:to>
      <xdr:col>7</xdr:col>
      <xdr:colOff>1790383</xdr:colOff>
      <xdr:row>15</xdr:row>
      <xdr:rowOff>19076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51C48731-6314-C98A-EDB9-0057DAB2A444}"/>
            </a:ext>
          </a:extLst>
        </xdr:cNvPr>
        <xdr:cNvCxnSpPr>
          <a:stCxn id="4" idx="3"/>
          <a:endCxn id="3" idx="1"/>
        </xdr:cNvCxnSpPr>
      </xdr:nvCxnSpPr>
      <xdr:spPr>
        <a:xfrm flipV="1">
          <a:off x="2376671" y="2710779"/>
          <a:ext cx="508172" cy="55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201490</xdr:colOff>
      <xdr:row>15</xdr:row>
      <xdr:rowOff>4919</xdr:rowOff>
    </xdr:from>
    <xdr:to>
      <xdr:col>11</xdr:col>
      <xdr:colOff>711889</xdr:colOff>
      <xdr:row>15</xdr:row>
      <xdr:rowOff>13555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37332EB6-AD28-99C9-0715-D69CF90EFEB0}"/>
            </a:ext>
          </a:extLst>
        </xdr:cNvPr>
        <xdr:cNvCxnSpPr>
          <a:stCxn id="3" idx="3"/>
          <a:endCxn id="16" idx="1"/>
        </xdr:cNvCxnSpPr>
      </xdr:nvCxnSpPr>
      <xdr:spPr>
        <a:xfrm flipV="1">
          <a:off x="4066442" y="2702143"/>
          <a:ext cx="510399" cy="86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1661668</xdr:colOff>
      <xdr:row>15</xdr:row>
      <xdr:rowOff>4919</xdr:rowOff>
    </xdr:from>
    <xdr:to>
      <xdr:col>12</xdr:col>
      <xdr:colOff>113636</xdr:colOff>
      <xdr:row>15</xdr:row>
      <xdr:rowOff>14773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AF4884AA-378F-FFBF-4D07-BC4188F42D93}"/>
            </a:ext>
          </a:extLst>
        </xdr:cNvPr>
        <xdr:cNvCxnSpPr>
          <a:stCxn id="16" idx="3"/>
          <a:endCxn id="8" idx="1"/>
        </xdr:cNvCxnSpPr>
      </xdr:nvCxnSpPr>
      <xdr:spPr>
        <a:xfrm>
          <a:off x="5526620" y="2702143"/>
          <a:ext cx="549300" cy="98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R24@ofwat.gov.u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A53C-6B13-4D6E-BAF0-A417D41BF674}">
  <sheetPr>
    <tabColor rgb="FFCCCCCE"/>
    <outlinePr summaryBelow="0" summaryRight="0"/>
  </sheetPr>
  <dimension ref="A1:XFC91"/>
  <sheetViews>
    <sheetView showGridLines="0" tabSelected="1" zoomScale="80" zoomScaleNormal="80" workbookViewId="0"/>
  </sheetViews>
  <sheetFormatPr defaultColWidth="8" defaultRowHeight="0" customHeight="1" zeroHeight="1" x14ac:dyDescent="0.35"/>
  <cols>
    <col min="1" max="1" width="7.625" style="48" customWidth="1"/>
    <col min="2" max="2" width="57.625" style="48" bestFit="1" customWidth="1"/>
    <col min="3" max="3" width="13.5" style="48" customWidth="1"/>
    <col min="4" max="11" width="8" style="48" customWidth="1"/>
    <col min="12" max="13" width="8" style="48" hidden="1" customWidth="1"/>
    <col min="14" max="16383" width="0" style="48" hidden="1" customWidth="1"/>
    <col min="16384" max="16384" width="8.25" style="48" hidden="1" customWidth="1"/>
  </cols>
  <sheetData>
    <row r="1" spans="1:10" ht="30.75" x14ac:dyDescent="0.35">
      <c r="A1" s="55" t="str">
        <f ca="1" xml:space="preserve"> RIGHT(CELL("filename", $A$1), LEN(CELL("filename", $A$1)) - SEARCH("]", CELL("filename", $A$1)))</f>
        <v>Cover</v>
      </c>
      <c r="B1" s="55"/>
      <c r="C1" s="54"/>
      <c r="D1" s="54"/>
      <c r="E1" s="54"/>
      <c r="F1" s="54"/>
      <c r="G1" s="54"/>
      <c r="H1" s="54"/>
      <c r="I1" s="54"/>
      <c r="J1" s="54"/>
    </row>
    <row r="2" spans="1:10" ht="13.15" x14ac:dyDescent="0.35"/>
    <row r="3" spans="1:10" s="53" customFormat="1" ht="23.25" x14ac:dyDescent="0.35">
      <c r="B3" s="78" t="s">
        <v>2</v>
      </c>
    </row>
    <row r="4" spans="1:10" ht="13.15" x14ac:dyDescent="0.35"/>
    <row r="5" spans="1:10" ht="13.15" x14ac:dyDescent="0.35">
      <c r="B5" s="48" t="s">
        <v>139</v>
      </c>
      <c r="C5" s="52" t="s">
        <v>140</v>
      </c>
    </row>
    <row r="6" spans="1:10" ht="13.15" x14ac:dyDescent="0.35">
      <c r="B6" s="48" t="s">
        <v>3</v>
      </c>
      <c r="C6" s="52">
        <v>1</v>
      </c>
    </row>
    <row r="7" spans="1:10" ht="13.15" x14ac:dyDescent="0.35">
      <c r="B7" s="48" t="s">
        <v>4</v>
      </c>
      <c r="C7" s="51" t="str">
        <f ca="1" xml:space="preserve"> MID(CELL("filename"), FIND("[", CELL("filename"), 1) + 1, FIND("]", CELL("filename"), 1) - FIND("[", CELL("filename"), 1) - 1)</f>
        <v>PR24 FD OC11 ODI risk - Feeder Model (Discharge Permit Compliance).xlsx</v>
      </c>
    </row>
    <row r="8" spans="1:10" ht="13.15" x14ac:dyDescent="0.35">
      <c r="B8" s="48" t="s">
        <v>5</v>
      </c>
      <c r="C8" s="50">
        <v>45627</v>
      </c>
    </row>
    <row r="9" spans="1:10" ht="13.15" x14ac:dyDescent="0.35"/>
    <row r="10" spans="1:10" ht="14.25" x14ac:dyDescent="0.35">
      <c r="B10" s="48" t="s">
        <v>6</v>
      </c>
      <c r="C10" s="56" t="s">
        <v>7</v>
      </c>
    </row>
    <row r="11" spans="1:10" ht="13.15" x14ac:dyDescent="0.4">
      <c r="C11" s="49"/>
    </row>
    <row r="12" spans="1:10" ht="13.15" x14ac:dyDescent="0.35"/>
    <row r="13" spans="1:10" ht="13.15" x14ac:dyDescent="0.35"/>
    <row r="14" spans="1:10" ht="13.15" x14ac:dyDescent="0.35"/>
    <row r="15" spans="1:10" ht="13.15" x14ac:dyDescent="0.35"/>
    <row r="16" spans="1:10" ht="13.15" x14ac:dyDescent="0.35"/>
    <row r="17" spans="2:2" ht="13.15" x14ac:dyDescent="0.35"/>
    <row r="18" spans="2:2" ht="13.15" x14ac:dyDescent="0.35"/>
    <row r="19" spans="2:2" ht="13.15" x14ac:dyDescent="0.35"/>
    <row r="20" spans="2:2" ht="14.25" x14ac:dyDescent="0.45">
      <c r="B20" s="57"/>
    </row>
    <row r="21" spans="2:2" ht="13.15" x14ac:dyDescent="0.35"/>
    <row r="22" spans="2:2" ht="13.15" x14ac:dyDescent="0.35"/>
    <row r="23" spans="2:2" ht="13.15" x14ac:dyDescent="0.35"/>
    <row r="24" spans="2:2" ht="13.15" x14ac:dyDescent="0.35"/>
    <row r="25" spans="2:2" ht="13.15" x14ac:dyDescent="0.35"/>
    <row r="26" spans="2:2" ht="13.15" x14ac:dyDescent="0.35"/>
    <row r="27" spans="2:2" ht="13.15" x14ac:dyDescent="0.35"/>
    <row r="28" spans="2:2" ht="13.15" x14ac:dyDescent="0.35"/>
    <row r="29" spans="2:2" ht="13.15" x14ac:dyDescent="0.35"/>
    <row r="30" spans="2:2" ht="13.15" x14ac:dyDescent="0.35"/>
    <row r="31" spans="2:2" ht="13.15" x14ac:dyDescent="0.35"/>
    <row r="32" spans="2:2" ht="13.15" x14ac:dyDescent="0.35"/>
    <row r="33" ht="13.15" x14ac:dyDescent="0.35"/>
    <row r="34" ht="13.15" x14ac:dyDescent="0.35"/>
    <row r="35" ht="13.15" x14ac:dyDescent="0.35"/>
    <row r="36" ht="13.15" x14ac:dyDescent="0.35"/>
    <row r="37" ht="13.15" hidden="1" x14ac:dyDescent="0.35"/>
    <row r="38" ht="13.15" hidden="1" x14ac:dyDescent="0.35"/>
    <row r="39" ht="13.5" hidden="1" customHeight="1" x14ac:dyDescent="0.35"/>
    <row r="40" ht="13.5" hidden="1" customHeight="1" x14ac:dyDescent="0.35"/>
    <row r="41" ht="13.5" hidden="1" customHeight="1" x14ac:dyDescent="0.35"/>
    <row r="42" ht="13.5" hidden="1" customHeight="1" x14ac:dyDescent="0.35"/>
    <row r="43" ht="13.5" hidden="1" customHeight="1" x14ac:dyDescent="0.35"/>
    <row r="44" ht="13.5" hidden="1" customHeight="1" x14ac:dyDescent="0.35"/>
    <row r="45" ht="13.5" hidden="1" customHeight="1" x14ac:dyDescent="0.35"/>
    <row r="46" ht="13.5" hidden="1" customHeight="1" x14ac:dyDescent="0.35"/>
    <row r="47" ht="13.5" hidden="1" customHeight="1" x14ac:dyDescent="0.35"/>
    <row r="48" ht="13.5" hidden="1" customHeight="1" x14ac:dyDescent="0.35"/>
    <row r="49" ht="13.5" hidden="1" customHeight="1" x14ac:dyDescent="0.35"/>
    <row r="50" ht="13.5" hidden="1" customHeight="1" x14ac:dyDescent="0.35"/>
    <row r="51" ht="13.5" hidden="1" customHeight="1" x14ac:dyDescent="0.35"/>
    <row r="52" ht="13.5" hidden="1" customHeight="1" x14ac:dyDescent="0.35"/>
    <row r="53" ht="13.5" hidden="1" customHeight="1" x14ac:dyDescent="0.35"/>
    <row r="54" ht="13.5" hidden="1" customHeight="1" x14ac:dyDescent="0.35"/>
    <row r="55" ht="13.5" hidden="1" customHeight="1" x14ac:dyDescent="0.35"/>
    <row r="56" ht="13.5" hidden="1" customHeight="1" x14ac:dyDescent="0.35"/>
    <row r="57" ht="13.5" hidden="1" customHeight="1" x14ac:dyDescent="0.35"/>
    <row r="58" ht="13.5" hidden="1" customHeight="1" x14ac:dyDescent="0.35"/>
    <row r="59" ht="13.5" hidden="1" customHeight="1" x14ac:dyDescent="0.35"/>
    <row r="60" ht="13.5" hidden="1" customHeight="1" x14ac:dyDescent="0.35"/>
    <row r="61" ht="13.5" hidden="1" customHeight="1" x14ac:dyDescent="0.35"/>
    <row r="62" ht="13.5" hidden="1" customHeight="1" x14ac:dyDescent="0.35"/>
    <row r="63" ht="13.5" hidden="1" customHeight="1" x14ac:dyDescent="0.35"/>
    <row r="64" ht="13.5" hidden="1" customHeight="1" x14ac:dyDescent="0.35"/>
    <row r="65" ht="13.5" hidden="1" customHeight="1" x14ac:dyDescent="0.35"/>
    <row r="66" ht="13.5" hidden="1" customHeight="1" x14ac:dyDescent="0.35"/>
    <row r="67" ht="13.5" hidden="1" customHeight="1" x14ac:dyDescent="0.35"/>
    <row r="68" ht="13.5" hidden="1" customHeight="1" x14ac:dyDescent="0.35"/>
    <row r="69" ht="13.5" hidden="1" customHeight="1" x14ac:dyDescent="0.35"/>
    <row r="70" ht="13.5" hidden="1" customHeight="1" x14ac:dyDescent="0.35"/>
    <row r="71" ht="13.5" hidden="1" customHeight="1" x14ac:dyDescent="0.35"/>
    <row r="72" ht="13.5" hidden="1" customHeight="1" x14ac:dyDescent="0.35"/>
    <row r="73" ht="13.5" hidden="1" customHeight="1" x14ac:dyDescent="0.35"/>
    <row r="74" ht="13.5" hidden="1" customHeight="1" x14ac:dyDescent="0.35"/>
    <row r="75" ht="13.5" hidden="1" customHeight="1" x14ac:dyDescent="0.35"/>
    <row r="76" ht="13.5" hidden="1" customHeight="1" x14ac:dyDescent="0.35"/>
    <row r="77" ht="13.5" hidden="1" customHeight="1" x14ac:dyDescent="0.35"/>
    <row r="78" ht="13.5" hidden="1" customHeight="1" x14ac:dyDescent="0.35"/>
    <row r="79" ht="13.5" hidden="1" customHeight="1" x14ac:dyDescent="0.35"/>
    <row r="80" ht="13.5" hidden="1" customHeight="1" x14ac:dyDescent="0.35"/>
    <row r="81" ht="13.5" hidden="1" customHeight="1" x14ac:dyDescent="0.35"/>
    <row r="82" ht="13.5" hidden="1" customHeight="1" x14ac:dyDescent="0.35"/>
    <row r="83" ht="13.5" hidden="1" customHeight="1" x14ac:dyDescent="0.35"/>
    <row r="84" ht="13.5" hidden="1" customHeight="1" x14ac:dyDescent="0.35"/>
    <row r="85" ht="13.5" hidden="1" customHeight="1" x14ac:dyDescent="0.35"/>
    <row r="86" ht="13.5" hidden="1" customHeight="1" x14ac:dyDescent="0.35"/>
    <row r="87" ht="13.5" hidden="1" customHeight="1" x14ac:dyDescent="0.35"/>
    <row r="88" ht="13.5" hidden="1" customHeight="1" x14ac:dyDescent="0.35"/>
    <row r="89" ht="13.5" hidden="1" customHeight="1" x14ac:dyDescent="0.35"/>
    <row r="90" ht="13.5" hidden="1" customHeight="1" x14ac:dyDescent="0.35"/>
    <row r="91" ht="13.5" hidden="1" customHeight="1" x14ac:dyDescent="0.35"/>
  </sheetData>
  <hyperlinks>
    <hyperlink ref="C10" r:id="rId1" xr:uid="{F0418EC1-EEB1-4A77-9CA2-7F171728359B}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2A35-FEB0-41E6-B3C6-D16AB65C9819}">
  <sheetPr codeName="Sheet2">
    <tabColor rgb="FFCCCCCE"/>
    <pageSetUpPr fitToPage="1"/>
  </sheetPr>
  <dimension ref="A1:AX28"/>
  <sheetViews>
    <sheetView showGridLines="0" zoomScale="80" zoomScaleNormal="80" workbookViewId="0"/>
  </sheetViews>
  <sheetFormatPr defaultColWidth="0" defaultRowHeight="13.15" customHeight="1" zeroHeight="1" x14ac:dyDescent="0.4"/>
  <cols>
    <col min="1" max="4" width="1.375" style="47" customWidth="1"/>
    <col min="5" max="5" width="2.375" style="47" customWidth="1"/>
    <col min="6" max="6" width="4" style="47" customWidth="1"/>
    <col min="7" max="7" width="2.375" style="47" customWidth="1"/>
    <col min="8" max="8" width="27.5" style="47" customWidth="1"/>
    <col min="9" max="9" width="2.375" style="47" customWidth="1"/>
    <col min="10" max="10" width="4" style="47" customWidth="1"/>
    <col min="11" max="11" width="2.375" style="47" customWidth="1"/>
    <col min="12" max="12" width="27.5" style="47" customWidth="1"/>
    <col min="13" max="13" width="2.375" style="47" customWidth="1"/>
    <col min="14" max="14" width="4" style="47" customWidth="1"/>
    <col min="15" max="16" width="2.375" style="47" customWidth="1"/>
    <col min="17" max="17" width="27.5" style="47" customWidth="1"/>
    <col min="18" max="20" width="2.375" style="47" hidden="1" customWidth="1"/>
    <col min="21" max="21" width="4" style="47" hidden="1" customWidth="1"/>
    <col min="22" max="22" width="2.375" style="47" hidden="1" customWidth="1"/>
    <col min="23" max="23" width="27.5" style="47" hidden="1" customWidth="1"/>
    <col min="24" max="24" width="2.375" style="47" hidden="1" customWidth="1"/>
    <col min="25" max="25" width="4" style="47" hidden="1" customWidth="1"/>
    <col min="26" max="26" width="2.375" style="47" hidden="1" customWidth="1"/>
    <col min="27" max="27" width="27.5" style="47" hidden="1" customWidth="1"/>
    <col min="28" max="28" width="2.375" style="47" hidden="1" customWidth="1"/>
    <col min="29" max="29" width="4" style="47" hidden="1" customWidth="1"/>
    <col min="30" max="30" width="5.125" style="47" hidden="1" customWidth="1"/>
    <col min="31" max="32" width="2.375" style="47" hidden="1" customWidth="1"/>
    <col min="33" max="33" width="27.5" style="47" hidden="1" customWidth="1"/>
    <col min="34" max="34" width="2.375" style="47" hidden="1" customWidth="1"/>
    <col min="35" max="35" width="5.125" style="47" hidden="1" customWidth="1"/>
    <col min="36" max="36" width="2.375" style="47" hidden="1" customWidth="1"/>
    <col min="37" max="37" width="27.5" style="47" hidden="1" customWidth="1"/>
    <col min="38" max="39" width="2.375" style="47" hidden="1" customWidth="1"/>
    <col min="40" max="40" width="6.25" style="34" hidden="1" customWidth="1"/>
    <col min="41" max="50" width="6.375" style="34" hidden="1" customWidth="1"/>
    <col min="51" max="16384" width="6.25" style="34" hidden="1"/>
  </cols>
  <sheetData>
    <row r="1" spans="1:40" ht="30.75" x14ac:dyDescent="0.4">
      <c r="A1" s="4" t="str">
        <f ca="1" xml:space="preserve"> RIGHT(CELL("filename", A1), LEN(CELL("filename", A1)) - SEARCH("]", CELL("filename", A1)))</f>
        <v>Conceptual Model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x14ac:dyDescent="0.4">
      <c r="A2" s="35"/>
      <c r="B2" s="36"/>
      <c r="C2" s="36"/>
      <c r="D2" s="36"/>
      <c r="E2" s="36"/>
      <c r="F2" s="36"/>
      <c r="G2" s="36"/>
      <c r="H2" s="37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</row>
    <row r="3" spans="1:40" s="38" customFormat="1" x14ac:dyDescent="0.35">
      <c r="A3" s="38" t="s">
        <v>8</v>
      </c>
    </row>
    <row r="4" spans="1:40" x14ac:dyDescent="0.4">
      <c r="A4" s="35"/>
      <c r="B4" s="36"/>
      <c r="C4" s="36"/>
      <c r="D4" s="36"/>
      <c r="E4" s="36"/>
      <c r="F4" s="36"/>
      <c r="G4" s="36"/>
      <c r="H4" s="37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</row>
    <row r="5" spans="1:40" x14ac:dyDescent="0.4">
      <c r="A5" s="39"/>
      <c r="B5" s="40"/>
      <c r="C5" s="40"/>
      <c r="D5" s="40"/>
      <c r="E5" s="40"/>
      <c r="F5" s="41"/>
      <c r="G5" s="42"/>
      <c r="H5" s="42"/>
      <c r="I5" s="42"/>
      <c r="J5" s="42"/>
      <c r="K5" s="43"/>
      <c r="L5" s="41"/>
      <c r="M5" s="43"/>
      <c r="N5" s="43"/>
      <c r="O5" s="43"/>
      <c r="P5" s="42"/>
      <c r="Q5" s="42"/>
      <c r="R5" s="42"/>
      <c r="S5" s="42"/>
      <c r="T5" s="42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</row>
    <row r="6" spans="1:40" x14ac:dyDescent="0.4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7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</row>
    <row r="7" spans="1:40" x14ac:dyDescent="0.4">
      <c r="A7" s="35"/>
      <c r="B7" s="36"/>
      <c r="C7" s="36"/>
      <c r="D7" s="36"/>
      <c r="E7" s="36"/>
      <c r="F7" s="36"/>
      <c r="G7" s="36"/>
      <c r="H7" s="36"/>
      <c r="I7" s="36"/>
      <c r="J7" s="36"/>
      <c r="K7" s="36"/>
      <c r="L7" s="37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</row>
    <row r="8" spans="1:40" x14ac:dyDescent="0.4">
      <c r="A8" s="35"/>
      <c r="B8" s="36"/>
      <c r="C8" s="36"/>
      <c r="D8" s="36"/>
      <c r="E8" s="36"/>
      <c r="F8" s="36"/>
      <c r="G8" s="36"/>
      <c r="H8" s="44"/>
      <c r="I8" s="36"/>
      <c r="J8" s="36"/>
      <c r="K8" s="36"/>
      <c r="L8" s="37"/>
      <c r="M8" s="36"/>
      <c r="N8" s="36"/>
      <c r="O8" s="36"/>
      <c r="P8" s="36"/>
      <c r="Q8" s="44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</row>
    <row r="9" spans="1:40" x14ac:dyDescent="0.4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</row>
    <row r="10" spans="1:40" x14ac:dyDescent="0.4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</row>
    <row r="11" spans="1:40" x14ac:dyDescent="0.4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7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</row>
    <row r="12" spans="1:40" x14ac:dyDescent="0.4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7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</row>
    <row r="13" spans="1:40" x14ac:dyDescent="0.4">
      <c r="A13" s="39"/>
      <c r="B13" s="40"/>
      <c r="C13" s="40"/>
      <c r="D13" s="40"/>
      <c r="E13" s="40"/>
      <c r="F13" s="45"/>
      <c r="G13" s="46"/>
      <c r="H13" s="46"/>
      <c r="I13" s="46"/>
      <c r="J13" s="46"/>
      <c r="K13" s="46"/>
      <c r="L13" s="45"/>
      <c r="M13" s="46"/>
      <c r="N13" s="46"/>
      <c r="O13" s="46"/>
      <c r="P13" s="46"/>
      <c r="Q13" s="46"/>
      <c r="R13" s="46"/>
      <c r="S13" s="46"/>
      <c r="T13" s="46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</row>
    <row r="14" spans="1:40" x14ac:dyDescent="0.4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7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</row>
    <row r="15" spans="1:40" x14ac:dyDescent="0.4">
      <c r="A15" s="35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7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</row>
    <row r="16" spans="1:40" x14ac:dyDescent="0.4">
      <c r="A16" s="35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</row>
    <row r="17" spans="1:39" x14ac:dyDescent="0.4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7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</row>
    <row r="18" spans="1:39" x14ac:dyDescent="0.4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</row>
    <row r="19" spans="1:39" x14ac:dyDescent="0.4">
      <c r="A19" s="35"/>
      <c r="B19" s="36"/>
      <c r="C19" s="36"/>
      <c r="D19" s="36"/>
      <c r="E19" s="36"/>
      <c r="F19" s="36"/>
      <c r="G19" s="36"/>
      <c r="H19" s="44"/>
      <c r="I19" s="36"/>
      <c r="J19" s="36"/>
      <c r="K19" s="36"/>
      <c r="L19" s="44"/>
      <c r="M19" s="36"/>
      <c r="N19" s="36"/>
      <c r="O19" s="36"/>
      <c r="P19" s="36"/>
      <c r="Q19" s="44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</row>
    <row r="20" spans="1:39" x14ac:dyDescent="0.4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</row>
    <row r="21" spans="1:39" x14ac:dyDescent="0.4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7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</row>
    <row r="22" spans="1:39" x14ac:dyDescent="0.4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</row>
    <row r="23" spans="1:39" x14ac:dyDescent="0.4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7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</row>
    <row r="24" spans="1:39" x14ac:dyDescent="0.4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7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</row>
    <row r="25" spans="1:39" x14ac:dyDescent="0.4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</row>
    <row r="26" spans="1:39" x14ac:dyDescent="0.4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7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</row>
    <row r="27" spans="1:39" x14ac:dyDescent="0.4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</row>
    <row r="28" spans="1:39" s="67" customFormat="1" ht="14.25" x14ac:dyDescent="0.45">
      <c r="A28" s="66" t="s">
        <v>61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</row>
  </sheetData>
  <pageMargins left="0.7" right="0.7" top="0.75" bottom="0.75" header="0.3" footer="0.3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B8E"/>
  </sheetPr>
  <dimension ref="A1:V25"/>
  <sheetViews>
    <sheetView zoomScale="80" zoomScaleNormal="80" workbookViewId="0"/>
  </sheetViews>
  <sheetFormatPr defaultColWidth="0" defaultRowHeight="14.25" zeroHeight="1" x14ac:dyDescent="0.45"/>
  <cols>
    <col min="1" max="19" width="9" style="58" customWidth="1"/>
    <col min="20" max="22" width="0" style="58" hidden="1" customWidth="1"/>
    <col min="23" max="16384" width="9" style="58" hidden="1"/>
  </cols>
  <sheetData>
    <row r="1" spans="1:17" x14ac:dyDescent="0.45">
      <c r="C1" s="59" t="s">
        <v>0</v>
      </c>
      <c r="E1" s="59" t="s">
        <v>9</v>
      </c>
    </row>
    <row r="2" spans="1:17" x14ac:dyDescent="0.45">
      <c r="A2" s="60" t="s">
        <v>10</v>
      </c>
      <c r="B2" s="60" t="s">
        <v>11</v>
      </c>
      <c r="C2" s="60" t="s">
        <v>12</v>
      </c>
      <c r="D2" s="60" t="s">
        <v>13</v>
      </c>
      <c r="E2" s="60" t="s">
        <v>14</v>
      </c>
      <c r="F2" s="60" t="s">
        <v>15</v>
      </c>
      <c r="G2" s="60" t="s">
        <v>16</v>
      </c>
      <c r="H2" s="60" t="s">
        <v>17</v>
      </c>
      <c r="I2" s="60" t="s">
        <v>18</v>
      </c>
      <c r="J2" s="60" t="s">
        <v>19</v>
      </c>
      <c r="K2" s="60" t="s">
        <v>20</v>
      </c>
      <c r="L2" s="60" t="s">
        <v>21</v>
      </c>
      <c r="M2" s="60" t="s">
        <v>22</v>
      </c>
      <c r="N2" s="60" t="s">
        <v>23</v>
      </c>
      <c r="O2" s="60" t="s">
        <v>24</v>
      </c>
      <c r="P2" s="60" t="s">
        <v>25</v>
      </c>
      <c r="Q2" s="60" t="s">
        <v>26</v>
      </c>
    </row>
    <row r="3" spans="1:17" x14ac:dyDescent="0.45"/>
    <row r="4" spans="1:17" x14ac:dyDescent="0.45">
      <c r="F4" s="60" t="s">
        <v>27</v>
      </c>
      <c r="G4" s="60" t="s">
        <v>27</v>
      </c>
      <c r="H4" s="60" t="s">
        <v>27</v>
      </c>
      <c r="I4" s="60" t="s">
        <v>27</v>
      </c>
      <c r="J4" s="60" t="s">
        <v>27</v>
      </c>
      <c r="K4" s="60" t="s">
        <v>27</v>
      </c>
      <c r="L4" s="60" t="s">
        <v>27</v>
      </c>
      <c r="M4" s="60" t="s">
        <v>27</v>
      </c>
      <c r="N4" s="60" t="s">
        <v>27</v>
      </c>
      <c r="O4" s="60" t="s">
        <v>27</v>
      </c>
      <c r="P4" s="60" t="s">
        <v>27</v>
      </c>
      <c r="Q4" s="60" t="s">
        <v>27</v>
      </c>
    </row>
    <row r="5" spans="1:17" x14ac:dyDescent="0.45">
      <c r="F5" s="60" t="s">
        <v>1</v>
      </c>
      <c r="G5" s="60" t="s">
        <v>1</v>
      </c>
      <c r="H5" s="60" t="s">
        <v>1</v>
      </c>
      <c r="I5" s="60" t="s">
        <v>1</v>
      </c>
      <c r="J5" s="60" t="s">
        <v>1</v>
      </c>
      <c r="K5" s="60" t="s">
        <v>1</v>
      </c>
      <c r="L5" s="60" t="s">
        <v>1</v>
      </c>
      <c r="M5" s="60" t="s">
        <v>1</v>
      </c>
      <c r="N5" s="60" t="s">
        <v>1</v>
      </c>
      <c r="O5" s="60" t="s">
        <v>1</v>
      </c>
      <c r="P5" s="60" t="s">
        <v>1</v>
      </c>
      <c r="Q5" s="60" t="s">
        <v>1</v>
      </c>
    </row>
    <row r="6" spans="1:17" x14ac:dyDescent="0.45">
      <c r="F6" s="60" t="s">
        <v>28</v>
      </c>
      <c r="G6" s="60" t="s">
        <v>28</v>
      </c>
      <c r="H6" s="60" t="s">
        <v>28</v>
      </c>
      <c r="I6" s="60" t="s">
        <v>28</v>
      </c>
      <c r="J6" s="60" t="s">
        <v>28</v>
      </c>
      <c r="K6" s="60" t="s">
        <v>28</v>
      </c>
      <c r="L6" s="60" t="s">
        <v>28</v>
      </c>
      <c r="M6" s="60" t="s">
        <v>28</v>
      </c>
      <c r="N6" s="60" t="s">
        <v>28</v>
      </c>
      <c r="O6" s="60" t="s">
        <v>28</v>
      </c>
      <c r="P6" s="60" t="s">
        <v>28</v>
      </c>
      <c r="Q6" s="60" t="s">
        <v>28</v>
      </c>
    </row>
    <row r="7" spans="1:17" x14ac:dyDescent="0.45">
      <c r="A7" s="58" t="s">
        <v>29</v>
      </c>
      <c r="B7" s="58" t="s">
        <v>30</v>
      </c>
      <c r="C7" s="58" t="s">
        <v>31</v>
      </c>
      <c r="D7" s="58" t="s">
        <v>32</v>
      </c>
      <c r="E7" s="58" t="s">
        <v>27</v>
      </c>
      <c r="F7" s="61">
        <v>0.97073791348600513</v>
      </c>
      <c r="G7" s="61">
        <v>0.97197452229299364</v>
      </c>
      <c r="H7" s="61">
        <v>0.98348157560355787</v>
      </c>
      <c r="I7" s="61">
        <v>0.9826086956521739</v>
      </c>
      <c r="J7" s="61">
        <v>0.99119496855345912</v>
      </c>
      <c r="K7" s="61">
        <v>0.98612862547288782</v>
      </c>
      <c r="L7" s="61">
        <v>0.98212157330154948</v>
      </c>
      <c r="M7" s="61">
        <v>0.9858156028368793</v>
      </c>
      <c r="N7" s="61">
        <v>0.99292452830188682</v>
      </c>
      <c r="O7" s="61">
        <v>0.98220640569395012</v>
      </c>
      <c r="P7" s="61">
        <v>0.98566308243727585</v>
      </c>
      <c r="Q7" s="61">
        <v>0.98444976076555024</v>
      </c>
    </row>
    <row r="8" spans="1:17" x14ac:dyDescent="0.45">
      <c r="A8" s="58" t="s">
        <v>33</v>
      </c>
      <c r="B8" s="58" t="s">
        <v>30</v>
      </c>
      <c r="C8" s="58" t="s">
        <v>31</v>
      </c>
      <c r="D8" s="58" t="s">
        <v>32</v>
      </c>
      <c r="E8" s="58" t="s">
        <v>27</v>
      </c>
      <c r="F8" s="61">
        <v>0.97063369397217925</v>
      </c>
      <c r="G8" s="61">
        <v>0.96360759493670889</v>
      </c>
      <c r="H8" s="61">
        <v>0.97752808988764039</v>
      </c>
      <c r="I8" s="61">
        <v>0.970873786407767</v>
      </c>
      <c r="J8" s="61">
        <v>0.99029126213592233</v>
      </c>
      <c r="K8" s="61">
        <v>0.96699669966996704</v>
      </c>
      <c r="L8" s="61">
        <v>0.98019801980198029</v>
      </c>
      <c r="M8" s="61">
        <v>0.98181818181818192</v>
      </c>
      <c r="N8" s="61">
        <v>0.99664991624790611</v>
      </c>
      <c r="O8" s="61">
        <v>0.98322147651006697</v>
      </c>
      <c r="P8" s="61">
        <v>0.98504983388704315</v>
      </c>
      <c r="Q8" s="61">
        <v>0.98009950248756217</v>
      </c>
    </row>
    <row r="9" spans="1:17" x14ac:dyDescent="0.45">
      <c r="A9" s="58" t="s">
        <v>34</v>
      </c>
      <c r="B9" s="58" t="s">
        <v>30</v>
      </c>
      <c r="C9" s="58" t="s">
        <v>31</v>
      </c>
      <c r="D9" s="58" t="s">
        <v>32</v>
      </c>
      <c r="E9" s="58" t="s">
        <v>27</v>
      </c>
      <c r="F9" s="61">
        <v>1</v>
      </c>
      <c r="G9" s="61">
        <v>1</v>
      </c>
      <c r="H9" s="61">
        <v>0.75</v>
      </c>
      <c r="I9" s="61">
        <v>1</v>
      </c>
      <c r="J9" s="61">
        <v>1</v>
      </c>
      <c r="K9" s="61">
        <v>1</v>
      </c>
      <c r="L9" s="61">
        <v>1</v>
      </c>
      <c r="M9" s="61">
        <v>1</v>
      </c>
      <c r="N9" s="61">
        <v>1</v>
      </c>
      <c r="O9" s="61">
        <v>0.97872340425531912</v>
      </c>
      <c r="P9" s="61">
        <v>0.97826086956521729</v>
      </c>
      <c r="Q9" s="61">
        <v>1</v>
      </c>
    </row>
    <row r="10" spans="1:17" x14ac:dyDescent="0.45">
      <c r="A10" s="58" t="s">
        <v>35</v>
      </c>
      <c r="B10" s="58" t="s">
        <v>30</v>
      </c>
      <c r="C10" s="58" t="s">
        <v>31</v>
      </c>
      <c r="D10" s="58" t="s">
        <v>32</v>
      </c>
      <c r="E10" s="58" t="s">
        <v>27</v>
      </c>
      <c r="F10" s="62" t="s">
        <v>36</v>
      </c>
      <c r="G10" s="62" t="s">
        <v>36</v>
      </c>
      <c r="H10" s="62" t="s">
        <v>36</v>
      </c>
      <c r="I10" s="62" t="s">
        <v>36</v>
      </c>
      <c r="J10" s="62" t="s">
        <v>36</v>
      </c>
      <c r="K10" s="61">
        <v>0.96</v>
      </c>
      <c r="L10" s="61">
        <v>0.995</v>
      </c>
      <c r="M10" s="61">
        <v>0.96568627450980382</v>
      </c>
      <c r="N10" s="61">
        <v>0.99512195121951219</v>
      </c>
      <c r="O10" s="61">
        <v>0.98039215686274506</v>
      </c>
      <c r="P10" s="61">
        <v>0.98529411764705888</v>
      </c>
      <c r="Q10" s="61">
        <v>0.9854368932038835</v>
      </c>
    </row>
    <row r="11" spans="1:17" x14ac:dyDescent="0.45">
      <c r="A11" s="58" t="s">
        <v>37</v>
      </c>
      <c r="B11" s="58" t="s">
        <v>30</v>
      </c>
      <c r="C11" s="58" t="s">
        <v>31</v>
      </c>
      <c r="D11" s="58" t="s">
        <v>32</v>
      </c>
      <c r="E11" s="58" t="s">
        <v>27</v>
      </c>
      <c r="F11" s="62" t="s">
        <v>36</v>
      </c>
      <c r="G11" s="62" t="s">
        <v>36</v>
      </c>
      <c r="H11" s="62" t="s">
        <v>36</v>
      </c>
      <c r="I11" s="62" t="s">
        <v>36</v>
      </c>
      <c r="J11" s="62" t="s">
        <v>36</v>
      </c>
      <c r="K11" s="61">
        <v>0.99631449631449631</v>
      </c>
      <c r="L11" s="61">
        <v>0.98423127463863336</v>
      </c>
      <c r="M11" s="61">
        <v>0.99605781865965837</v>
      </c>
      <c r="N11" s="61">
        <v>0.99602649006622512</v>
      </c>
      <c r="O11" s="61">
        <v>0.99332443257676895</v>
      </c>
      <c r="P11" s="61">
        <v>0.99327956989247312</v>
      </c>
      <c r="Q11" s="61">
        <v>0.9946236559139785</v>
      </c>
    </row>
    <row r="12" spans="1:17" x14ac:dyDescent="0.45">
      <c r="A12" s="58" t="s">
        <v>38</v>
      </c>
      <c r="B12" s="58" t="s">
        <v>30</v>
      </c>
      <c r="C12" s="58" t="s">
        <v>31</v>
      </c>
      <c r="D12" s="58" t="s">
        <v>32</v>
      </c>
      <c r="E12" s="58" t="s">
        <v>27</v>
      </c>
      <c r="F12" s="61">
        <v>0.96485623003194887</v>
      </c>
      <c r="G12" s="61">
        <v>0.93269230769230771</v>
      </c>
      <c r="H12" s="61">
        <v>0.96141479099678462</v>
      </c>
      <c r="I12" s="61">
        <v>0.95527156549520764</v>
      </c>
      <c r="J12" s="61">
        <v>0.98076923076923062</v>
      </c>
      <c r="K12" s="61">
        <v>0.97096774193548385</v>
      </c>
      <c r="L12" s="61">
        <v>0.98722044728434499</v>
      </c>
      <c r="M12" s="61">
        <v>0.98713826366559487</v>
      </c>
      <c r="N12" s="61">
        <v>0.99035369774919613</v>
      </c>
      <c r="O12" s="61">
        <v>0.97460317460317458</v>
      </c>
      <c r="P12" s="61">
        <v>0.99365079365079367</v>
      </c>
      <c r="Q12" s="61">
        <v>0.96190476190476193</v>
      </c>
    </row>
    <row r="13" spans="1:17" x14ac:dyDescent="0.45">
      <c r="A13" s="58" t="s">
        <v>39</v>
      </c>
      <c r="B13" s="58" t="s">
        <v>30</v>
      </c>
      <c r="C13" s="58" t="s">
        <v>31</v>
      </c>
      <c r="D13" s="58" t="s">
        <v>32</v>
      </c>
      <c r="E13" s="58" t="s">
        <v>27</v>
      </c>
      <c r="F13" s="61">
        <v>0.96283783783783794</v>
      </c>
      <c r="G13" s="61">
        <v>0.95297805642633227</v>
      </c>
      <c r="H13" s="61">
        <v>0.98101265822784811</v>
      </c>
      <c r="I13" s="61">
        <v>0.98392282958199362</v>
      </c>
      <c r="J13" s="61">
        <v>0.98722044728434499</v>
      </c>
      <c r="K13" s="61">
        <v>0.98170731707317072</v>
      </c>
      <c r="L13" s="61">
        <v>0.99099099099099097</v>
      </c>
      <c r="M13" s="61">
        <v>0.98809523809523814</v>
      </c>
      <c r="N13" s="61">
        <v>0.97058823529411764</v>
      </c>
      <c r="O13" s="61">
        <v>0.97941176470588232</v>
      </c>
      <c r="P13" s="61">
        <v>0.9821428571428571</v>
      </c>
      <c r="Q13" s="61">
        <v>0.99404761904761907</v>
      </c>
    </row>
    <row r="14" spans="1:17" x14ac:dyDescent="0.45">
      <c r="A14" s="58" t="s">
        <v>40</v>
      </c>
      <c r="B14" s="58" t="s">
        <v>30</v>
      </c>
      <c r="C14" s="58" t="s">
        <v>31</v>
      </c>
      <c r="D14" s="58" t="s">
        <v>32</v>
      </c>
      <c r="E14" s="58" t="s">
        <v>27</v>
      </c>
      <c r="F14" s="61">
        <v>0.9920844327176781</v>
      </c>
      <c r="G14" s="61">
        <v>0.95572916666666652</v>
      </c>
      <c r="H14" s="61">
        <v>0.98691099476439792</v>
      </c>
      <c r="I14" s="61">
        <v>0.9921052631578946</v>
      </c>
      <c r="J14" s="61">
        <v>0.97911227154046998</v>
      </c>
      <c r="K14" s="61">
        <v>0.99477806788511747</v>
      </c>
      <c r="L14" s="61">
        <v>0.98958333333333348</v>
      </c>
      <c r="M14" s="61">
        <v>0.9974025974025974</v>
      </c>
      <c r="N14" s="61">
        <v>0.9974025974025974</v>
      </c>
      <c r="O14" s="61">
        <v>0.98958333333333348</v>
      </c>
      <c r="P14" s="61">
        <v>0.99479166666666652</v>
      </c>
      <c r="Q14" s="61">
        <v>0.9921875</v>
      </c>
    </row>
    <row r="15" spans="1:17" x14ac:dyDescent="0.45">
      <c r="A15" s="58" t="s">
        <v>41</v>
      </c>
      <c r="B15" s="58" t="s">
        <v>30</v>
      </c>
      <c r="C15" s="58" t="s">
        <v>31</v>
      </c>
      <c r="D15" s="58" t="s">
        <v>32</v>
      </c>
      <c r="E15" s="58" t="s">
        <v>27</v>
      </c>
      <c r="F15" s="61">
        <v>0.99164345403899712</v>
      </c>
      <c r="G15" s="61">
        <v>0.98607242339832868</v>
      </c>
      <c r="H15" s="61">
        <v>0.98333333333333328</v>
      </c>
      <c r="I15" s="61">
        <v>0.97206703910614523</v>
      </c>
      <c r="J15" s="61">
        <v>0.97374701670644404</v>
      </c>
      <c r="K15" s="61">
        <v>0.9876237623762375</v>
      </c>
      <c r="L15" s="61">
        <v>0.98737373737373735</v>
      </c>
      <c r="M15" s="61">
        <v>0.98469387755102045</v>
      </c>
      <c r="N15" s="61">
        <v>0.9974811083123426</v>
      </c>
      <c r="O15" s="61">
        <v>0.98976982097186705</v>
      </c>
      <c r="P15" s="61">
        <v>0.98453608247422697</v>
      </c>
      <c r="Q15" s="61">
        <v>0.98969072164948457</v>
      </c>
    </row>
    <row r="16" spans="1:17" x14ac:dyDescent="0.45">
      <c r="A16" s="58" t="s">
        <v>42</v>
      </c>
      <c r="B16" s="58" t="s">
        <v>30</v>
      </c>
      <c r="C16" s="58" t="s">
        <v>31</v>
      </c>
      <c r="D16" s="58" t="s">
        <v>32</v>
      </c>
      <c r="E16" s="58" t="s">
        <v>27</v>
      </c>
      <c r="F16" s="61">
        <v>0.99671052631578949</v>
      </c>
      <c r="G16" s="61">
        <v>0.99016393442622952</v>
      </c>
      <c r="H16" s="61">
        <v>0.99667774086378746</v>
      </c>
      <c r="I16" s="61">
        <v>0.9966666666666667</v>
      </c>
      <c r="J16" s="61">
        <v>0.99371069182389926</v>
      </c>
      <c r="K16" s="61">
        <v>0.99019607843137269</v>
      </c>
      <c r="L16" s="61">
        <v>1</v>
      </c>
      <c r="M16" s="61">
        <v>0.98461538461538467</v>
      </c>
      <c r="N16" s="61">
        <v>0.99076923076923085</v>
      </c>
      <c r="O16" s="61">
        <v>1</v>
      </c>
      <c r="P16" s="61">
        <v>0.99350649350649367</v>
      </c>
      <c r="Q16" s="61">
        <v>0.99025974025974017</v>
      </c>
    </row>
    <row r="17" spans="1:22" x14ac:dyDescent="0.45">
      <c r="A17" s="58" t="s">
        <v>43</v>
      </c>
      <c r="B17" s="58" t="s">
        <v>30</v>
      </c>
      <c r="C17" s="58" t="s">
        <v>31</v>
      </c>
      <c r="D17" s="58" t="s">
        <v>32</v>
      </c>
      <c r="E17" s="58" t="s">
        <v>27</v>
      </c>
      <c r="F17" s="61">
        <v>0.97278911564625847</v>
      </c>
      <c r="G17" s="61">
        <v>0.97979797979797978</v>
      </c>
      <c r="H17" s="61">
        <v>0.99331103678929766</v>
      </c>
      <c r="I17" s="61">
        <v>0.99322033898305084</v>
      </c>
      <c r="J17" s="61">
        <v>0.97169811320754718</v>
      </c>
      <c r="K17" s="61">
        <v>0.97770700636942676</v>
      </c>
      <c r="L17" s="61">
        <v>0.97452229299363058</v>
      </c>
      <c r="M17" s="61">
        <v>0.97468354430379744</v>
      </c>
      <c r="N17" s="61">
        <v>0.99038461538461542</v>
      </c>
      <c r="O17" s="61">
        <v>0.99032258064516132</v>
      </c>
      <c r="P17" s="61">
        <v>0.99680511182108622</v>
      </c>
      <c r="Q17" s="61">
        <v>0.99041533546325877</v>
      </c>
    </row>
    <row r="18" spans="1:22" x14ac:dyDescent="0.45">
      <c r="A18" s="58" t="s">
        <v>44</v>
      </c>
      <c r="B18" s="58" t="s">
        <v>30</v>
      </c>
      <c r="C18" s="58" t="s">
        <v>31</v>
      </c>
      <c r="D18" s="58" t="s">
        <v>32</v>
      </c>
      <c r="E18" s="58" t="s">
        <v>27</v>
      </c>
      <c r="F18" s="61">
        <v>1</v>
      </c>
      <c r="G18" s="61">
        <v>1</v>
      </c>
      <c r="H18" s="61">
        <v>1</v>
      </c>
      <c r="I18" s="61">
        <v>1</v>
      </c>
      <c r="J18" s="61">
        <v>1</v>
      </c>
      <c r="K18" s="61">
        <v>1</v>
      </c>
      <c r="L18" s="61">
        <v>1</v>
      </c>
      <c r="M18" s="61">
        <v>1</v>
      </c>
      <c r="N18" s="61">
        <v>0.97619047619047616</v>
      </c>
      <c r="O18" s="61">
        <v>0.967741935483871</v>
      </c>
      <c r="P18" s="61">
        <v>0.967741935483871</v>
      </c>
      <c r="Q18" s="61">
        <v>1</v>
      </c>
    </row>
    <row r="19" spans="1:22" x14ac:dyDescent="0.45">
      <c r="A19" s="58" t="s">
        <v>45</v>
      </c>
      <c r="B19" s="58" t="s">
        <v>30</v>
      </c>
      <c r="C19" s="58" t="s">
        <v>31</v>
      </c>
      <c r="D19" s="58" t="s">
        <v>32</v>
      </c>
      <c r="E19" s="58" t="s">
        <v>27</v>
      </c>
      <c r="F19" s="62" t="s">
        <v>36</v>
      </c>
      <c r="G19" s="62" t="s">
        <v>36</v>
      </c>
      <c r="H19" s="62" t="s">
        <v>36</v>
      </c>
      <c r="I19" s="62" t="s">
        <v>36</v>
      </c>
      <c r="J19" s="62" t="s">
        <v>36</v>
      </c>
      <c r="K19" s="62" t="s">
        <v>36</v>
      </c>
      <c r="L19" s="62" t="s">
        <v>36</v>
      </c>
      <c r="M19" s="61">
        <v>1</v>
      </c>
      <c r="N19" s="61">
        <v>1</v>
      </c>
      <c r="O19" s="61">
        <v>1</v>
      </c>
      <c r="P19" s="61">
        <v>1</v>
      </c>
      <c r="Q19" s="61">
        <v>1</v>
      </c>
    </row>
    <row r="20" spans="1:22" x14ac:dyDescent="0.45">
      <c r="A20" s="58" t="s">
        <v>46</v>
      </c>
      <c r="B20" s="58" t="s">
        <v>30</v>
      </c>
      <c r="C20" s="58" t="s">
        <v>31</v>
      </c>
      <c r="D20" s="58" t="s">
        <v>32</v>
      </c>
      <c r="E20" s="58" t="s">
        <v>27</v>
      </c>
      <c r="F20" s="62" t="s">
        <v>36</v>
      </c>
      <c r="G20" s="62" t="s">
        <v>36</v>
      </c>
      <c r="H20" s="62" t="s">
        <v>36</v>
      </c>
      <c r="I20" s="62" t="s">
        <v>36</v>
      </c>
      <c r="J20" s="62" t="s">
        <v>36</v>
      </c>
      <c r="K20" s="62" t="s">
        <v>36</v>
      </c>
      <c r="L20" s="62" t="s">
        <v>36</v>
      </c>
      <c r="M20" s="61">
        <v>0.93103448275862066</v>
      </c>
      <c r="N20" s="61">
        <v>1</v>
      </c>
      <c r="O20" s="61">
        <v>0.86206896551724133</v>
      </c>
      <c r="P20" s="61">
        <v>0.86206896551724133</v>
      </c>
      <c r="Q20" s="61">
        <v>0.96551724137931028</v>
      </c>
    </row>
    <row r="21" spans="1:22" x14ac:dyDescent="0.45">
      <c r="A21" s="58" t="s">
        <v>47</v>
      </c>
      <c r="B21" s="58" t="s">
        <v>30</v>
      </c>
      <c r="C21" s="58" t="s">
        <v>31</v>
      </c>
      <c r="D21" s="58" t="s">
        <v>32</v>
      </c>
      <c r="E21" s="58" t="s">
        <v>27</v>
      </c>
      <c r="F21" s="61">
        <v>1</v>
      </c>
      <c r="G21" s="61">
        <v>1</v>
      </c>
      <c r="H21" s="61">
        <v>1</v>
      </c>
      <c r="I21" s="61">
        <v>1</v>
      </c>
      <c r="J21" s="61">
        <v>1</v>
      </c>
      <c r="K21" s="61">
        <v>0.83333333333333348</v>
      </c>
      <c r="L21" s="61">
        <v>1</v>
      </c>
      <c r="M21" s="61">
        <v>1</v>
      </c>
      <c r="N21" s="61">
        <v>1</v>
      </c>
      <c r="O21" s="61">
        <v>1</v>
      </c>
      <c r="P21" s="61">
        <v>1</v>
      </c>
      <c r="Q21" s="61">
        <v>0.83333333333333348</v>
      </c>
    </row>
    <row r="22" spans="1:22" x14ac:dyDescent="0.45">
      <c r="A22" s="58" t="s">
        <v>48</v>
      </c>
      <c r="B22" s="58" t="s">
        <v>30</v>
      </c>
      <c r="C22" s="58" t="s">
        <v>31</v>
      </c>
      <c r="D22" s="58" t="s">
        <v>32</v>
      </c>
      <c r="E22" s="58" t="s">
        <v>27</v>
      </c>
      <c r="F22" s="62" t="s">
        <v>36</v>
      </c>
      <c r="G22" s="61">
        <v>0.97368421052631571</v>
      </c>
      <c r="H22" s="61">
        <v>0.92105263157894735</v>
      </c>
      <c r="I22" s="61">
        <v>0.98684210526315785</v>
      </c>
      <c r="J22" s="61">
        <v>0.93421052631578949</v>
      </c>
      <c r="K22" s="61">
        <v>0.94736842105263153</v>
      </c>
      <c r="L22" s="61">
        <v>0.96052631578947367</v>
      </c>
      <c r="M22" s="61">
        <v>0.96052631578947367</v>
      </c>
      <c r="N22" s="61">
        <v>0.98684210526315785</v>
      </c>
      <c r="O22" s="61">
        <v>0.97368421052631571</v>
      </c>
      <c r="P22" s="61">
        <v>0.92105263157894735</v>
      </c>
      <c r="Q22" s="61">
        <v>0.92105263157894735</v>
      </c>
    </row>
    <row r="23" spans="1:22" x14ac:dyDescent="0.45">
      <c r="A23" s="58" t="s">
        <v>49</v>
      </c>
      <c r="B23" s="58" t="s">
        <v>30</v>
      </c>
      <c r="C23" s="58" t="s">
        <v>31</v>
      </c>
      <c r="D23" s="58" t="s">
        <v>32</v>
      </c>
      <c r="E23" s="58" t="s">
        <v>27</v>
      </c>
      <c r="F23" s="61">
        <v>1</v>
      </c>
      <c r="G23" s="61">
        <v>1</v>
      </c>
      <c r="H23" s="61">
        <v>1</v>
      </c>
      <c r="I23" s="61">
        <v>1</v>
      </c>
      <c r="J23" s="61">
        <v>1</v>
      </c>
      <c r="K23" s="61">
        <v>1</v>
      </c>
      <c r="L23" s="61">
        <v>1</v>
      </c>
      <c r="M23" s="61">
        <v>1</v>
      </c>
      <c r="N23" s="61">
        <v>1</v>
      </c>
      <c r="O23" s="61">
        <v>1</v>
      </c>
      <c r="P23" s="61">
        <v>1</v>
      </c>
      <c r="Q23" s="61">
        <v>1</v>
      </c>
    </row>
    <row r="24" spans="1:22" x14ac:dyDescent="0.45"/>
    <row r="25" spans="1:22" s="67" customFormat="1" x14ac:dyDescent="0.45">
      <c r="A25" s="66" t="s">
        <v>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0615-599D-466F-8681-63860B1F12A5}">
  <sheetPr codeName="Sheet6">
    <tabColor rgb="FFFFDB8E"/>
  </sheetPr>
  <dimension ref="A1:V79"/>
  <sheetViews>
    <sheetView showGridLines="0" zoomScale="80" zoomScaleNormal="80" workbookViewId="0">
      <pane ySplit="5" topLeftCell="A6" activePane="bottomLeft" state="frozen"/>
      <selection activeCell="F9" sqref="F9"/>
      <selection pane="bottomLeft"/>
    </sheetView>
  </sheetViews>
  <sheetFormatPr defaultColWidth="0" defaultRowHeight="0" customHeight="1" zeroHeight="1" x14ac:dyDescent="0.45"/>
  <cols>
    <col min="1" max="1" width="1" style="6" customWidth="1"/>
    <col min="2" max="4" width="1" style="1" customWidth="1"/>
    <col min="5" max="6" width="8.125" style="58" customWidth="1"/>
    <col min="7" max="7" width="20.375" style="58" bestFit="1" customWidth="1"/>
    <col min="8" max="8" width="31.625" style="58" customWidth="1"/>
    <col min="9" max="9" width="7.875" style="58" customWidth="1"/>
    <col min="10" max="10" width="2.75" style="58" customWidth="1"/>
    <col min="11" max="22" width="9" style="58" customWidth="1"/>
    <col min="23" max="16384" width="9" style="58" hidden="1"/>
  </cols>
  <sheetData>
    <row r="1" spans="1:22" s="4" customFormat="1" ht="30.75" x14ac:dyDescent="0.35">
      <c r="A1" s="4" t="str">
        <f ca="1">RIGHT(CELL("filename", A1), LEN(CELL("filename", A1)) - SEARCH("]", CELL("filename", A1)))</f>
        <v>Inputs_All</v>
      </c>
      <c r="D1" s="5"/>
    </row>
    <row r="2" spans="1:22" s="1" customFormat="1" ht="13.15" x14ac:dyDescent="0.35">
      <c r="A2" s="6"/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24</v>
      </c>
      <c r="U2" s="6" t="s">
        <v>25</v>
      </c>
      <c r="V2" s="6" t="s">
        <v>26</v>
      </c>
    </row>
    <row r="3" spans="1:22" s="1" customFormat="1" ht="13.15" x14ac:dyDescent="0.35">
      <c r="A3" s="6"/>
      <c r="E3" s="7" t="s">
        <v>50</v>
      </c>
      <c r="F3" s="7"/>
      <c r="G3" s="7" t="s">
        <v>51</v>
      </c>
      <c r="H3" s="7" t="s">
        <v>52</v>
      </c>
      <c r="I3" s="7" t="s">
        <v>13</v>
      </c>
    </row>
    <row r="4" spans="1:22" s="1" customFormat="1" ht="13.15" x14ac:dyDescent="0.35">
      <c r="A4" s="6"/>
      <c r="G4" s="6"/>
    </row>
    <row r="5" spans="1:22" s="1" customFormat="1" ht="13.15" x14ac:dyDescent="0.35">
      <c r="A5" s="6"/>
      <c r="J5" s="3"/>
    </row>
    <row r="6" spans="1:22" s="1" customFormat="1" ht="13.15" x14ac:dyDescent="0.35">
      <c r="A6" s="6"/>
      <c r="J6" s="3"/>
    </row>
    <row r="7" spans="1:22" s="63" customFormat="1" ht="13.15" x14ac:dyDescent="0.35">
      <c r="A7" s="63" t="s">
        <v>53</v>
      </c>
    </row>
    <row r="8" spans="1:22" s="1" customFormat="1" ht="13.15" x14ac:dyDescent="0.35">
      <c r="A8" s="6"/>
    </row>
    <row r="9" spans="1:22" s="1" customFormat="1" ht="13.15" x14ac:dyDescent="0.35">
      <c r="A9" s="6"/>
      <c r="E9" s="1" t="s">
        <v>29</v>
      </c>
      <c r="F9" s="1" t="s">
        <v>54</v>
      </c>
      <c r="G9" s="1" t="s">
        <v>55</v>
      </c>
      <c r="H9" s="1" t="s">
        <v>56</v>
      </c>
      <c r="I9" s="1" t="s">
        <v>32</v>
      </c>
      <c r="J9" s="8"/>
      <c r="K9" s="13">
        <f>F_Inputs!F7</f>
        <v>0.97073791348600513</v>
      </c>
      <c r="L9" s="13">
        <f>F_Inputs!G7</f>
        <v>0.97197452229299364</v>
      </c>
      <c r="M9" s="13">
        <f>F_Inputs!H7</f>
        <v>0.98348157560355787</v>
      </c>
      <c r="N9" s="13">
        <f>F_Inputs!I7</f>
        <v>0.9826086956521739</v>
      </c>
      <c r="O9" s="13">
        <f>F_Inputs!J7</f>
        <v>0.99119496855345912</v>
      </c>
      <c r="P9" s="13">
        <f>F_Inputs!K7</f>
        <v>0.98612862547288782</v>
      </c>
      <c r="Q9" s="13">
        <f>F_Inputs!L7</f>
        <v>0.98212157330154948</v>
      </c>
      <c r="R9" s="13">
        <f>F_Inputs!M7</f>
        <v>0.9858156028368793</v>
      </c>
      <c r="S9" s="13">
        <f>F_Inputs!N7</f>
        <v>0.99292452830188682</v>
      </c>
      <c r="T9" s="13">
        <f>F_Inputs!O7</f>
        <v>0.98220640569395012</v>
      </c>
      <c r="U9" s="13">
        <f>F_Inputs!P7</f>
        <v>0.98566308243727585</v>
      </c>
      <c r="V9" s="13">
        <f>F_Inputs!Q7</f>
        <v>0.98444976076555024</v>
      </c>
    </row>
    <row r="10" spans="1:22" s="1" customFormat="1" ht="13.15" x14ac:dyDescent="0.35">
      <c r="A10" s="6"/>
      <c r="E10" s="1" t="s">
        <v>33</v>
      </c>
      <c r="F10" s="1" t="s">
        <v>54</v>
      </c>
      <c r="G10" s="1" t="s">
        <v>55</v>
      </c>
      <c r="H10" s="1" t="s">
        <v>56</v>
      </c>
      <c r="I10" s="1" t="s">
        <v>32</v>
      </c>
      <c r="J10" s="8"/>
      <c r="K10" s="13">
        <f>F_Inputs!F8</f>
        <v>0.97063369397217925</v>
      </c>
      <c r="L10" s="13">
        <f>F_Inputs!G8</f>
        <v>0.96360759493670889</v>
      </c>
      <c r="M10" s="13">
        <f>F_Inputs!H8</f>
        <v>0.97752808988764039</v>
      </c>
      <c r="N10" s="13">
        <f>F_Inputs!I8</f>
        <v>0.970873786407767</v>
      </c>
      <c r="O10" s="13">
        <f>F_Inputs!J8</f>
        <v>0.99029126213592233</v>
      </c>
      <c r="P10" s="13">
        <f>F_Inputs!K8</f>
        <v>0.96699669966996704</v>
      </c>
      <c r="Q10" s="13">
        <f>F_Inputs!L8</f>
        <v>0.98019801980198029</v>
      </c>
      <c r="R10" s="13">
        <f>F_Inputs!M8</f>
        <v>0.98181818181818192</v>
      </c>
      <c r="S10" s="13">
        <f>F_Inputs!N8</f>
        <v>0.99664991624790611</v>
      </c>
      <c r="T10" s="13">
        <f>F_Inputs!O8</f>
        <v>0.98322147651006697</v>
      </c>
      <c r="U10" s="13">
        <f>F_Inputs!P8</f>
        <v>0.98504983388704315</v>
      </c>
      <c r="V10" s="13">
        <f>F_Inputs!Q8</f>
        <v>0.98009950248756217</v>
      </c>
    </row>
    <row r="11" spans="1:22" s="1" customFormat="1" ht="13.15" x14ac:dyDescent="0.35">
      <c r="A11" s="6"/>
      <c r="E11" s="1" t="s">
        <v>34</v>
      </c>
      <c r="F11" s="1" t="s">
        <v>54</v>
      </c>
      <c r="G11" s="1" t="s">
        <v>55</v>
      </c>
      <c r="H11" s="1" t="s">
        <v>56</v>
      </c>
      <c r="I11" s="1" t="s">
        <v>32</v>
      </c>
      <c r="J11" s="8"/>
      <c r="K11" s="13">
        <f>F_Inputs!F9</f>
        <v>1</v>
      </c>
      <c r="L11" s="13">
        <f>F_Inputs!G9</f>
        <v>1</v>
      </c>
      <c r="M11" s="13">
        <f>F_Inputs!H9</f>
        <v>0.75</v>
      </c>
      <c r="N11" s="13">
        <f>F_Inputs!I9</f>
        <v>1</v>
      </c>
      <c r="O11" s="13">
        <f>F_Inputs!J9</f>
        <v>1</v>
      </c>
      <c r="P11" s="13">
        <f>F_Inputs!K9</f>
        <v>1</v>
      </c>
      <c r="Q11" s="13">
        <f>F_Inputs!L9</f>
        <v>1</v>
      </c>
      <c r="R11" s="13">
        <f>F_Inputs!M9</f>
        <v>1</v>
      </c>
      <c r="S11" s="13">
        <f>F_Inputs!N9</f>
        <v>1</v>
      </c>
      <c r="T11" s="13">
        <f>F_Inputs!O9</f>
        <v>0.97872340425531912</v>
      </c>
      <c r="U11" s="13">
        <f>F_Inputs!P9</f>
        <v>0.97826086956521729</v>
      </c>
      <c r="V11" s="13">
        <f>F_Inputs!Q9</f>
        <v>1</v>
      </c>
    </row>
    <row r="12" spans="1:22" s="1" customFormat="1" ht="13.15" x14ac:dyDescent="0.35">
      <c r="A12" s="6"/>
      <c r="E12" s="1" t="s">
        <v>35</v>
      </c>
      <c r="F12" s="1" t="s">
        <v>54</v>
      </c>
      <c r="G12" s="1" t="s">
        <v>55</v>
      </c>
      <c r="H12" s="1" t="s">
        <v>56</v>
      </c>
      <c r="I12" s="1" t="s">
        <v>32</v>
      </c>
      <c r="J12" s="8"/>
      <c r="K12" s="13" t="str">
        <f>F_Inputs!F10</f>
        <v/>
      </c>
      <c r="L12" s="13" t="str">
        <f>F_Inputs!G10</f>
        <v/>
      </c>
      <c r="M12" s="13" t="str">
        <f>F_Inputs!H10</f>
        <v/>
      </c>
      <c r="N12" s="13" t="str">
        <f>F_Inputs!I10</f>
        <v/>
      </c>
      <c r="O12" s="13" t="str">
        <f>F_Inputs!J10</f>
        <v/>
      </c>
      <c r="P12" s="13">
        <f>F_Inputs!K10</f>
        <v>0.96</v>
      </c>
      <c r="Q12" s="13">
        <f>F_Inputs!L10</f>
        <v>0.995</v>
      </c>
      <c r="R12" s="13">
        <f>F_Inputs!M10</f>
        <v>0.96568627450980382</v>
      </c>
      <c r="S12" s="13">
        <f>F_Inputs!N10</f>
        <v>0.99512195121951219</v>
      </c>
      <c r="T12" s="13">
        <f>F_Inputs!O10</f>
        <v>0.98039215686274506</v>
      </c>
      <c r="U12" s="13">
        <f>F_Inputs!P10</f>
        <v>0.98529411764705888</v>
      </c>
      <c r="V12" s="13">
        <f>F_Inputs!Q10</f>
        <v>0.9854368932038835</v>
      </c>
    </row>
    <row r="13" spans="1:22" s="1" customFormat="1" ht="13.15" x14ac:dyDescent="0.35">
      <c r="A13" s="6"/>
      <c r="E13" s="1" t="s">
        <v>37</v>
      </c>
      <c r="F13" s="1" t="s">
        <v>54</v>
      </c>
      <c r="G13" s="1" t="s">
        <v>55</v>
      </c>
      <c r="H13" s="1" t="s">
        <v>56</v>
      </c>
      <c r="I13" s="1" t="s">
        <v>32</v>
      </c>
      <c r="J13" s="8"/>
      <c r="K13" s="13" t="str">
        <f>F_Inputs!F11</f>
        <v/>
      </c>
      <c r="L13" s="13" t="str">
        <f>F_Inputs!G11</f>
        <v/>
      </c>
      <c r="M13" s="13" t="str">
        <f>F_Inputs!H11</f>
        <v/>
      </c>
      <c r="N13" s="13" t="str">
        <f>F_Inputs!I11</f>
        <v/>
      </c>
      <c r="O13" s="13" t="str">
        <f>F_Inputs!J11</f>
        <v/>
      </c>
      <c r="P13" s="13">
        <f>F_Inputs!K11</f>
        <v>0.99631449631449631</v>
      </c>
      <c r="Q13" s="13">
        <f>F_Inputs!L11</f>
        <v>0.98423127463863336</v>
      </c>
      <c r="R13" s="13">
        <f>F_Inputs!M11</f>
        <v>0.99605781865965837</v>
      </c>
      <c r="S13" s="13">
        <f>F_Inputs!N11</f>
        <v>0.99602649006622512</v>
      </c>
      <c r="T13" s="13">
        <f>F_Inputs!O11</f>
        <v>0.99332443257676895</v>
      </c>
      <c r="U13" s="13">
        <f>F_Inputs!P11</f>
        <v>0.99327956989247312</v>
      </c>
      <c r="V13" s="13">
        <f>F_Inputs!Q11</f>
        <v>0.9946236559139785</v>
      </c>
    </row>
    <row r="14" spans="1:22" s="1" customFormat="1" ht="13.15" x14ac:dyDescent="0.35">
      <c r="A14" s="6"/>
      <c r="E14" s="1" t="s">
        <v>38</v>
      </c>
      <c r="F14" s="1" t="s">
        <v>54</v>
      </c>
      <c r="G14" s="1" t="s">
        <v>55</v>
      </c>
      <c r="H14" s="1" t="s">
        <v>56</v>
      </c>
      <c r="I14" s="1" t="s">
        <v>32</v>
      </c>
      <c r="J14" s="8"/>
      <c r="K14" s="13">
        <f>F_Inputs!F12</f>
        <v>0.96485623003194887</v>
      </c>
      <c r="L14" s="13">
        <f>F_Inputs!G12</f>
        <v>0.93269230769230771</v>
      </c>
      <c r="M14" s="13">
        <f>F_Inputs!H12</f>
        <v>0.96141479099678462</v>
      </c>
      <c r="N14" s="13">
        <f>F_Inputs!I12</f>
        <v>0.95527156549520764</v>
      </c>
      <c r="O14" s="13">
        <f>F_Inputs!J12</f>
        <v>0.98076923076923062</v>
      </c>
      <c r="P14" s="13">
        <f>F_Inputs!K12</f>
        <v>0.97096774193548385</v>
      </c>
      <c r="Q14" s="13">
        <f>F_Inputs!L12</f>
        <v>0.98722044728434499</v>
      </c>
      <c r="R14" s="13">
        <f>F_Inputs!M12</f>
        <v>0.98713826366559487</v>
      </c>
      <c r="S14" s="13">
        <f>F_Inputs!N12</f>
        <v>0.99035369774919613</v>
      </c>
      <c r="T14" s="13">
        <f>F_Inputs!O12</f>
        <v>0.97460317460317458</v>
      </c>
      <c r="U14" s="13">
        <f>F_Inputs!P12</f>
        <v>0.99365079365079367</v>
      </c>
      <c r="V14" s="13">
        <f>F_Inputs!Q12</f>
        <v>0.96190476190476193</v>
      </c>
    </row>
    <row r="15" spans="1:22" s="1" customFormat="1" ht="13.15" x14ac:dyDescent="0.35">
      <c r="A15" s="6"/>
      <c r="E15" s="1" t="s">
        <v>39</v>
      </c>
      <c r="F15" s="1" t="s">
        <v>54</v>
      </c>
      <c r="G15" s="1" t="s">
        <v>55</v>
      </c>
      <c r="H15" s="1" t="s">
        <v>56</v>
      </c>
      <c r="I15" s="1" t="s">
        <v>32</v>
      </c>
      <c r="J15" s="8"/>
      <c r="K15" s="13">
        <f>F_Inputs!F13</f>
        <v>0.96283783783783794</v>
      </c>
      <c r="L15" s="13">
        <f>F_Inputs!G13</f>
        <v>0.95297805642633227</v>
      </c>
      <c r="M15" s="13">
        <f>F_Inputs!H13</f>
        <v>0.98101265822784811</v>
      </c>
      <c r="N15" s="13">
        <f>F_Inputs!I13</f>
        <v>0.98392282958199362</v>
      </c>
      <c r="O15" s="13">
        <f>F_Inputs!J13</f>
        <v>0.98722044728434499</v>
      </c>
      <c r="P15" s="13">
        <f>F_Inputs!K13</f>
        <v>0.98170731707317072</v>
      </c>
      <c r="Q15" s="13">
        <f>F_Inputs!L13</f>
        <v>0.99099099099099097</v>
      </c>
      <c r="R15" s="13">
        <f>F_Inputs!M13</f>
        <v>0.98809523809523814</v>
      </c>
      <c r="S15" s="13">
        <f>F_Inputs!N13</f>
        <v>0.97058823529411764</v>
      </c>
      <c r="T15" s="13">
        <f>F_Inputs!O13</f>
        <v>0.97941176470588232</v>
      </c>
      <c r="U15" s="13">
        <f>F_Inputs!P13</f>
        <v>0.9821428571428571</v>
      </c>
      <c r="V15" s="13">
        <f>F_Inputs!Q13</f>
        <v>0.99404761904761907</v>
      </c>
    </row>
    <row r="16" spans="1:22" s="1" customFormat="1" ht="13.15" x14ac:dyDescent="0.35">
      <c r="A16" s="6"/>
      <c r="E16" s="1" t="s">
        <v>40</v>
      </c>
      <c r="F16" s="1" t="s">
        <v>54</v>
      </c>
      <c r="G16" s="1" t="s">
        <v>55</v>
      </c>
      <c r="H16" s="1" t="s">
        <v>56</v>
      </c>
      <c r="I16" s="1" t="s">
        <v>32</v>
      </c>
      <c r="J16" s="8"/>
      <c r="K16" s="13">
        <f>F_Inputs!F14</f>
        <v>0.9920844327176781</v>
      </c>
      <c r="L16" s="13">
        <f>F_Inputs!G14</f>
        <v>0.95572916666666652</v>
      </c>
      <c r="M16" s="13">
        <f>F_Inputs!H14</f>
        <v>0.98691099476439792</v>
      </c>
      <c r="N16" s="13">
        <f>F_Inputs!I14</f>
        <v>0.9921052631578946</v>
      </c>
      <c r="O16" s="13">
        <f>F_Inputs!J14</f>
        <v>0.97911227154046998</v>
      </c>
      <c r="P16" s="13">
        <f>F_Inputs!K14</f>
        <v>0.99477806788511747</v>
      </c>
      <c r="Q16" s="13">
        <f>F_Inputs!L14</f>
        <v>0.98958333333333348</v>
      </c>
      <c r="R16" s="13">
        <f>F_Inputs!M14</f>
        <v>0.9974025974025974</v>
      </c>
      <c r="S16" s="13">
        <f>F_Inputs!N14</f>
        <v>0.9974025974025974</v>
      </c>
      <c r="T16" s="13">
        <f>F_Inputs!O14</f>
        <v>0.98958333333333348</v>
      </c>
      <c r="U16" s="13">
        <f>F_Inputs!P14</f>
        <v>0.99479166666666652</v>
      </c>
      <c r="V16" s="13">
        <f>F_Inputs!Q14</f>
        <v>0.9921875</v>
      </c>
    </row>
    <row r="17" spans="1:22" s="1" customFormat="1" ht="13.15" x14ac:dyDescent="0.35">
      <c r="A17" s="6"/>
      <c r="E17" s="1" t="s">
        <v>57</v>
      </c>
      <c r="F17" s="1" t="s">
        <v>54</v>
      </c>
      <c r="G17" s="1" t="s">
        <v>55</v>
      </c>
      <c r="H17" s="1" t="s">
        <v>56</v>
      </c>
      <c r="I17" s="1" t="s">
        <v>32</v>
      </c>
      <c r="J17" s="8"/>
      <c r="K17" s="13">
        <f>F_Inputs!F15</f>
        <v>0.99164345403899712</v>
      </c>
      <c r="L17" s="13">
        <f>F_Inputs!G15</f>
        <v>0.98607242339832868</v>
      </c>
      <c r="M17" s="13">
        <f>F_Inputs!H15</f>
        <v>0.98333333333333328</v>
      </c>
      <c r="N17" s="13">
        <f>F_Inputs!I15</f>
        <v>0.97206703910614523</v>
      </c>
      <c r="O17" s="13">
        <f>F_Inputs!J15</f>
        <v>0.97374701670644404</v>
      </c>
      <c r="P17" s="13">
        <f>F_Inputs!K15</f>
        <v>0.9876237623762375</v>
      </c>
      <c r="Q17" s="13">
        <f>F_Inputs!L15</f>
        <v>0.98737373737373735</v>
      </c>
      <c r="R17" s="13">
        <f>F_Inputs!M15</f>
        <v>0.98469387755102045</v>
      </c>
      <c r="S17" s="13">
        <f>F_Inputs!N15</f>
        <v>0.9974811083123426</v>
      </c>
      <c r="T17" s="13">
        <f>F_Inputs!O15</f>
        <v>0.98976982097186705</v>
      </c>
      <c r="U17" s="13">
        <f>F_Inputs!P15</f>
        <v>0.98453608247422697</v>
      </c>
      <c r="V17" s="13">
        <f>F_Inputs!Q15</f>
        <v>0.98969072164948457</v>
      </c>
    </row>
    <row r="18" spans="1:22" s="1" customFormat="1" ht="13.15" x14ac:dyDescent="0.35">
      <c r="A18" s="6"/>
      <c r="E18" s="1" t="s">
        <v>42</v>
      </c>
      <c r="F18" s="1" t="s">
        <v>54</v>
      </c>
      <c r="G18" s="1" t="s">
        <v>55</v>
      </c>
      <c r="H18" s="1" t="s">
        <v>56</v>
      </c>
      <c r="I18" s="1" t="s">
        <v>32</v>
      </c>
      <c r="J18" s="8"/>
      <c r="K18" s="13">
        <f>F_Inputs!F16</f>
        <v>0.99671052631578949</v>
      </c>
      <c r="L18" s="13">
        <f>F_Inputs!G16</f>
        <v>0.99016393442622952</v>
      </c>
      <c r="M18" s="13">
        <f>F_Inputs!H16</f>
        <v>0.99667774086378746</v>
      </c>
      <c r="N18" s="13">
        <f>F_Inputs!I16</f>
        <v>0.9966666666666667</v>
      </c>
      <c r="O18" s="13">
        <f>F_Inputs!J16</f>
        <v>0.99371069182389926</v>
      </c>
      <c r="P18" s="13">
        <f>F_Inputs!K16</f>
        <v>0.99019607843137269</v>
      </c>
      <c r="Q18" s="13">
        <f>F_Inputs!L16</f>
        <v>1</v>
      </c>
      <c r="R18" s="13">
        <f>F_Inputs!M16</f>
        <v>0.98461538461538467</v>
      </c>
      <c r="S18" s="13">
        <f>F_Inputs!N16</f>
        <v>0.99076923076923085</v>
      </c>
      <c r="T18" s="13">
        <f>F_Inputs!O16</f>
        <v>1</v>
      </c>
      <c r="U18" s="13">
        <f>F_Inputs!P16</f>
        <v>0.99350649350649367</v>
      </c>
      <c r="V18" s="13">
        <f>F_Inputs!Q16</f>
        <v>0.99025974025974017</v>
      </c>
    </row>
    <row r="19" spans="1:22" s="1" customFormat="1" ht="13.15" x14ac:dyDescent="0.35">
      <c r="A19" s="6"/>
      <c r="E19" s="1" t="s">
        <v>43</v>
      </c>
      <c r="F19" s="1" t="s">
        <v>54</v>
      </c>
      <c r="G19" s="1" t="s">
        <v>55</v>
      </c>
      <c r="H19" s="1" t="s">
        <v>56</v>
      </c>
      <c r="I19" s="1" t="s">
        <v>32</v>
      </c>
      <c r="J19" s="8"/>
      <c r="K19" s="13">
        <f>F_Inputs!F17</f>
        <v>0.97278911564625847</v>
      </c>
      <c r="L19" s="13">
        <f>F_Inputs!G17</f>
        <v>0.97979797979797978</v>
      </c>
      <c r="M19" s="13">
        <f>F_Inputs!H17</f>
        <v>0.99331103678929766</v>
      </c>
      <c r="N19" s="13">
        <f>F_Inputs!I17</f>
        <v>0.99322033898305084</v>
      </c>
      <c r="O19" s="13">
        <f>F_Inputs!J17</f>
        <v>0.97169811320754718</v>
      </c>
      <c r="P19" s="13">
        <f>F_Inputs!K17</f>
        <v>0.97770700636942676</v>
      </c>
      <c r="Q19" s="13">
        <f>F_Inputs!L17</f>
        <v>0.97452229299363058</v>
      </c>
      <c r="R19" s="13">
        <f>F_Inputs!M17</f>
        <v>0.97468354430379744</v>
      </c>
      <c r="S19" s="13">
        <f>F_Inputs!N17</f>
        <v>0.99038461538461542</v>
      </c>
      <c r="T19" s="13">
        <f>F_Inputs!O17</f>
        <v>0.99032258064516132</v>
      </c>
      <c r="U19" s="13">
        <f>F_Inputs!P17</f>
        <v>0.99680511182108622</v>
      </c>
      <c r="V19" s="13">
        <f>F_Inputs!Q17</f>
        <v>0.99041533546325877</v>
      </c>
    </row>
    <row r="20" spans="1:22" s="1" customFormat="1" ht="13.15" x14ac:dyDescent="0.35">
      <c r="A20" s="6"/>
      <c r="E20" s="1" t="s">
        <v>44</v>
      </c>
      <c r="F20" s="1" t="s">
        <v>58</v>
      </c>
      <c r="G20" s="1" t="s">
        <v>55</v>
      </c>
      <c r="H20" s="1" t="s">
        <v>56</v>
      </c>
      <c r="I20" s="1" t="s">
        <v>32</v>
      </c>
      <c r="J20" s="8"/>
      <c r="K20" s="13">
        <f>F_Inputs!F18</f>
        <v>1</v>
      </c>
      <c r="L20" s="13">
        <f>F_Inputs!G18</f>
        <v>1</v>
      </c>
      <c r="M20" s="13">
        <f>F_Inputs!H18</f>
        <v>1</v>
      </c>
      <c r="N20" s="13">
        <f>F_Inputs!I18</f>
        <v>1</v>
      </c>
      <c r="O20" s="13">
        <f>F_Inputs!J18</f>
        <v>1</v>
      </c>
      <c r="P20" s="13">
        <f>F_Inputs!K18</f>
        <v>1</v>
      </c>
      <c r="Q20" s="13">
        <f>F_Inputs!L18</f>
        <v>1</v>
      </c>
      <c r="R20" s="13">
        <f>F_Inputs!M18</f>
        <v>1</v>
      </c>
      <c r="S20" s="13">
        <f>F_Inputs!N18</f>
        <v>0.97619047619047616</v>
      </c>
      <c r="T20" s="13">
        <f>F_Inputs!O18</f>
        <v>0.967741935483871</v>
      </c>
      <c r="U20" s="13">
        <f>F_Inputs!P18</f>
        <v>0.967741935483871</v>
      </c>
      <c r="V20" s="13">
        <f>F_Inputs!Q18</f>
        <v>1</v>
      </c>
    </row>
    <row r="21" spans="1:22" s="1" customFormat="1" ht="13.15" x14ac:dyDescent="0.35">
      <c r="A21" s="6"/>
      <c r="E21" s="1" t="s">
        <v>45</v>
      </c>
      <c r="F21" s="1" t="s">
        <v>58</v>
      </c>
      <c r="G21" s="1" t="s">
        <v>55</v>
      </c>
      <c r="H21" s="1" t="s">
        <v>56</v>
      </c>
      <c r="I21" s="1" t="s">
        <v>32</v>
      </c>
      <c r="J21" s="8"/>
      <c r="K21" s="13" t="str">
        <f>F_Inputs!F19</f>
        <v/>
      </c>
      <c r="L21" s="13" t="str">
        <f>F_Inputs!G19</f>
        <v/>
      </c>
      <c r="M21" s="13" t="str">
        <f>F_Inputs!H19</f>
        <v/>
      </c>
      <c r="N21" s="13" t="str">
        <f>F_Inputs!I19</f>
        <v/>
      </c>
      <c r="O21" s="13" t="str">
        <f>F_Inputs!J19</f>
        <v/>
      </c>
      <c r="P21" s="13" t="str">
        <f>F_Inputs!K19</f>
        <v/>
      </c>
      <c r="Q21" s="13" t="str">
        <f>F_Inputs!L19</f>
        <v/>
      </c>
      <c r="R21" s="13">
        <f>F_Inputs!M19</f>
        <v>1</v>
      </c>
      <c r="S21" s="13">
        <f>F_Inputs!N19</f>
        <v>1</v>
      </c>
      <c r="T21" s="13">
        <f>F_Inputs!O19</f>
        <v>1</v>
      </c>
      <c r="U21" s="13">
        <f>F_Inputs!P19</f>
        <v>1</v>
      </c>
      <c r="V21" s="13">
        <f>F_Inputs!Q19</f>
        <v>1</v>
      </c>
    </row>
    <row r="22" spans="1:22" s="1" customFormat="1" ht="13.15" x14ac:dyDescent="0.35">
      <c r="A22" s="6"/>
      <c r="E22" s="1" t="s">
        <v>46</v>
      </c>
      <c r="F22" s="1" t="s">
        <v>58</v>
      </c>
      <c r="G22" s="1" t="s">
        <v>55</v>
      </c>
      <c r="H22" s="1" t="s">
        <v>56</v>
      </c>
      <c r="I22" s="1" t="s">
        <v>32</v>
      </c>
      <c r="J22" s="8"/>
      <c r="K22" s="13" t="str">
        <f>F_Inputs!F20</f>
        <v/>
      </c>
      <c r="L22" s="13" t="str">
        <f>F_Inputs!G20</f>
        <v/>
      </c>
      <c r="M22" s="13" t="str">
        <f>F_Inputs!H20</f>
        <v/>
      </c>
      <c r="N22" s="13" t="str">
        <f>F_Inputs!I20</f>
        <v/>
      </c>
      <c r="O22" s="13" t="str">
        <f>F_Inputs!J20</f>
        <v/>
      </c>
      <c r="P22" s="13" t="str">
        <f>F_Inputs!K20</f>
        <v/>
      </c>
      <c r="Q22" s="13" t="str">
        <f>F_Inputs!L20</f>
        <v/>
      </c>
      <c r="R22" s="13">
        <f>F_Inputs!M20</f>
        <v>0.93103448275862066</v>
      </c>
      <c r="S22" s="13">
        <f>F_Inputs!N20</f>
        <v>1</v>
      </c>
      <c r="T22" s="13">
        <f>F_Inputs!O20</f>
        <v>0.86206896551724133</v>
      </c>
      <c r="U22" s="13">
        <f>F_Inputs!P20</f>
        <v>0.86206896551724133</v>
      </c>
      <c r="V22" s="13">
        <f>F_Inputs!Q20</f>
        <v>0.96551724137931028</v>
      </c>
    </row>
    <row r="23" spans="1:22" s="1" customFormat="1" ht="13.15" x14ac:dyDescent="0.35">
      <c r="A23" s="6"/>
      <c r="E23" s="1" t="s">
        <v>47</v>
      </c>
      <c r="F23" s="1" t="s">
        <v>58</v>
      </c>
      <c r="G23" s="1" t="s">
        <v>55</v>
      </c>
      <c r="H23" s="1" t="s">
        <v>56</v>
      </c>
      <c r="I23" s="1" t="s">
        <v>32</v>
      </c>
      <c r="J23" s="8"/>
      <c r="K23" s="13">
        <f>F_Inputs!F21</f>
        <v>1</v>
      </c>
      <c r="L23" s="13">
        <f>F_Inputs!G21</f>
        <v>1</v>
      </c>
      <c r="M23" s="13">
        <f>F_Inputs!H21</f>
        <v>1</v>
      </c>
      <c r="N23" s="13">
        <f>F_Inputs!I21</f>
        <v>1</v>
      </c>
      <c r="O23" s="13">
        <f>F_Inputs!J21</f>
        <v>1</v>
      </c>
      <c r="P23" s="13">
        <f>F_Inputs!K21</f>
        <v>0.83333333333333348</v>
      </c>
      <c r="Q23" s="13">
        <f>F_Inputs!L21</f>
        <v>1</v>
      </c>
      <c r="R23" s="13">
        <f>F_Inputs!M21</f>
        <v>1</v>
      </c>
      <c r="S23" s="13">
        <f>F_Inputs!N21</f>
        <v>1</v>
      </c>
      <c r="T23" s="13">
        <f>F_Inputs!O21</f>
        <v>1</v>
      </c>
      <c r="U23" s="13">
        <f>F_Inputs!P21</f>
        <v>1</v>
      </c>
      <c r="V23" s="13">
        <f>F_Inputs!Q21</f>
        <v>0.83333333333333348</v>
      </c>
    </row>
    <row r="24" spans="1:22" s="1" customFormat="1" ht="13.15" x14ac:dyDescent="0.35">
      <c r="A24" s="6"/>
      <c r="E24" s="1" t="s">
        <v>48</v>
      </c>
      <c r="F24" s="1" t="s">
        <v>58</v>
      </c>
      <c r="G24" s="1" t="s">
        <v>55</v>
      </c>
      <c r="H24" s="1" t="s">
        <v>56</v>
      </c>
      <c r="I24" s="1" t="s">
        <v>32</v>
      </c>
      <c r="J24" s="8"/>
      <c r="K24" s="13" t="str">
        <f>F_Inputs!F22</f>
        <v/>
      </c>
      <c r="L24" s="13">
        <f>F_Inputs!G22</f>
        <v>0.97368421052631571</v>
      </c>
      <c r="M24" s="13">
        <f>F_Inputs!H22</f>
        <v>0.92105263157894735</v>
      </c>
      <c r="N24" s="13">
        <f>F_Inputs!I22</f>
        <v>0.98684210526315785</v>
      </c>
      <c r="O24" s="13">
        <f>F_Inputs!J22</f>
        <v>0.93421052631578949</v>
      </c>
      <c r="P24" s="13">
        <f>F_Inputs!K22</f>
        <v>0.94736842105263153</v>
      </c>
      <c r="Q24" s="13">
        <f>F_Inputs!L22</f>
        <v>0.96052631578947367</v>
      </c>
      <c r="R24" s="13">
        <f>F_Inputs!M22</f>
        <v>0.96052631578947367</v>
      </c>
      <c r="S24" s="13">
        <f>F_Inputs!N22</f>
        <v>0.98684210526315785</v>
      </c>
      <c r="T24" s="13">
        <f>F_Inputs!O22</f>
        <v>0.97368421052631571</v>
      </c>
      <c r="U24" s="13">
        <f>F_Inputs!P22</f>
        <v>0.92105263157894735</v>
      </c>
      <c r="V24" s="13">
        <f>F_Inputs!Q22</f>
        <v>0.92105263157894735</v>
      </c>
    </row>
    <row r="25" spans="1:22" s="1" customFormat="1" ht="13.15" x14ac:dyDescent="0.35">
      <c r="A25" s="6"/>
      <c r="E25" s="1" t="s">
        <v>49</v>
      </c>
      <c r="F25" s="1" t="s">
        <v>58</v>
      </c>
      <c r="G25" s="1" t="s">
        <v>55</v>
      </c>
      <c r="H25" s="1" t="s">
        <v>56</v>
      </c>
      <c r="I25" s="1" t="s">
        <v>32</v>
      </c>
      <c r="J25" s="8"/>
      <c r="K25" s="13">
        <f>F_Inputs!F23</f>
        <v>1</v>
      </c>
      <c r="L25" s="13">
        <f>F_Inputs!G23</f>
        <v>1</v>
      </c>
      <c r="M25" s="13">
        <f>F_Inputs!H23</f>
        <v>1</v>
      </c>
      <c r="N25" s="13">
        <f>F_Inputs!I23</f>
        <v>1</v>
      </c>
      <c r="O25" s="13">
        <f>F_Inputs!J23</f>
        <v>1</v>
      </c>
      <c r="P25" s="13">
        <f>F_Inputs!K23</f>
        <v>1</v>
      </c>
      <c r="Q25" s="13">
        <f>F_Inputs!L23</f>
        <v>1</v>
      </c>
      <c r="R25" s="13">
        <f>F_Inputs!M23</f>
        <v>1</v>
      </c>
      <c r="S25" s="13">
        <f>F_Inputs!N23</f>
        <v>1</v>
      </c>
      <c r="T25" s="13">
        <f>F_Inputs!O23</f>
        <v>1</v>
      </c>
      <c r="U25" s="13">
        <f>F_Inputs!P23</f>
        <v>1</v>
      </c>
      <c r="V25" s="13">
        <f>F_Inputs!Q23</f>
        <v>1</v>
      </c>
    </row>
    <row r="26" spans="1:22" s="1" customFormat="1" ht="13.15" collapsed="1" x14ac:dyDescent="0.35">
      <c r="A26" s="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2" s="63" customFormat="1" ht="13.15" x14ac:dyDescent="0.35">
      <c r="A27" s="63" t="s">
        <v>59</v>
      </c>
    </row>
    <row r="28" spans="1:22" s="1" customFormat="1" ht="13.15" x14ac:dyDescent="0.35">
      <c r="A28" s="6"/>
    </row>
    <row r="29" spans="1:22" s="1" customFormat="1" ht="14.25" x14ac:dyDescent="0.45">
      <c r="A29" s="6"/>
      <c r="E29" s="64"/>
      <c r="F29" s="64"/>
      <c r="G29" s="1" t="s">
        <v>55</v>
      </c>
      <c r="H29" s="1" t="s">
        <v>60</v>
      </c>
      <c r="I29" s="1" t="s">
        <v>32</v>
      </c>
      <c r="K29" s="65">
        <v>1</v>
      </c>
      <c r="L29" s="65">
        <v>1</v>
      </c>
      <c r="M29" s="65">
        <v>1</v>
      </c>
      <c r="N29" s="65">
        <v>1</v>
      </c>
      <c r="O29" s="65">
        <v>1</v>
      </c>
      <c r="P29" s="65">
        <v>1</v>
      </c>
      <c r="Q29" s="65">
        <v>1</v>
      </c>
      <c r="R29" s="65">
        <v>1</v>
      </c>
      <c r="S29" s="65">
        <v>1</v>
      </c>
      <c r="T29" s="65">
        <v>1</v>
      </c>
      <c r="U29" s="65">
        <v>1</v>
      </c>
      <c r="V29" s="65">
        <v>1</v>
      </c>
    </row>
    <row r="30" spans="1:22" s="1" customFormat="1" ht="14.25" x14ac:dyDescent="0.45">
      <c r="A30" s="6"/>
      <c r="E30" s="58"/>
      <c r="F30" s="58"/>
    </row>
    <row r="31" spans="1:22" s="66" customFormat="1" ht="13.15" x14ac:dyDescent="0.4">
      <c r="A31" s="66" t="s">
        <v>61</v>
      </c>
    </row>
    <row r="32" spans="1:22" ht="14.25" hidden="1" x14ac:dyDescent="0.45">
      <c r="E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5:21" ht="14.25" hidden="1" x14ac:dyDescent="0.45">
      <c r="E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5:21" ht="14.25" hidden="1" x14ac:dyDescent="0.45">
      <c r="E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5:21" ht="14.25" hidden="1" x14ac:dyDescent="0.45">
      <c r="E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5:21" ht="14.25" hidden="1" x14ac:dyDescent="0.45">
      <c r="E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5:21" ht="14.25" hidden="1" x14ac:dyDescent="0.45">
      <c r="E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5:21" ht="14.25" hidden="1" x14ac:dyDescent="0.45">
      <c r="E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5:21" ht="14.25" hidden="1" x14ac:dyDescent="0.45">
      <c r="E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5:21" ht="14.25" hidden="1" x14ac:dyDescent="0.45">
      <c r="E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5:21" ht="14.25" hidden="1" x14ac:dyDescent="0.45">
      <c r="E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5:21" ht="14.25" hidden="1" x14ac:dyDescent="0.45">
      <c r="E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5:21" ht="14.25" hidden="1" x14ac:dyDescent="0.45">
      <c r="E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5:21" ht="14.25" hidden="1" x14ac:dyDescent="0.45">
      <c r="E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5:21" ht="14.25" hidden="1" x14ac:dyDescent="0.45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5:21" ht="14.25" hidden="1" x14ac:dyDescent="0.45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5:21" ht="14.25" hidden="1" x14ac:dyDescent="0.45"/>
    <row r="48" spans="5:21" ht="14.25" hidden="1" x14ac:dyDescent="0.45"/>
    <row r="49" ht="14.25" hidden="1" x14ac:dyDescent="0.45"/>
    <row r="50" ht="14.25" hidden="1" x14ac:dyDescent="0.45"/>
    <row r="51" ht="14.25" hidden="1" x14ac:dyDescent="0.45"/>
    <row r="52" ht="14.25" hidden="1" x14ac:dyDescent="0.45"/>
    <row r="53" ht="14.25" hidden="1" x14ac:dyDescent="0.45"/>
    <row r="54" ht="14.25" hidden="1" x14ac:dyDescent="0.45"/>
    <row r="55" ht="14.25" hidden="1" x14ac:dyDescent="0.45"/>
    <row r="56" ht="14.25" hidden="1" x14ac:dyDescent="0.45"/>
    <row r="57" ht="14.25" hidden="1" x14ac:dyDescent="0.45"/>
    <row r="58" ht="14.25" hidden="1" x14ac:dyDescent="0.45"/>
    <row r="59" ht="14.25" hidden="1" x14ac:dyDescent="0.45"/>
    <row r="60" ht="14.25" hidden="1" x14ac:dyDescent="0.45"/>
    <row r="61" ht="14.25" hidden="1" x14ac:dyDescent="0.45"/>
    <row r="62" ht="14.25" hidden="1" x14ac:dyDescent="0.45"/>
    <row r="63" ht="14.25" hidden="1" x14ac:dyDescent="0.45"/>
    <row r="64" ht="14.25" hidden="1" x14ac:dyDescent="0.45"/>
    <row r="65" ht="14.25" hidden="1" x14ac:dyDescent="0.45"/>
    <row r="66" ht="14.25" hidden="1" x14ac:dyDescent="0.45"/>
    <row r="67" ht="14.25" hidden="1" x14ac:dyDescent="0.45"/>
    <row r="68" ht="14.25" hidden="1" x14ac:dyDescent="0.45"/>
    <row r="69" ht="14.25" hidden="1" x14ac:dyDescent="0.45"/>
    <row r="70" ht="14.25" hidden="1" x14ac:dyDescent="0.45"/>
    <row r="71" ht="14.25" hidden="1" x14ac:dyDescent="0.45"/>
    <row r="72" ht="14.25" hidden="1" x14ac:dyDescent="0.45"/>
    <row r="73" ht="14.25" hidden="1" x14ac:dyDescent="0.45"/>
    <row r="74" ht="14.25" hidden="1" x14ac:dyDescent="0.45"/>
    <row r="75" ht="14.25" hidden="1" x14ac:dyDescent="0.45"/>
    <row r="76" ht="14.25" hidden="1" x14ac:dyDescent="0.45"/>
    <row r="77" ht="14.25" hidden="1" x14ac:dyDescent="0.45"/>
    <row r="78" ht="14.25" hidden="1" x14ac:dyDescent="0.45"/>
    <row r="79" ht="14.25" hidden="1" x14ac:dyDescent="0.45"/>
  </sheetData>
  <phoneticPr fontId="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14E0-FDE4-47A4-9661-FE3947B945AE}">
  <sheetPr codeName="Sheet8">
    <tabColor rgb="FFCCCCCE"/>
  </sheetPr>
  <dimension ref="A1:U71"/>
  <sheetViews>
    <sheetView showGridLines="0" zoomScale="80" zoomScaleNormal="80" workbookViewId="0">
      <pane ySplit="5" topLeftCell="A7" activePane="bottomLeft" state="frozen"/>
      <selection activeCell="F9" sqref="F9"/>
      <selection pane="bottomLeft"/>
    </sheetView>
  </sheetViews>
  <sheetFormatPr defaultColWidth="9" defaultRowHeight="14.25" zeroHeight="1" outlineLevelRow="1" x14ac:dyDescent="0.45"/>
  <cols>
    <col min="1" max="1" width="1" style="6" customWidth="1"/>
    <col min="2" max="4" width="1" style="1" customWidth="1"/>
    <col min="5" max="5" width="8.125" style="58" customWidth="1"/>
    <col min="6" max="6" width="20.375" style="1" bestFit="1" customWidth="1"/>
    <col min="7" max="7" width="21.75" style="1" bestFit="1" customWidth="1"/>
    <col min="8" max="8" width="7.875" style="18" customWidth="1"/>
    <col min="9" max="9" width="4" style="1" customWidth="1"/>
    <col min="10" max="21" width="9" style="1" customWidth="1"/>
    <col min="22" max="16383" width="0" style="1" hidden="1" customWidth="1"/>
    <col min="16384" max="16384" width="9" style="1"/>
  </cols>
  <sheetData>
    <row r="1" spans="1:21" s="4" customFormat="1" ht="30.75" x14ac:dyDescent="0.35">
      <c r="A1" s="4" t="str">
        <f ca="1">RIGHT(CELL("filename", A1), LEN(CELL("filename", A1)) - SEARCH("]", CELL("filename", A1)))</f>
        <v>Difference to PCL</v>
      </c>
      <c r="D1" s="5"/>
      <c r="H1" s="17"/>
    </row>
    <row r="2" spans="1:21" ht="13.15" x14ac:dyDescent="0.35">
      <c r="E2" s="1"/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  <c r="P2" s="6" t="s">
        <v>21</v>
      </c>
      <c r="Q2" s="6" t="s">
        <v>22</v>
      </c>
      <c r="R2" s="6" t="s">
        <v>23</v>
      </c>
      <c r="S2" s="6" t="s">
        <v>24</v>
      </c>
      <c r="T2" s="6" t="s">
        <v>25</v>
      </c>
      <c r="U2" s="6" t="s">
        <v>26</v>
      </c>
    </row>
    <row r="3" spans="1:21" ht="13.15" x14ac:dyDescent="0.35">
      <c r="E3" s="7" t="s">
        <v>50</v>
      </c>
      <c r="F3" s="7" t="s">
        <v>51</v>
      </c>
      <c r="G3" s="7" t="s">
        <v>52</v>
      </c>
      <c r="H3" s="19" t="s">
        <v>13</v>
      </c>
      <c r="I3" s="7"/>
    </row>
    <row r="4" spans="1:21" ht="13.15" x14ac:dyDescent="0.35">
      <c r="E4" s="1"/>
    </row>
    <row r="5" spans="1:21" ht="13.15" x14ac:dyDescent="0.35">
      <c r="E5" s="1"/>
      <c r="I5" s="3"/>
    </row>
    <row r="6" spans="1:21" ht="13.15" x14ac:dyDescent="0.35">
      <c r="E6" s="1"/>
    </row>
    <row r="7" spans="1:21" s="63" customFormat="1" ht="13.15" x14ac:dyDescent="0.35">
      <c r="A7" s="63" t="s">
        <v>62</v>
      </c>
    </row>
    <row r="8" spans="1:21" ht="13.15" x14ac:dyDescent="0.35">
      <c r="E8" s="1"/>
    </row>
    <row r="9" spans="1:21" ht="13.15" x14ac:dyDescent="0.35">
      <c r="E9" s="1" t="s">
        <v>29</v>
      </c>
      <c r="F9" s="1" t="s">
        <v>55</v>
      </c>
      <c r="G9" s="1" t="s">
        <v>56</v>
      </c>
      <c r="H9" s="18" t="s">
        <v>32</v>
      </c>
      <c r="I9" s="10"/>
      <c r="J9" s="13">
        <f>Inputs_All!K9</f>
        <v>0.97073791348600513</v>
      </c>
      <c r="K9" s="13">
        <f>Inputs_All!L9</f>
        <v>0.97197452229299364</v>
      </c>
      <c r="L9" s="13">
        <f>Inputs_All!M9</f>
        <v>0.98348157560355787</v>
      </c>
      <c r="M9" s="13">
        <f>Inputs_All!N9</f>
        <v>0.9826086956521739</v>
      </c>
      <c r="N9" s="13">
        <f>Inputs_All!O9</f>
        <v>0.99119496855345912</v>
      </c>
      <c r="O9" s="13">
        <f>Inputs_All!P9</f>
        <v>0.98612862547288782</v>
      </c>
      <c r="P9" s="13">
        <f>Inputs_All!Q9</f>
        <v>0.98212157330154948</v>
      </c>
      <c r="Q9" s="13">
        <f>Inputs_All!R9</f>
        <v>0.9858156028368793</v>
      </c>
      <c r="R9" s="13">
        <f>Inputs_All!S9</f>
        <v>0.99292452830188682</v>
      </c>
      <c r="S9" s="13">
        <f>Inputs_All!T9</f>
        <v>0.98220640569395012</v>
      </c>
      <c r="T9" s="13">
        <f>Inputs_All!U9</f>
        <v>0.98566308243727585</v>
      </c>
      <c r="U9" s="13">
        <f>Inputs_All!V9</f>
        <v>0.98444976076555024</v>
      </c>
    </row>
    <row r="10" spans="1:21" ht="13.15" hidden="1" outlineLevel="1" x14ac:dyDescent="0.35">
      <c r="E10" s="1" t="s">
        <v>33</v>
      </c>
      <c r="F10" s="1" t="s">
        <v>55</v>
      </c>
      <c r="G10" s="1" t="s">
        <v>56</v>
      </c>
      <c r="H10" s="18" t="s">
        <v>32</v>
      </c>
      <c r="I10" s="8"/>
      <c r="J10" s="13">
        <f>Inputs_All!K10</f>
        <v>0.97063369397217925</v>
      </c>
      <c r="K10" s="13">
        <f>Inputs_All!L10</f>
        <v>0.96360759493670889</v>
      </c>
      <c r="L10" s="13">
        <f>Inputs_All!M10</f>
        <v>0.97752808988764039</v>
      </c>
      <c r="M10" s="13">
        <f>Inputs_All!N10</f>
        <v>0.970873786407767</v>
      </c>
      <c r="N10" s="13">
        <f>Inputs_All!O10</f>
        <v>0.99029126213592233</v>
      </c>
      <c r="O10" s="13">
        <f>Inputs_All!P10</f>
        <v>0.96699669966996704</v>
      </c>
      <c r="P10" s="13">
        <f>Inputs_All!Q10</f>
        <v>0.98019801980198029</v>
      </c>
      <c r="Q10" s="13">
        <f>Inputs_All!R10</f>
        <v>0.98181818181818192</v>
      </c>
      <c r="R10" s="13">
        <f>Inputs_All!S10</f>
        <v>0.99664991624790611</v>
      </c>
      <c r="S10" s="13">
        <f>Inputs_All!T10</f>
        <v>0.98322147651006697</v>
      </c>
      <c r="T10" s="13">
        <f>Inputs_All!U10</f>
        <v>0.98504983388704315</v>
      </c>
      <c r="U10" s="13">
        <f>Inputs_All!V10</f>
        <v>0.98009950248756217</v>
      </c>
    </row>
    <row r="11" spans="1:21" ht="13.15" hidden="1" outlineLevel="1" x14ac:dyDescent="0.35">
      <c r="E11" s="1" t="s">
        <v>34</v>
      </c>
      <c r="F11" s="1" t="s">
        <v>55</v>
      </c>
      <c r="G11" s="1" t="s">
        <v>56</v>
      </c>
      <c r="H11" s="18" t="s">
        <v>32</v>
      </c>
      <c r="I11" s="8"/>
      <c r="J11" s="13">
        <f>Inputs_All!K11</f>
        <v>1</v>
      </c>
      <c r="K11" s="13">
        <f>Inputs_All!L11</f>
        <v>1</v>
      </c>
      <c r="L11" s="13">
        <f>Inputs_All!M11</f>
        <v>0.75</v>
      </c>
      <c r="M11" s="13">
        <f>Inputs_All!N11</f>
        <v>1</v>
      </c>
      <c r="N11" s="13">
        <f>Inputs_All!O11</f>
        <v>1</v>
      </c>
      <c r="O11" s="13">
        <f>Inputs_All!P11</f>
        <v>1</v>
      </c>
      <c r="P11" s="13">
        <f>Inputs_All!Q11</f>
        <v>1</v>
      </c>
      <c r="Q11" s="13">
        <f>Inputs_All!R11</f>
        <v>1</v>
      </c>
      <c r="R11" s="13">
        <f>Inputs_All!S11</f>
        <v>1</v>
      </c>
      <c r="S11" s="13">
        <f>Inputs_All!T11</f>
        <v>0.97872340425531912</v>
      </c>
      <c r="T11" s="13">
        <f>Inputs_All!U11</f>
        <v>0.97826086956521729</v>
      </c>
      <c r="U11" s="13">
        <f>Inputs_All!V11</f>
        <v>1</v>
      </c>
    </row>
    <row r="12" spans="1:21" ht="13.15" hidden="1" outlineLevel="1" x14ac:dyDescent="0.35">
      <c r="E12" s="1" t="s">
        <v>35</v>
      </c>
      <c r="F12" s="1" t="s">
        <v>55</v>
      </c>
      <c r="G12" s="1" t="s">
        <v>56</v>
      </c>
      <c r="H12" s="18" t="s">
        <v>32</v>
      </c>
      <c r="I12" s="8"/>
      <c r="J12" s="13" t="str">
        <f>Inputs_All!K12</f>
        <v/>
      </c>
      <c r="K12" s="13" t="str">
        <f>Inputs_All!L12</f>
        <v/>
      </c>
      <c r="L12" s="13" t="str">
        <f>Inputs_All!M12</f>
        <v/>
      </c>
      <c r="M12" s="13" t="str">
        <f>Inputs_All!N12</f>
        <v/>
      </c>
      <c r="N12" s="13" t="str">
        <f>Inputs_All!O12</f>
        <v/>
      </c>
      <c r="O12" s="13">
        <f>Inputs_All!P12</f>
        <v>0.96</v>
      </c>
      <c r="P12" s="13">
        <f>Inputs_All!Q12</f>
        <v>0.995</v>
      </c>
      <c r="Q12" s="13">
        <f>Inputs_All!R12</f>
        <v>0.96568627450980382</v>
      </c>
      <c r="R12" s="13">
        <f>Inputs_All!S12</f>
        <v>0.99512195121951219</v>
      </c>
      <c r="S12" s="13">
        <f>Inputs_All!T12</f>
        <v>0.98039215686274506</v>
      </c>
      <c r="T12" s="13">
        <f>Inputs_All!U12</f>
        <v>0.98529411764705888</v>
      </c>
      <c r="U12" s="13">
        <f>Inputs_All!V12</f>
        <v>0.9854368932038835</v>
      </c>
    </row>
    <row r="13" spans="1:21" ht="13.15" hidden="1" outlineLevel="1" x14ac:dyDescent="0.35">
      <c r="E13" s="1" t="s">
        <v>37</v>
      </c>
      <c r="F13" s="1" t="s">
        <v>55</v>
      </c>
      <c r="G13" s="1" t="s">
        <v>56</v>
      </c>
      <c r="H13" s="18" t="s">
        <v>32</v>
      </c>
      <c r="I13" s="8"/>
      <c r="J13" s="13" t="str">
        <f>Inputs_All!K13</f>
        <v/>
      </c>
      <c r="K13" s="13" t="str">
        <f>Inputs_All!L13</f>
        <v/>
      </c>
      <c r="L13" s="13" t="str">
        <f>Inputs_All!M13</f>
        <v/>
      </c>
      <c r="M13" s="13" t="str">
        <f>Inputs_All!N13</f>
        <v/>
      </c>
      <c r="N13" s="13" t="str">
        <f>Inputs_All!O13</f>
        <v/>
      </c>
      <c r="O13" s="13">
        <f>Inputs_All!P13</f>
        <v>0.99631449631449631</v>
      </c>
      <c r="P13" s="13">
        <f>Inputs_All!Q13</f>
        <v>0.98423127463863336</v>
      </c>
      <c r="Q13" s="13">
        <f>Inputs_All!R13</f>
        <v>0.99605781865965837</v>
      </c>
      <c r="R13" s="13">
        <f>Inputs_All!S13</f>
        <v>0.99602649006622512</v>
      </c>
      <c r="S13" s="13">
        <f>Inputs_All!T13</f>
        <v>0.99332443257676895</v>
      </c>
      <c r="T13" s="13">
        <f>Inputs_All!U13</f>
        <v>0.99327956989247312</v>
      </c>
      <c r="U13" s="13">
        <f>Inputs_All!V13</f>
        <v>0.9946236559139785</v>
      </c>
    </row>
    <row r="14" spans="1:21" ht="13.15" hidden="1" outlineLevel="1" x14ac:dyDescent="0.35">
      <c r="E14" s="1" t="s">
        <v>38</v>
      </c>
      <c r="F14" s="1" t="s">
        <v>55</v>
      </c>
      <c r="G14" s="1" t="s">
        <v>56</v>
      </c>
      <c r="H14" s="18" t="s">
        <v>32</v>
      </c>
      <c r="I14" s="8"/>
      <c r="J14" s="13">
        <f>Inputs_All!K14</f>
        <v>0.96485623003194887</v>
      </c>
      <c r="K14" s="13">
        <f>Inputs_All!L14</f>
        <v>0.93269230769230771</v>
      </c>
      <c r="L14" s="13">
        <f>Inputs_All!M14</f>
        <v>0.96141479099678462</v>
      </c>
      <c r="M14" s="13">
        <f>Inputs_All!N14</f>
        <v>0.95527156549520764</v>
      </c>
      <c r="N14" s="13">
        <f>Inputs_All!O14</f>
        <v>0.98076923076923062</v>
      </c>
      <c r="O14" s="13">
        <f>Inputs_All!P14</f>
        <v>0.97096774193548385</v>
      </c>
      <c r="P14" s="13">
        <f>Inputs_All!Q14</f>
        <v>0.98722044728434499</v>
      </c>
      <c r="Q14" s="13">
        <f>Inputs_All!R14</f>
        <v>0.98713826366559487</v>
      </c>
      <c r="R14" s="13">
        <f>Inputs_All!S14</f>
        <v>0.99035369774919613</v>
      </c>
      <c r="S14" s="13">
        <f>Inputs_All!T14</f>
        <v>0.97460317460317458</v>
      </c>
      <c r="T14" s="13">
        <f>Inputs_All!U14</f>
        <v>0.99365079365079367</v>
      </c>
      <c r="U14" s="13">
        <f>Inputs_All!V14</f>
        <v>0.96190476190476193</v>
      </c>
    </row>
    <row r="15" spans="1:21" ht="13.15" hidden="1" outlineLevel="1" x14ac:dyDescent="0.35">
      <c r="E15" s="1" t="s">
        <v>39</v>
      </c>
      <c r="F15" s="1" t="s">
        <v>55</v>
      </c>
      <c r="G15" s="1" t="s">
        <v>56</v>
      </c>
      <c r="H15" s="18" t="s">
        <v>32</v>
      </c>
      <c r="I15" s="8"/>
      <c r="J15" s="13">
        <f>Inputs_All!K15</f>
        <v>0.96283783783783794</v>
      </c>
      <c r="K15" s="13">
        <f>Inputs_All!L15</f>
        <v>0.95297805642633227</v>
      </c>
      <c r="L15" s="13">
        <f>Inputs_All!M15</f>
        <v>0.98101265822784811</v>
      </c>
      <c r="M15" s="13">
        <f>Inputs_All!N15</f>
        <v>0.98392282958199362</v>
      </c>
      <c r="N15" s="13">
        <f>Inputs_All!O15</f>
        <v>0.98722044728434499</v>
      </c>
      <c r="O15" s="13">
        <f>Inputs_All!P15</f>
        <v>0.98170731707317072</v>
      </c>
      <c r="P15" s="13">
        <f>Inputs_All!Q15</f>
        <v>0.99099099099099097</v>
      </c>
      <c r="Q15" s="13">
        <f>Inputs_All!R15</f>
        <v>0.98809523809523814</v>
      </c>
      <c r="R15" s="13">
        <f>Inputs_All!S15</f>
        <v>0.97058823529411764</v>
      </c>
      <c r="S15" s="13">
        <f>Inputs_All!T15</f>
        <v>0.97941176470588232</v>
      </c>
      <c r="T15" s="13">
        <f>Inputs_All!U15</f>
        <v>0.9821428571428571</v>
      </c>
      <c r="U15" s="13">
        <f>Inputs_All!V15</f>
        <v>0.99404761904761907</v>
      </c>
    </row>
    <row r="16" spans="1:21" ht="13.15" hidden="1" outlineLevel="1" x14ac:dyDescent="0.35">
      <c r="E16" s="1" t="s">
        <v>40</v>
      </c>
      <c r="F16" s="1" t="s">
        <v>55</v>
      </c>
      <c r="G16" s="1" t="s">
        <v>56</v>
      </c>
      <c r="H16" s="18" t="s">
        <v>32</v>
      </c>
      <c r="I16" s="8"/>
      <c r="J16" s="13">
        <f>Inputs_All!K16</f>
        <v>0.9920844327176781</v>
      </c>
      <c r="K16" s="13">
        <f>Inputs_All!L16</f>
        <v>0.95572916666666652</v>
      </c>
      <c r="L16" s="13">
        <f>Inputs_All!M16</f>
        <v>0.98691099476439792</v>
      </c>
      <c r="M16" s="13">
        <f>Inputs_All!N16</f>
        <v>0.9921052631578946</v>
      </c>
      <c r="N16" s="13">
        <f>Inputs_All!O16</f>
        <v>0.97911227154046998</v>
      </c>
      <c r="O16" s="13">
        <f>Inputs_All!P16</f>
        <v>0.99477806788511747</v>
      </c>
      <c r="P16" s="13">
        <f>Inputs_All!Q16</f>
        <v>0.98958333333333348</v>
      </c>
      <c r="Q16" s="13">
        <f>Inputs_All!R16</f>
        <v>0.9974025974025974</v>
      </c>
      <c r="R16" s="13">
        <f>Inputs_All!S16</f>
        <v>0.9974025974025974</v>
      </c>
      <c r="S16" s="13">
        <f>Inputs_All!T16</f>
        <v>0.98958333333333348</v>
      </c>
      <c r="T16" s="13">
        <f>Inputs_All!U16</f>
        <v>0.99479166666666652</v>
      </c>
      <c r="U16" s="13">
        <f>Inputs_All!V16</f>
        <v>0.9921875</v>
      </c>
    </row>
    <row r="17" spans="1:21" ht="13.15" hidden="1" outlineLevel="1" x14ac:dyDescent="0.35">
      <c r="E17" s="1" t="s">
        <v>57</v>
      </c>
      <c r="F17" s="1" t="s">
        <v>55</v>
      </c>
      <c r="G17" s="1" t="s">
        <v>56</v>
      </c>
      <c r="H17" s="18" t="s">
        <v>32</v>
      </c>
      <c r="I17" s="8"/>
      <c r="J17" s="13">
        <f>Inputs_All!K17</f>
        <v>0.99164345403899712</v>
      </c>
      <c r="K17" s="13">
        <f>Inputs_All!L17</f>
        <v>0.98607242339832868</v>
      </c>
      <c r="L17" s="13">
        <f>Inputs_All!M17</f>
        <v>0.98333333333333328</v>
      </c>
      <c r="M17" s="13">
        <f>Inputs_All!N17</f>
        <v>0.97206703910614523</v>
      </c>
      <c r="N17" s="13">
        <f>Inputs_All!O17</f>
        <v>0.97374701670644404</v>
      </c>
      <c r="O17" s="13">
        <f>Inputs_All!P17</f>
        <v>0.9876237623762375</v>
      </c>
      <c r="P17" s="13">
        <f>Inputs_All!Q17</f>
        <v>0.98737373737373735</v>
      </c>
      <c r="Q17" s="13">
        <f>Inputs_All!R17</f>
        <v>0.98469387755102045</v>
      </c>
      <c r="R17" s="13">
        <f>Inputs_All!S17</f>
        <v>0.9974811083123426</v>
      </c>
      <c r="S17" s="13">
        <f>Inputs_All!T17</f>
        <v>0.98976982097186705</v>
      </c>
      <c r="T17" s="13">
        <f>Inputs_All!U17</f>
        <v>0.98453608247422697</v>
      </c>
      <c r="U17" s="13">
        <f>Inputs_All!V17</f>
        <v>0.98969072164948457</v>
      </c>
    </row>
    <row r="18" spans="1:21" ht="13.15" hidden="1" outlineLevel="1" x14ac:dyDescent="0.35">
      <c r="E18" s="1" t="s">
        <v>42</v>
      </c>
      <c r="F18" s="1" t="s">
        <v>55</v>
      </c>
      <c r="G18" s="1" t="s">
        <v>56</v>
      </c>
      <c r="H18" s="18" t="s">
        <v>32</v>
      </c>
      <c r="I18" s="8"/>
      <c r="J18" s="13">
        <f>Inputs_All!K18</f>
        <v>0.99671052631578949</v>
      </c>
      <c r="K18" s="13">
        <f>Inputs_All!L18</f>
        <v>0.99016393442622952</v>
      </c>
      <c r="L18" s="13">
        <f>Inputs_All!M18</f>
        <v>0.99667774086378746</v>
      </c>
      <c r="M18" s="13">
        <f>Inputs_All!N18</f>
        <v>0.9966666666666667</v>
      </c>
      <c r="N18" s="13">
        <f>Inputs_All!O18</f>
        <v>0.99371069182389926</v>
      </c>
      <c r="O18" s="13">
        <f>Inputs_All!P18</f>
        <v>0.99019607843137269</v>
      </c>
      <c r="P18" s="13">
        <f>Inputs_All!Q18</f>
        <v>1</v>
      </c>
      <c r="Q18" s="13">
        <f>Inputs_All!R18</f>
        <v>0.98461538461538467</v>
      </c>
      <c r="R18" s="13">
        <f>Inputs_All!S18</f>
        <v>0.99076923076923085</v>
      </c>
      <c r="S18" s="13">
        <f>Inputs_All!T18</f>
        <v>1</v>
      </c>
      <c r="T18" s="13">
        <f>Inputs_All!U18</f>
        <v>0.99350649350649367</v>
      </c>
      <c r="U18" s="13">
        <f>Inputs_All!V18</f>
        <v>0.99025974025974017</v>
      </c>
    </row>
    <row r="19" spans="1:21" ht="13.15" hidden="1" outlineLevel="1" x14ac:dyDescent="0.35">
      <c r="E19" s="1" t="s">
        <v>43</v>
      </c>
      <c r="F19" s="1" t="s">
        <v>55</v>
      </c>
      <c r="G19" s="1" t="s">
        <v>56</v>
      </c>
      <c r="H19" s="18" t="s">
        <v>32</v>
      </c>
      <c r="I19" s="8"/>
      <c r="J19" s="13">
        <f>Inputs_All!K19</f>
        <v>0.97278911564625847</v>
      </c>
      <c r="K19" s="13">
        <f>Inputs_All!L19</f>
        <v>0.97979797979797978</v>
      </c>
      <c r="L19" s="13">
        <f>Inputs_All!M19</f>
        <v>0.99331103678929766</v>
      </c>
      <c r="M19" s="13">
        <f>Inputs_All!N19</f>
        <v>0.99322033898305084</v>
      </c>
      <c r="N19" s="13">
        <f>Inputs_All!O19</f>
        <v>0.97169811320754718</v>
      </c>
      <c r="O19" s="13">
        <f>Inputs_All!P19</f>
        <v>0.97770700636942676</v>
      </c>
      <c r="P19" s="13">
        <f>Inputs_All!Q19</f>
        <v>0.97452229299363058</v>
      </c>
      <c r="Q19" s="13">
        <f>Inputs_All!R19</f>
        <v>0.97468354430379744</v>
      </c>
      <c r="R19" s="13">
        <f>Inputs_All!S19</f>
        <v>0.99038461538461542</v>
      </c>
      <c r="S19" s="13">
        <f>Inputs_All!T19</f>
        <v>0.99032258064516132</v>
      </c>
      <c r="T19" s="13">
        <f>Inputs_All!U19</f>
        <v>0.99680511182108622</v>
      </c>
      <c r="U19" s="13">
        <f>Inputs_All!V19</f>
        <v>0.99041533546325877</v>
      </c>
    </row>
    <row r="20" spans="1:21" ht="13.15" hidden="1" outlineLevel="1" x14ac:dyDescent="0.35">
      <c r="E20" s="1" t="s">
        <v>44</v>
      </c>
      <c r="F20" s="1" t="s">
        <v>55</v>
      </c>
      <c r="G20" s="1" t="s">
        <v>56</v>
      </c>
      <c r="H20" s="18" t="s">
        <v>32</v>
      </c>
      <c r="I20" s="8"/>
      <c r="J20" s="13">
        <f>Inputs_All!K20</f>
        <v>1</v>
      </c>
      <c r="K20" s="13">
        <f>Inputs_All!L20</f>
        <v>1</v>
      </c>
      <c r="L20" s="13">
        <f>Inputs_All!M20</f>
        <v>1</v>
      </c>
      <c r="M20" s="13">
        <f>Inputs_All!N20</f>
        <v>1</v>
      </c>
      <c r="N20" s="13">
        <f>Inputs_All!O20</f>
        <v>1</v>
      </c>
      <c r="O20" s="13">
        <f>Inputs_All!P20</f>
        <v>1</v>
      </c>
      <c r="P20" s="13">
        <f>Inputs_All!Q20</f>
        <v>1</v>
      </c>
      <c r="Q20" s="13">
        <f>Inputs_All!R20</f>
        <v>1</v>
      </c>
      <c r="R20" s="13">
        <f>Inputs_All!S20</f>
        <v>0.97619047619047616</v>
      </c>
      <c r="S20" s="13">
        <f>Inputs_All!T20</f>
        <v>0.967741935483871</v>
      </c>
      <c r="T20" s="13">
        <f>Inputs_All!U20</f>
        <v>0.967741935483871</v>
      </c>
      <c r="U20" s="13">
        <f>Inputs_All!V20</f>
        <v>1</v>
      </c>
    </row>
    <row r="21" spans="1:21" ht="13.15" hidden="1" outlineLevel="1" x14ac:dyDescent="0.35">
      <c r="E21" s="1" t="s">
        <v>45</v>
      </c>
      <c r="F21" s="1" t="s">
        <v>55</v>
      </c>
      <c r="G21" s="1" t="s">
        <v>56</v>
      </c>
      <c r="H21" s="18" t="s">
        <v>32</v>
      </c>
      <c r="I21" s="8"/>
      <c r="J21" s="13" t="str">
        <f>Inputs_All!K21</f>
        <v/>
      </c>
      <c r="K21" s="13" t="str">
        <f>Inputs_All!L21</f>
        <v/>
      </c>
      <c r="L21" s="13" t="str">
        <f>Inputs_All!M21</f>
        <v/>
      </c>
      <c r="M21" s="13" t="str">
        <f>Inputs_All!N21</f>
        <v/>
      </c>
      <c r="N21" s="13" t="str">
        <f>Inputs_All!O21</f>
        <v/>
      </c>
      <c r="O21" s="13" t="str">
        <f>Inputs_All!P21</f>
        <v/>
      </c>
      <c r="P21" s="13" t="str">
        <f>Inputs_All!Q21</f>
        <v/>
      </c>
      <c r="Q21" s="13">
        <f>Inputs_All!R21</f>
        <v>1</v>
      </c>
      <c r="R21" s="13">
        <f>Inputs_All!S21</f>
        <v>1</v>
      </c>
      <c r="S21" s="13">
        <f>Inputs_All!T21</f>
        <v>1</v>
      </c>
      <c r="T21" s="13">
        <f>Inputs_All!U21</f>
        <v>1</v>
      </c>
      <c r="U21" s="13">
        <f>Inputs_All!V21</f>
        <v>1</v>
      </c>
    </row>
    <row r="22" spans="1:21" ht="13.15" hidden="1" outlineLevel="1" x14ac:dyDescent="0.35">
      <c r="E22" s="1" t="s">
        <v>46</v>
      </c>
      <c r="F22" s="1" t="s">
        <v>55</v>
      </c>
      <c r="G22" s="1" t="s">
        <v>56</v>
      </c>
      <c r="H22" s="18" t="s">
        <v>32</v>
      </c>
      <c r="I22" s="8"/>
      <c r="J22" s="13" t="str">
        <f>Inputs_All!K22</f>
        <v/>
      </c>
      <c r="K22" s="13" t="str">
        <f>Inputs_All!L22</f>
        <v/>
      </c>
      <c r="L22" s="13" t="str">
        <f>Inputs_All!M22</f>
        <v/>
      </c>
      <c r="M22" s="13" t="str">
        <f>Inputs_All!N22</f>
        <v/>
      </c>
      <c r="N22" s="13" t="str">
        <f>Inputs_All!O22</f>
        <v/>
      </c>
      <c r="O22" s="13" t="str">
        <f>Inputs_All!P22</f>
        <v/>
      </c>
      <c r="P22" s="13" t="str">
        <f>Inputs_All!Q22</f>
        <v/>
      </c>
      <c r="Q22" s="13">
        <f>Inputs_All!R22</f>
        <v>0.93103448275862066</v>
      </c>
      <c r="R22" s="13">
        <f>Inputs_All!S22</f>
        <v>1</v>
      </c>
      <c r="S22" s="13">
        <f>Inputs_All!T22</f>
        <v>0.86206896551724133</v>
      </c>
      <c r="T22" s="13">
        <f>Inputs_All!U22</f>
        <v>0.86206896551724133</v>
      </c>
      <c r="U22" s="13">
        <f>Inputs_All!V22</f>
        <v>0.96551724137931028</v>
      </c>
    </row>
    <row r="23" spans="1:21" ht="13.15" hidden="1" outlineLevel="1" x14ac:dyDescent="0.35">
      <c r="E23" s="1" t="s">
        <v>47</v>
      </c>
      <c r="F23" s="1" t="s">
        <v>55</v>
      </c>
      <c r="G23" s="1" t="s">
        <v>56</v>
      </c>
      <c r="H23" s="18" t="s">
        <v>32</v>
      </c>
      <c r="I23" s="8"/>
      <c r="J23" s="13">
        <f>Inputs_All!K23</f>
        <v>1</v>
      </c>
      <c r="K23" s="13">
        <f>Inputs_All!L23</f>
        <v>1</v>
      </c>
      <c r="L23" s="13">
        <f>Inputs_All!M23</f>
        <v>1</v>
      </c>
      <c r="M23" s="13">
        <f>Inputs_All!N23</f>
        <v>1</v>
      </c>
      <c r="N23" s="13">
        <f>Inputs_All!O23</f>
        <v>1</v>
      </c>
      <c r="O23" s="13">
        <f>Inputs_All!P23</f>
        <v>0.83333333333333348</v>
      </c>
      <c r="P23" s="13">
        <f>Inputs_All!Q23</f>
        <v>1</v>
      </c>
      <c r="Q23" s="13">
        <f>Inputs_All!R23</f>
        <v>1</v>
      </c>
      <c r="R23" s="13">
        <f>Inputs_All!S23</f>
        <v>1</v>
      </c>
      <c r="S23" s="13">
        <f>Inputs_All!T23</f>
        <v>1</v>
      </c>
      <c r="T23" s="13">
        <f>Inputs_All!U23</f>
        <v>1</v>
      </c>
      <c r="U23" s="13">
        <f>Inputs_All!V23</f>
        <v>0.83333333333333348</v>
      </c>
    </row>
    <row r="24" spans="1:21" ht="13.15" hidden="1" outlineLevel="1" x14ac:dyDescent="0.35">
      <c r="E24" s="1" t="s">
        <v>48</v>
      </c>
      <c r="F24" s="1" t="s">
        <v>55</v>
      </c>
      <c r="G24" s="1" t="s">
        <v>56</v>
      </c>
      <c r="H24" s="18" t="s">
        <v>32</v>
      </c>
      <c r="I24" s="8"/>
      <c r="J24" s="13" t="str">
        <f>Inputs_All!K24</f>
        <v/>
      </c>
      <c r="K24" s="13">
        <f>Inputs_All!L24</f>
        <v>0.97368421052631571</v>
      </c>
      <c r="L24" s="13">
        <f>Inputs_All!M24</f>
        <v>0.92105263157894735</v>
      </c>
      <c r="M24" s="13">
        <f>Inputs_All!N24</f>
        <v>0.98684210526315785</v>
      </c>
      <c r="N24" s="13">
        <f>Inputs_All!O24</f>
        <v>0.93421052631578949</v>
      </c>
      <c r="O24" s="13">
        <f>Inputs_All!P24</f>
        <v>0.94736842105263153</v>
      </c>
      <c r="P24" s="13">
        <f>Inputs_All!Q24</f>
        <v>0.96052631578947367</v>
      </c>
      <c r="Q24" s="13">
        <f>Inputs_All!R24</f>
        <v>0.96052631578947367</v>
      </c>
      <c r="R24" s="13">
        <f>Inputs_All!S24</f>
        <v>0.98684210526315785</v>
      </c>
      <c r="S24" s="13">
        <f>Inputs_All!T24</f>
        <v>0.97368421052631571</v>
      </c>
      <c r="T24" s="13">
        <f>Inputs_All!U24</f>
        <v>0.92105263157894735</v>
      </c>
      <c r="U24" s="13">
        <f>Inputs_All!V24</f>
        <v>0.92105263157894735</v>
      </c>
    </row>
    <row r="25" spans="1:21" ht="13.15" hidden="1" outlineLevel="1" x14ac:dyDescent="0.35">
      <c r="E25" s="1" t="s">
        <v>49</v>
      </c>
      <c r="F25" s="1" t="s">
        <v>55</v>
      </c>
      <c r="G25" s="1" t="s">
        <v>56</v>
      </c>
      <c r="H25" s="18" t="s">
        <v>32</v>
      </c>
      <c r="I25" s="8"/>
      <c r="J25" s="13">
        <f>Inputs_All!K25</f>
        <v>1</v>
      </c>
      <c r="K25" s="13">
        <f>Inputs_All!L25</f>
        <v>1</v>
      </c>
      <c r="L25" s="13">
        <f>Inputs_All!M25</f>
        <v>1</v>
      </c>
      <c r="M25" s="13">
        <f>Inputs_All!N25</f>
        <v>1</v>
      </c>
      <c r="N25" s="13">
        <f>Inputs_All!O25</f>
        <v>1</v>
      </c>
      <c r="O25" s="13">
        <f>Inputs_All!P25</f>
        <v>1</v>
      </c>
      <c r="P25" s="13">
        <f>Inputs_All!Q25</f>
        <v>1</v>
      </c>
      <c r="Q25" s="13">
        <f>Inputs_All!R25</f>
        <v>1</v>
      </c>
      <c r="R25" s="13">
        <f>Inputs_All!S25</f>
        <v>1</v>
      </c>
      <c r="S25" s="13">
        <f>Inputs_All!T25</f>
        <v>1</v>
      </c>
      <c r="T25" s="13">
        <f>Inputs_All!U25</f>
        <v>1</v>
      </c>
      <c r="U25" s="13">
        <f>Inputs_All!V25</f>
        <v>1</v>
      </c>
    </row>
    <row r="26" spans="1:21" ht="13.15" collapsed="1" x14ac:dyDescent="0.35">
      <c r="E26" s="1"/>
    </row>
    <row r="27" spans="1:21" s="63" customFormat="1" ht="13.15" x14ac:dyDescent="0.35">
      <c r="A27" s="63" t="s">
        <v>63</v>
      </c>
    </row>
    <row r="28" spans="1:21" ht="13.15" x14ac:dyDescent="0.35">
      <c r="E28" s="1"/>
    </row>
    <row r="29" spans="1:21" x14ac:dyDescent="0.45">
      <c r="E29" s="64"/>
      <c r="F29" s="1" t="s">
        <v>55</v>
      </c>
      <c r="G29" s="1" t="s">
        <v>60</v>
      </c>
      <c r="H29" s="18" t="s">
        <v>32</v>
      </c>
      <c r="J29" s="13">
        <f>Inputs_All!K29</f>
        <v>1</v>
      </c>
      <c r="K29" s="13">
        <f>Inputs_All!L29</f>
        <v>1</v>
      </c>
      <c r="L29" s="13">
        <f>Inputs_All!M29</f>
        <v>1</v>
      </c>
      <c r="M29" s="13">
        <f>Inputs_All!N29</f>
        <v>1</v>
      </c>
      <c r="N29" s="13">
        <f>Inputs_All!O29</f>
        <v>1</v>
      </c>
      <c r="O29" s="13">
        <f>Inputs_All!P29</f>
        <v>1</v>
      </c>
      <c r="P29" s="13">
        <f>Inputs_All!Q29</f>
        <v>1</v>
      </c>
      <c r="Q29" s="13">
        <f>Inputs_All!R29</f>
        <v>1</v>
      </c>
      <c r="R29" s="13">
        <f>Inputs_All!S29</f>
        <v>1</v>
      </c>
      <c r="S29" s="13">
        <f>Inputs_All!T29</f>
        <v>1</v>
      </c>
      <c r="T29" s="13">
        <f>Inputs_All!U29</f>
        <v>1</v>
      </c>
      <c r="U29" s="13">
        <f>Inputs_All!V29</f>
        <v>1</v>
      </c>
    </row>
    <row r="30" spans="1:21" x14ac:dyDescent="0.45"/>
    <row r="31" spans="1:21" s="63" customFormat="1" ht="13.15" x14ac:dyDescent="0.35">
      <c r="A31" s="63" t="s">
        <v>64</v>
      </c>
    </row>
    <row r="32" spans="1:21" ht="13.15" x14ac:dyDescent="0.35">
      <c r="E32" s="1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</row>
    <row r="33" spans="5:21" ht="13.15" x14ac:dyDescent="0.35">
      <c r="E33" s="1" t="s">
        <v>29</v>
      </c>
      <c r="F33" s="1" t="s">
        <v>55</v>
      </c>
      <c r="G33" s="1" t="s">
        <v>64</v>
      </c>
      <c r="H33" s="18" t="s">
        <v>32</v>
      </c>
      <c r="I33" s="10"/>
      <c r="J33" s="33">
        <f t="shared" ref="J33:T33" si="0">IF(J9="","",J9-$J$29)</f>
        <v>-2.9262086513994867E-2</v>
      </c>
      <c r="K33" s="33">
        <f t="shared" si="0"/>
        <v>-2.8025477707006363E-2</v>
      </c>
      <c r="L33" s="33">
        <f t="shared" si="0"/>
        <v>-1.6518424396442133E-2</v>
      </c>
      <c r="M33" s="33">
        <f t="shared" si="0"/>
        <v>-1.7391304347826098E-2</v>
      </c>
      <c r="N33" s="33">
        <f t="shared" si="0"/>
        <v>-8.8050314465408785E-3</v>
      </c>
      <c r="O33" s="33">
        <f t="shared" si="0"/>
        <v>-1.3871374527112179E-2</v>
      </c>
      <c r="P33" s="33">
        <f t="shared" si="0"/>
        <v>-1.7878426698450522E-2</v>
      </c>
      <c r="Q33" s="33">
        <f t="shared" si="0"/>
        <v>-1.4184397163120699E-2</v>
      </c>
      <c r="R33" s="33">
        <f t="shared" si="0"/>
        <v>-7.0754716981131782E-3</v>
      </c>
      <c r="S33" s="33">
        <f t="shared" si="0"/>
        <v>-1.7793594306049876E-2</v>
      </c>
      <c r="T33" s="33">
        <f t="shared" si="0"/>
        <v>-1.433691756272415E-2</v>
      </c>
      <c r="U33" s="33">
        <f t="shared" ref="U33" si="1">IF(U9="","",U9-$J$29)</f>
        <v>-1.5550239234449759E-2</v>
      </c>
    </row>
    <row r="34" spans="5:21" ht="13.15" hidden="1" outlineLevel="1" x14ac:dyDescent="0.35">
      <c r="E34" s="1" t="s">
        <v>33</v>
      </c>
      <c r="F34" s="1" t="s">
        <v>55</v>
      </c>
      <c r="G34" s="1" t="s">
        <v>64</v>
      </c>
      <c r="H34" s="18" t="s">
        <v>32</v>
      </c>
      <c r="I34" s="8"/>
      <c r="J34" s="33">
        <f t="shared" ref="J34:T34" si="2">IF(J10="","",J10-$J$29)</f>
        <v>-2.9366306027820754E-2</v>
      </c>
      <c r="K34" s="33">
        <f t="shared" si="2"/>
        <v>-3.6392405063291111E-2</v>
      </c>
      <c r="L34" s="33">
        <f t="shared" si="2"/>
        <v>-2.2471910112359605E-2</v>
      </c>
      <c r="M34" s="33">
        <f t="shared" si="2"/>
        <v>-2.9126213592232997E-2</v>
      </c>
      <c r="N34" s="33">
        <f t="shared" si="2"/>
        <v>-9.7087378640776656E-3</v>
      </c>
      <c r="O34" s="33">
        <f t="shared" si="2"/>
        <v>-3.3003300330032959E-2</v>
      </c>
      <c r="P34" s="33">
        <f t="shared" si="2"/>
        <v>-1.9801980198019709E-2</v>
      </c>
      <c r="Q34" s="33">
        <f t="shared" si="2"/>
        <v>-1.8181818181818077E-2</v>
      </c>
      <c r="R34" s="33">
        <f t="shared" si="2"/>
        <v>-3.3500837520938909E-3</v>
      </c>
      <c r="S34" s="33">
        <f t="shared" si="2"/>
        <v>-1.6778523489933028E-2</v>
      </c>
      <c r="T34" s="33">
        <f t="shared" si="2"/>
        <v>-1.4950166112956853E-2</v>
      </c>
      <c r="U34" s="33">
        <f t="shared" ref="U34" si="3">IF(U10="","",U10-$J$29)</f>
        <v>-1.9900497512437831E-2</v>
      </c>
    </row>
    <row r="35" spans="5:21" ht="13.15" hidden="1" outlineLevel="1" x14ac:dyDescent="0.35">
      <c r="E35" s="1" t="s">
        <v>34</v>
      </c>
      <c r="F35" s="1" t="s">
        <v>55</v>
      </c>
      <c r="G35" s="1" t="s">
        <v>64</v>
      </c>
      <c r="H35" s="18" t="s">
        <v>32</v>
      </c>
      <c r="I35" s="8"/>
      <c r="J35" s="33">
        <f t="shared" ref="J35:T35" si="4">IF(J11="","",J11-$J$29)</f>
        <v>0</v>
      </c>
      <c r="K35" s="33">
        <f t="shared" si="4"/>
        <v>0</v>
      </c>
      <c r="L35" s="33">
        <f t="shared" si="4"/>
        <v>-0.25</v>
      </c>
      <c r="M35" s="33">
        <f t="shared" si="4"/>
        <v>0</v>
      </c>
      <c r="N35" s="33">
        <f t="shared" si="4"/>
        <v>0</v>
      </c>
      <c r="O35" s="33">
        <f t="shared" si="4"/>
        <v>0</v>
      </c>
      <c r="P35" s="33">
        <f t="shared" si="4"/>
        <v>0</v>
      </c>
      <c r="Q35" s="33">
        <f t="shared" si="4"/>
        <v>0</v>
      </c>
      <c r="R35" s="33">
        <f t="shared" si="4"/>
        <v>0</v>
      </c>
      <c r="S35" s="33">
        <f t="shared" si="4"/>
        <v>-2.1276595744680882E-2</v>
      </c>
      <c r="T35" s="33">
        <f t="shared" si="4"/>
        <v>-2.1739130434782705E-2</v>
      </c>
      <c r="U35" s="33">
        <f t="shared" ref="U35" si="5">IF(U11="","",U11-$J$29)</f>
        <v>0</v>
      </c>
    </row>
    <row r="36" spans="5:21" ht="13.15" hidden="1" outlineLevel="1" x14ac:dyDescent="0.35">
      <c r="E36" s="1" t="s">
        <v>35</v>
      </c>
      <c r="F36" s="1" t="s">
        <v>55</v>
      </c>
      <c r="G36" s="1" t="s">
        <v>64</v>
      </c>
      <c r="H36" s="18" t="s">
        <v>32</v>
      </c>
      <c r="I36" s="8"/>
      <c r="J36" s="33" t="str">
        <f t="shared" ref="J36:T36" si="6">IF(J12="","",J12-$J$29)</f>
        <v/>
      </c>
      <c r="K36" s="33" t="str">
        <f t="shared" si="6"/>
        <v/>
      </c>
      <c r="L36" s="33" t="str">
        <f t="shared" si="6"/>
        <v/>
      </c>
      <c r="M36" s="33" t="str">
        <f t="shared" si="6"/>
        <v/>
      </c>
      <c r="N36" s="33" t="str">
        <f t="shared" si="6"/>
        <v/>
      </c>
      <c r="O36" s="33">
        <f t="shared" si="6"/>
        <v>-4.0000000000000036E-2</v>
      </c>
      <c r="P36" s="33">
        <f t="shared" si="6"/>
        <v>-5.0000000000000044E-3</v>
      </c>
      <c r="Q36" s="33">
        <f t="shared" si="6"/>
        <v>-3.4313725490196179E-2</v>
      </c>
      <c r="R36" s="33">
        <f t="shared" si="6"/>
        <v>-4.8780487804878092E-3</v>
      </c>
      <c r="S36" s="33">
        <f t="shared" si="6"/>
        <v>-1.9607843137254943E-2</v>
      </c>
      <c r="T36" s="33">
        <f t="shared" si="6"/>
        <v>-1.4705882352941124E-2</v>
      </c>
      <c r="U36" s="33">
        <f t="shared" ref="U36" si="7">IF(U12="","",U12-$J$29)</f>
        <v>-1.4563106796116498E-2</v>
      </c>
    </row>
    <row r="37" spans="5:21" ht="13.15" hidden="1" outlineLevel="1" x14ac:dyDescent="0.35">
      <c r="E37" s="1" t="s">
        <v>37</v>
      </c>
      <c r="F37" s="1" t="s">
        <v>55</v>
      </c>
      <c r="G37" s="1" t="s">
        <v>64</v>
      </c>
      <c r="H37" s="18" t="s">
        <v>32</v>
      </c>
      <c r="I37" s="8"/>
      <c r="J37" s="33" t="str">
        <f t="shared" ref="J37:T37" si="8">IF(J13="","",J13-$J$29)</f>
        <v/>
      </c>
      <c r="K37" s="33" t="str">
        <f t="shared" si="8"/>
        <v/>
      </c>
      <c r="L37" s="33" t="str">
        <f t="shared" si="8"/>
        <v/>
      </c>
      <c r="M37" s="33" t="str">
        <f t="shared" si="8"/>
        <v/>
      </c>
      <c r="N37" s="33" t="str">
        <f t="shared" si="8"/>
        <v/>
      </c>
      <c r="O37" s="33">
        <f t="shared" si="8"/>
        <v>-3.6855036855036882E-3</v>
      </c>
      <c r="P37" s="33">
        <f t="shared" si="8"/>
        <v>-1.5768725361366642E-2</v>
      </c>
      <c r="Q37" s="33">
        <f t="shared" si="8"/>
        <v>-3.9421813403416328E-3</v>
      </c>
      <c r="R37" s="33">
        <f t="shared" si="8"/>
        <v>-3.9735099337748769E-3</v>
      </c>
      <c r="S37" s="33">
        <f t="shared" si="8"/>
        <v>-6.6755674232310547E-3</v>
      </c>
      <c r="T37" s="33">
        <f t="shared" si="8"/>
        <v>-6.7204301075268758E-3</v>
      </c>
      <c r="U37" s="33">
        <f t="shared" ref="U37" si="9">IF(U13="","",U13-$J$29)</f>
        <v>-5.3763440860215006E-3</v>
      </c>
    </row>
    <row r="38" spans="5:21" ht="13.15" hidden="1" outlineLevel="1" x14ac:dyDescent="0.35">
      <c r="E38" s="1" t="s">
        <v>38</v>
      </c>
      <c r="F38" s="1" t="s">
        <v>55</v>
      </c>
      <c r="G38" s="1" t="s">
        <v>64</v>
      </c>
      <c r="H38" s="18" t="s">
        <v>32</v>
      </c>
      <c r="I38" s="8"/>
      <c r="J38" s="33">
        <f t="shared" ref="J38:T38" si="10">IF(J14="","",J14-$J$29)</f>
        <v>-3.5143769968051131E-2</v>
      </c>
      <c r="K38" s="33">
        <f t="shared" si="10"/>
        <v>-6.7307692307692291E-2</v>
      </c>
      <c r="L38" s="33">
        <f t="shared" si="10"/>
        <v>-3.8585209003215382E-2</v>
      </c>
      <c r="M38" s="33">
        <f t="shared" si="10"/>
        <v>-4.4728434504792358E-2</v>
      </c>
      <c r="N38" s="33">
        <f t="shared" si="10"/>
        <v>-1.9230769230769384E-2</v>
      </c>
      <c r="O38" s="33">
        <f t="shared" si="10"/>
        <v>-2.9032258064516148E-2</v>
      </c>
      <c r="P38" s="33">
        <f t="shared" si="10"/>
        <v>-1.2779552715655007E-2</v>
      </c>
      <c r="Q38" s="33">
        <f t="shared" si="10"/>
        <v>-1.2861736334405127E-2</v>
      </c>
      <c r="R38" s="33">
        <f t="shared" si="10"/>
        <v>-9.6463022508038732E-3</v>
      </c>
      <c r="S38" s="33">
        <f t="shared" si="10"/>
        <v>-2.5396825396825418E-2</v>
      </c>
      <c r="T38" s="33">
        <f t="shared" si="10"/>
        <v>-6.3492063492063266E-3</v>
      </c>
      <c r="U38" s="33">
        <f t="shared" ref="U38" si="11">IF(U14="","",U14-$J$29)</f>
        <v>-3.8095238095238071E-2</v>
      </c>
    </row>
    <row r="39" spans="5:21" ht="13.15" hidden="1" outlineLevel="1" x14ac:dyDescent="0.35">
      <c r="E39" s="1" t="s">
        <v>39</v>
      </c>
      <c r="F39" s="1" t="s">
        <v>55</v>
      </c>
      <c r="G39" s="1" t="s">
        <v>64</v>
      </c>
      <c r="H39" s="18" t="s">
        <v>32</v>
      </c>
      <c r="I39" s="8"/>
      <c r="J39" s="33">
        <f t="shared" ref="J39:T39" si="12">IF(J15="","",J15-$J$29)</f>
        <v>-3.716216216216206E-2</v>
      </c>
      <c r="K39" s="33">
        <f t="shared" si="12"/>
        <v>-4.7021943573667735E-2</v>
      </c>
      <c r="L39" s="33">
        <f t="shared" si="12"/>
        <v>-1.8987341772151889E-2</v>
      </c>
      <c r="M39" s="33">
        <f t="shared" si="12"/>
        <v>-1.6077170418006381E-2</v>
      </c>
      <c r="N39" s="33">
        <f t="shared" si="12"/>
        <v>-1.2779552715655007E-2</v>
      </c>
      <c r="O39" s="33">
        <f t="shared" si="12"/>
        <v>-1.8292682926829285E-2</v>
      </c>
      <c r="P39" s="33">
        <f t="shared" si="12"/>
        <v>-9.009009009009028E-3</v>
      </c>
      <c r="Q39" s="33">
        <f t="shared" si="12"/>
        <v>-1.1904761904761862E-2</v>
      </c>
      <c r="R39" s="33">
        <f t="shared" si="12"/>
        <v>-2.9411764705882359E-2</v>
      </c>
      <c r="S39" s="33">
        <f t="shared" si="12"/>
        <v>-2.0588235294117685E-2</v>
      </c>
      <c r="T39" s="33">
        <f t="shared" si="12"/>
        <v>-1.7857142857142905E-2</v>
      </c>
      <c r="U39" s="33">
        <f t="shared" ref="U39" si="13">IF(U15="","",U15-$J$29)</f>
        <v>-5.9523809523809312E-3</v>
      </c>
    </row>
    <row r="40" spans="5:21" ht="13.15" hidden="1" outlineLevel="1" x14ac:dyDescent="0.35">
      <c r="E40" s="1" t="s">
        <v>40</v>
      </c>
      <c r="F40" s="1" t="s">
        <v>55</v>
      </c>
      <c r="G40" s="1" t="s">
        <v>64</v>
      </c>
      <c r="H40" s="18" t="s">
        <v>32</v>
      </c>
      <c r="I40" s="8"/>
      <c r="J40" s="33">
        <f t="shared" ref="J40:T40" si="14">IF(J16="","",J16-$J$29)</f>
        <v>-7.9155672823219003E-3</v>
      </c>
      <c r="K40" s="33">
        <f t="shared" si="14"/>
        <v>-4.4270833333333481E-2</v>
      </c>
      <c r="L40" s="33">
        <f t="shared" si="14"/>
        <v>-1.308900523560208E-2</v>
      </c>
      <c r="M40" s="33">
        <f t="shared" si="14"/>
        <v>-7.8947368421053987E-3</v>
      </c>
      <c r="N40" s="33">
        <f t="shared" si="14"/>
        <v>-2.0887728459530019E-2</v>
      </c>
      <c r="O40" s="33">
        <f t="shared" si="14"/>
        <v>-5.2219321148825326E-3</v>
      </c>
      <c r="P40" s="33">
        <f t="shared" si="14"/>
        <v>-1.0416666666666519E-2</v>
      </c>
      <c r="Q40" s="33">
        <f t="shared" si="14"/>
        <v>-2.5974025974025983E-3</v>
      </c>
      <c r="R40" s="33">
        <f t="shared" si="14"/>
        <v>-2.5974025974025983E-3</v>
      </c>
      <c r="S40" s="33">
        <f t="shared" si="14"/>
        <v>-1.0416666666666519E-2</v>
      </c>
      <c r="T40" s="33">
        <f t="shared" si="14"/>
        <v>-5.2083333333334814E-3</v>
      </c>
      <c r="U40" s="33">
        <f t="shared" ref="U40" si="15">IF(U16="","",U16-$J$29)</f>
        <v>-7.8125E-3</v>
      </c>
    </row>
    <row r="41" spans="5:21" ht="13.15" hidden="1" outlineLevel="1" x14ac:dyDescent="0.35">
      <c r="E41" s="1" t="s">
        <v>57</v>
      </c>
      <c r="F41" s="1" t="s">
        <v>55</v>
      </c>
      <c r="G41" s="1" t="s">
        <v>64</v>
      </c>
      <c r="H41" s="18" t="s">
        <v>32</v>
      </c>
      <c r="I41" s="8"/>
      <c r="J41" s="33">
        <f t="shared" ref="J41:T41" si="16">IF(J17="","",J17-$J$29)</f>
        <v>-8.3565459610028814E-3</v>
      </c>
      <c r="K41" s="33">
        <f t="shared" si="16"/>
        <v>-1.3927576601671321E-2</v>
      </c>
      <c r="L41" s="33">
        <f t="shared" si="16"/>
        <v>-1.6666666666666718E-2</v>
      </c>
      <c r="M41" s="33">
        <f t="shared" si="16"/>
        <v>-2.7932960893854775E-2</v>
      </c>
      <c r="N41" s="33">
        <f t="shared" si="16"/>
        <v>-2.6252983293555965E-2</v>
      </c>
      <c r="O41" s="33">
        <f t="shared" si="16"/>
        <v>-1.2376237623762498E-2</v>
      </c>
      <c r="P41" s="33">
        <f t="shared" si="16"/>
        <v>-1.2626262626262652E-2</v>
      </c>
      <c r="Q41" s="33">
        <f t="shared" si="16"/>
        <v>-1.5306122448979553E-2</v>
      </c>
      <c r="R41" s="33">
        <f t="shared" si="16"/>
        <v>-2.5188916876573986E-3</v>
      </c>
      <c r="S41" s="33">
        <f t="shared" si="16"/>
        <v>-1.0230179028132946E-2</v>
      </c>
      <c r="T41" s="33">
        <f t="shared" si="16"/>
        <v>-1.546391752577303E-2</v>
      </c>
      <c r="U41" s="33">
        <f t="shared" ref="U41" si="17">IF(U17="","",U17-$J$29)</f>
        <v>-1.0309278350515427E-2</v>
      </c>
    </row>
    <row r="42" spans="5:21" ht="13.15" hidden="1" outlineLevel="1" x14ac:dyDescent="0.35">
      <c r="E42" s="1" t="s">
        <v>42</v>
      </c>
      <c r="F42" s="1" t="s">
        <v>55</v>
      </c>
      <c r="G42" s="1" t="s">
        <v>64</v>
      </c>
      <c r="H42" s="18" t="s">
        <v>32</v>
      </c>
      <c r="I42" s="8"/>
      <c r="J42" s="33">
        <f t="shared" ref="J42:T42" si="18">IF(J18="","",J18-$J$29)</f>
        <v>-3.2894736842105088E-3</v>
      </c>
      <c r="K42" s="33">
        <f t="shared" si="18"/>
        <v>-9.8360655737704805E-3</v>
      </c>
      <c r="L42" s="33">
        <f t="shared" si="18"/>
        <v>-3.3222591362125353E-3</v>
      </c>
      <c r="M42" s="33">
        <f t="shared" si="18"/>
        <v>-3.3333333333332993E-3</v>
      </c>
      <c r="N42" s="33">
        <f t="shared" si="18"/>
        <v>-6.2893081761007386E-3</v>
      </c>
      <c r="O42" s="33">
        <f t="shared" si="18"/>
        <v>-9.8039215686273051E-3</v>
      </c>
      <c r="P42" s="33">
        <f t="shared" si="18"/>
        <v>0</v>
      </c>
      <c r="Q42" s="33">
        <f t="shared" si="18"/>
        <v>-1.538461538461533E-2</v>
      </c>
      <c r="R42" s="33">
        <f t="shared" si="18"/>
        <v>-9.2307692307691536E-3</v>
      </c>
      <c r="S42" s="33">
        <f t="shared" si="18"/>
        <v>0</v>
      </c>
      <c r="T42" s="33">
        <f t="shared" si="18"/>
        <v>-6.4935064935063291E-3</v>
      </c>
      <c r="U42" s="33">
        <f t="shared" ref="U42" si="19">IF(U18="","",U18-$J$29)</f>
        <v>-9.7402597402598268E-3</v>
      </c>
    </row>
    <row r="43" spans="5:21" ht="13.15" hidden="1" outlineLevel="1" x14ac:dyDescent="0.35">
      <c r="E43" s="1" t="s">
        <v>43</v>
      </c>
      <c r="F43" s="1" t="s">
        <v>55</v>
      </c>
      <c r="G43" s="1" t="s">
        <v>64</v>
      </c>
      <c r="H43" s="18" t="s">
        <v>32</v>
      </c>
      <c r="I43" s="8"/>
      <c r="J43" s="33">
        <f t="shared" ref="J43:T43" si="20">IF(J19="","",J19-$J$29)</f>
        <v>-2.7210884353741527E-2</v>
      </c>
      <c r="K43" s="33">
        <f t="shared" si="20"/>
        <v>-2.0202020202020221E-2</v>
      </c>
      <c r="L43" s="33">
        <f t="shared" si="20"/>
        <v>-6.6889632107023367E-3</v>
      </c>
      <c r="M43" s="33">
        <f t="shared" si="20"/>
        <v>-6.7796610169491567E-3</v>
      </c>
      <c r="N43" s="33">
        <f t="shared" si="20"/>
        <v>-2.8301886792452824E-2</v>
      </c>
      <c r="O43" s="33">
        <f t="shared" si="20"/>
        <v>-2.2292993630573243E-2</v>
      </c>
      <c r="P43" s="33">
        <f t="shared" si="20"/>
        <v>-2.5477707006369421E-2</v>
      </c>
      <c r="Q43" s="33">
        <f t="shared" si="20"/>
        <v>-2.5316455696202556E-2</v>
      </c>
      <c r="R43" s="33">
        <f t="shared" si="20"/>
        <v>-9.6153846153845812E-3</v>
      </c>
      <c r="S43" s="33">
        <f t="shared" si="20"/>
        <v>-9.6774193548386789E-3</v>
      </c>
      <c r="T43" s="33">
        <f t="shared" si="20"/>
        <v>-3.1948881789137795E-3</v>
      </c>
      <c r="U43" s="33">
        <f t="shared" ref="U43" si="21">IF(U19="","",U19-$J$29)</f>
        <v>-9.5846645367412275E-3</v>
      </c>
    </row>
    <row r="44" spans="5:21" ht="13.15" hidden="1" outlineLevel="1" x14ac:dyDescent="0.35">
      <c r="E44" s="1" t="s">
        <v>44</v>
      </c>
      <c r="F44" s="1" t="s">
        <v>55</v>
      </c>
      <c r="G44" s="1" t="s">
        <v>64</v>
      </c>
      <c r="H44" s="18" t="s">
        <v>32</v>
      </c>
      <c r="I44" s="8"/>
      <c r="J44" s="33">
        <f t="shared" ref="J44:T44" si="22">IF(J20="","",J20-$J$29)</f>
        <v>0</v>
      </c>
      <c r="K44" s="33">
        <f t="shared" si="22"/>
        <v>0</v>
      </c>
      <c r="L44" s="33">
        <f t="shared" si="22"/>
        <v>0</v>
      </c>
      <c r="M44" s="33">
        <f t="shared" si="22"/>
        <v>0</v>
      </c>
      <c r="N44" s="33">
        <f t="shared" si="22"/>
        <v>0</v>
      </c>
      <c r="O44" s="33">
        <f t="shared" si="22"/>
        <v>0</v>
      </c>
      <c r="P44" s="33">
        <f t="shared" si="22"/>
        <v>0</v>
      </c>
      <c r="Q44" s="33">
        <f t="shared" si="22"/>
        <v>0</v>
      </c>
      <c r="R44" s="33">
        <f t="shared" si="22"/>
        <v>-2.3809523809523836E-2</v>
      </c>
      <c r="S44" s="33">
        <f t="shared" si="22"/>
        <v>-3.2258064516129004E-2</v>
      </c>
      <c r="T44" s="33">
        <f t="shared" si="22"/>
        <v>-3.2258064516129004E-2</v>
      </c>
      <c r="U44" s="33">
        <f t="shared" ref="U44" si="23">IF(U20="","",U20-$J$29)</f>
        <v>0</v>
      </c>
    </row>
    <row r="45" spans="5:21" ht="13.15" hidden="1" outlineLevel="1" x14ac:dyDescent="0.35">
      <c r="E45" s="1" t="s">
        <v>45</v>
      </c>
      <c r="F45" s="1" t="s">
        <v>55</v>
      </c>
      <c r="G45" s="1" t="s">
        <v>64</v>
      </c>
      <c r="H45" s="18" t="s">
        <v>32</v>
      </c>
      <c r="I45" s="8"/>
      <c r="J45" s="33" t="str">
        <f t="shared" ref="J45:T45" si="24">IF(J21="","",J21-$J$29)</f>
        <v/>
      </c>
      <c r="K45" s="33" t="str">
        <f t="shared" si="24"/>
        <v/>
      </c>
      <c r="L45" s="33" t="str">
        <f t="shared" si="24"/>
        <v/>
      </c>
      <c r="M45" s="33" t="str">
        <f t="shared" si="24"/>
        <v/>
      </c>
      <c r="N45" s="33" t="str">
        <f t="shared" si="24"/>
        <v/>
      </c>
      <c r="O45" s="33" t="str">
        <f t="shared" si="24"/>
        <v/>
      </c>
      <c r="P45" s="33" t="str">
        <f t="shared" si="24"/>
        <v/>
      </c>
      <c r="Q45" s="33">
        <f t="shared" si="24"/>
        <v>0</v>
      </c>
      <c r="R45" s="33">
        <f t="shared" si="24"/>
        <v>0</v>
      </c>
      <c r="S45" s="33">
        <f t="shared" si="24"/>
        <v>0</v>
      </c>
      <c r="T45" s="33">
        <f t="shared" si="24"/>
        <v>0</v>
      </c>
      <c r="U45" s="33">
        <f t="shared" ref="U45" si="25">IF(U21="","",U21-$J$29)</f>
        <v>0</v>
      </c>
    </row>
    <row r="46" spans="5:21" ht="13.15" hidden="1" outlineLevel="1" x14ac:dyDescent="0.35">
      <c r="E46" s="1" t="s">
        <v>46</v>
      </c>
      <c r="F46" s="1" t="s">
        <v>55</v>
      </c>
      <c r="G46" s="1" t="s">
        <v>64</v>
      </c>
      <c r="H46" s="18" t="s">
        <v>32</v>
      </c>
      <c r="I46" s="8"/>
      <c r="J46" s="33" t="str">
        <f t="shared" ref="J46:T46" si="26">IF(J22="","",J22-$J$29)</f>
        <v/>
      </c>
      <c r="K46" s="33" t="str">
        <f t="shared" si="26"/>
        <v/>
      </c>
      <c r="L46" s="33" t="str">
        <f t="shared" si="26"/>
        <v/>
      </c>
      <c r="M46" s="33" t="str">
        <f t="shared" si="26"/>
        <v/>
      </c>
      <c r="N46" s="33" t="str">
        <f t="shared" si="26"/>
        <v/>
      </c>
      <c r="O46" s="33" t="str">
        <f t="shared" si="26"/>
        <v/>
      </c>
      <c r="P46" s="33" t="str">
        <f t="shared" si="26"/>
        <v/>
      </c>
      <c r="Q46" s="33">
        <f t="shared" si="26"/>
        <v>-6.8965517241379337E-2</v>
      </c>
      <c r="R46" s="33">
        <f t="shared" si="26"/>
        <v>0</v>
      </c>
      <c r="S46" s="33">
        <f t="shared" si="26"/>
        <v>-0.13793103448275867</v>
      </c>
      <c r="T46" s="33">
        <f t="shared" si="26"/>
        <v>-0.13793103448275867</v>
      </c>
      <c r="U46" s="33">
        <f t="shared" ref="U46" si="27">IF(U22="","",U22-$J$29)</f>
        <v>-3.4482758620689724E-2</v>
      </c>
    </row>
    <row r="47" spans="5:21" ht="13.15" hidden="1" outlineLevel="1" x14ac:dyDescent="0.35">
      <c r="E47" s="1" t="s">
        <v>47</v>
      </c>
      <c r="F47" s="1" t="s">
        <v>55</v>
      </c>
      <c r="G47" s="1" t="s">
        <v>64</v>
      </c>
      <c r="H47" s="18" t="s">
        <v>32</v>
      </c>
      <c r="I47" s="8"/>
      <c r="J47" s="33">
        <f t="shared" ref="J47:T47" si="28">IF(J23="","",J23-$J$29)</f>
        <v>0</v>
      </c>
      <c r="K47" s="33">
        <f t="shared" si="28"/>
        <v>0</v>
      </c>
      <c r="L47" s="33">
        <f t="shared" si="28"/>
        <v>0</v>
      </c>
      <c r="M47" s="33">
        <f t="shared" si="28"/>
        <v>0</v>
      </c>
      <c r="N47" s="33">
        <f t="shared" si="28"/>
        <v>0</v>
      </c>
      <c r="O47" s="33">
        <f t="shared" si="28"/>
        <v>-0.16666666666666652</v>
      </c>
      <c r="P47" s="33">
        <f t="shared" si="28"/>
        <v>0</v>
      </c>
      <c r="Q47" s="33">
        <f t="shared" si="28"/>
        <v>0</v>
      </c>
      <c r="R47" s="33">
        <f t="shared" si="28"/>
        <v>0</v>
      </c>
      <c r="S47" s="33">
        <f t="shared" si="28"/>
        <v>0</v>
      </c>
      <c r="T47" s="33">
        <f t="shared" si="28"/>
        <v>0</v>
      </c>
      <c r="U47" s="33">
        <f t="shared" ref="U47" si="29">IF(U23="","",U23-$J$29)</f>
        <v>-0.16666666666666652</v>
      </c>
    </row>
    <row r="48" spans="5:21" ht="13.15" hidden="1" outlineLevel="1" x14ac:dyDescent="0.35">
      <c r="E48" s="1" t="s">
        <v>48</v>
      </c>
      <c r="F48" s="1" t="s">
        <v>55</v>
      </c>
      <c r="G48" s="1" t="s">
        <v>64</v>
      </c>
      <c r="H48" s="18" t="s">
        <v>32</v>
      </c>
      <c r="I48" s="8"/>
      <c r="J48" s="33" t="str">
        <f t="shared" ref="J48:T48" si="30">IF(J24="","",J24-$J$29)</f>
        <v/>
      </c>
      <c r="K48" s="33">
        <f t="shared" si="30"/>
        <v>-2.6315789473684292E-2</v>
      </c>
      <c r="L48" s="33">
        <f t="shared" si="30"/>
        <v>-7.8947368421052655E-2</v>
      </c>
      <c r="M48" s="33">
        <f t="shared" si="30"/>
        <v>-1.3157894736842146E-2</v>
      </c>
      <c r="N48" s="33">
        <f t="shared" si="30"/>
        <v>-6.5789473684210509E-2</v>
      </c>
      <c r="O48" s="33">
        <f t="shared" si="30"/>
        <v>-5.2631578947368474E-2</v>
      </c>
      <c r="P48" s="33">
        <f t="shared" si="30"/>
        <v>-3.9473684210526327E-2</v>
      </c>
      <c r="Q48" s="33">
        <f t="shared" si="30"/>
        <v>-3.9473684210526327E-2</v>
      </c>
      <c r="R48" s="33">
        <f t="shared" si="30"/>
        <v>-1.3157894736842146E-2</v>
      </c>
      <c r="S48" s="33">
        <f t="shared" si="30"/>
        <v>-2.6315789473684292E-2</v>
      </c>
      <c r="T48" s="33">
        <f t="shared" si="30"/>
        <v>-7.8947368421052655E-2</v>
      </c>
      <c r="U48" s="33">
        <f t="shared" ref="U48" si="31">IF(U24="","",U24-$J$29)</f>
        <v>-7.8947368421052655E-2</v>
      </c>
    </row>
    <row r="49" spans="1:21" ht="13.15" hidden="1" outlineLevel="1" x14ac:dyDescent="0.35">
      <c r="E49" s="1" t="s">
        <v>49</v>
      </c>
      <c r="F49" s="1" t="s">
        <v>55</v>
      </c>
      <c r="G49" s="1" t="s">
        <v>64</v>
      </c>
      <c r="H49" s="18" t="s">
        <v>32</v>
      </c>
      <c r="I49" s="8"/>
      <c r="J49" s="33">
        <f t="shared" ref="J49:T49" si="32">IF(J25="","",J25-$J$29)</f>
        <v>0</v>
      </c>
      <c r="K49" s="33">
        <f t="shared" si="32"/>
        <v>0</v>
      </c>
      <c r="L49" s="33">
        <f t="shared" si="32"/>
        <v>0</v>
      </c>
      <c r="M49" s="33">
        <f t="shared" si="32"/>
        <v>0</v>
      </c>
      <c r="N49" s="33">
        <f t="shared" si="32"/>
        <v>0</v>
      </c>
      <c r="O49" s="33">
        <f t="shared" si="32"/>
        <v>0</v>
      </c>
      <c r="P49" s="33">
        <f t="shared" si="32"/>
        <v>0</v>
      </c>
      <c r="Q49" s="33">
        <f t="shared" si="32"/>
        <v>0</v>
      </c>
      <c r="R49" s="33">
        <f t="shared" si="32"/>
        <v>0</v>
      </c>
      <c r="S49" s="33">
        <f t="shared" si="32"/>
        <v>0</v>
      </c>
      <c r="T49" s="33">
        <f t="shared" si="32"/>
        <v>0</v>
      </c>
      <c r="U49" s="33">
        <f t="shared" ref="U49" si="33">IF(U25="","",U25-$J$29)</f>
        <v>0</v>
      </c>
    </row>
    <row r="50" spans="1:21" collapsed="1" x14ac:dyDescent="0.45"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</row>
    <row r="51" spans="1:21" s="63" customFormat="1" ht="13.15" x14ac:dyDescent="0.35">
      <c r="A51" s="63" t="s">
        <v>65</v>
      </c>
    </row>
    <row r="52" spans="1:21" ht="13.15" x14ac:dyDescent="0.35">
      <c r="E52" s="1"/>
    </row>
    <row r="53" spans="1:21" ht="13.15" x14ac:dyDescent="0.35">
      <c r="E53" s="1" t="s">
        <v>29</v>
      </c>
      <c r="F53" s="1" t="s">
        <v>55</v>
      </c>
      <c r="G53" s="1" t="s">
        <v>65</v>
      </c>
      <c r="H53" s="18" t="s">
        <v>32</v>
      </c>
      <c r="I53" s="10"/>
      <c r="J53" s="26">
        <f>IF(J33="","",J33/J$29)</f>
        <v>-2.9262086513994867E-2</v>
      </c>
      <c r="K53" s="26">
        <f t="shared" ref="K53:T53" si="34">IF(K33="","",K33/K$29)</f>
        <v>-2.8025477707006363E-2</v>
      </c>
      <c r="L53" s="26">
        <f t="shared" si="34"/>
        <v>-1.6518424396442133E-2</v>
      </c>
      <c r="M53" s="26">
        <f t="shared" si="34"/>
        <v>-1.7391304347826098E-2</v>
      </c>
      <c r="N53" s="26">
        <f t="shared" si="34"/>
        <v>-8.8050314465408785E-3</v>
      </c>
      <c r="O53" s="26">
        <f t="shared" si="34"/>
        <v>-1.3871374527112179E-2</v>
      </c>
      <c r="P53" s="26">
        <f t="shared" si="34"/>
        <v>-1.7878426698450522E-2</v>
      </c>
      <c r="Q53" s="26">
        <f t="shared" si="34"/>
        <v>-1.4184397163120699E-2</v>
      </c>
      <c r="R53" s="26">
        <f t="shared" si="34"/>
        <v>-7.0754716981131782E-3</v>
      </c>
      <c r="S53" s="26">
        <f t="shared" si="34"/>
        <v>-1.7793594306049876E-2</v>
      </c>
      <c r="T53" s="26">
        <f t="shared" si="34"/>
        <v>-1.433691756272415E-2</v>
      </c>
      <c r="U53" s="26">
        <f t="shared" ref="U53" si="35">IF(U33="","",U33/U$29)</f>
        <v>-1.5550239234449759E-2</v>
      </c>
    </row>
    <row r="54" spans="1:21" ht="13.15" hidden="1" outlineLevel="1" x14ac:dyDescent="0.35">
      <c r="E54" s="1" t="s">
        <v>33</v>
      </c>
      <c r="F54" s="1" t="s">
        <v>55</v>
      </c>
      <c r="G54" s="1" t="s">
        <v>65</v>
      </c>
      <c r="H54" s="18" t="s">
        <v>32</v>
      </c>
      <c r="I54" s="8"/>
      <c r="J54" s="26">
        <f t="shared" ref="J54:T54" si="36">IF(J34="","",J34/J$29)</f>
        <v>-2.9366306027820754E-2</v>
      </c>
      <c r="K54" s="26">
        <f t="shared" si="36"/>
        <v>-3.6392405063291111E-2</v>
      </c>
      <c r="L54" s="26">
        <f t="shared" si="36"/>
        <v>-2.2471910112359605E-2</v>
      </c>
      <c r="M54" s="26">
        <f t="shared" si="36"/>
        <v>-2.9126213592232997E-2</v>
      </c>
      <c r="N54" s="26">
        <f t="shared" si="36"/>
        <v>-9.7087378640776656E-3</v>
      </c>
      <c r="O54" s="26">
        <f t="shared" si="36"/>
        <v>-3.3003300330032959E-2</v>
      </c>
      <c r="P54" s="26">
        <f t="shared" si="36"/>
        <v>-1.9801980198019709E-2</v>
      </c>
      <c r="Q54" s="26">
        <f t="shared" si="36"/>
        <v>-1.8181818181818077E-2</v>
      </c>
      <c r="R54" s="26">
        <f t="shared" si="36"/>
        <v>-3.3500837520938909E-3</v>
      </c>
      <c r="S54" s="26">
        <f t="shared" si="36"/>
        <v>-1.6778523489933028E-2</v>
      </c>
      <c r="T54" s="26">
        <f t="shared" si="36"/>
        <v>-1.4950166112956853E-2</v>
      </c>
      <c r="U54" s="26">
        <f t="shared" ref="U54" si="37">IF(U34="","",U34/U$29)</f>
        <v>-1.9900497512437831E-2</v>
      </c>
    </row>
    <row r="55" spans="1:21" ht="13.15" hidden="1" outlineLevel="1" x14ac:dyDescent="0.35">
      <c r="E55" s="1" t="s">
        <v>34</v>
      </c>
      <c r="F55" s="1" t="s">
        <v>55</v>
      </c>
      <c r="G55" s="1" t="s">
        <v>65</v>
      </c>
      <c r="H55" s="18" t="s">
        <v>32</v>
      </c>
      <c r="I55" s="8"/>
      <c r="J55" s="26">
        <f t="shared" ref="J55:T55" si="38">IF(J35="","",J35/J$29)</f>
        <v>0</v>
      </c>
      <c r="K55" s="26">
        <f t="shared" si="38"/>
        <v>0</v>
      </c>
      <c r="L55" s="26">
        <f t="shared" si="38"/>
        <v>-0.25</v>
      </c>
      <c r="M55" s="26">
        <f t="shared" si="38"/>
        <v>0</v>
      </c>
      <c r="N55" s="26">
        <f t="shared" si="38"/>
        <v>0</v>
      </c>
      <c r="O55" s="26">
        <f t="shared" si="38"/>
        <v>0</v>
      </c>
      <c r="P55" s="26">
        <f t="shared" si="38"/>
        <v>0</v>
      </c>
      <c r="Q55" s="26">
        <f t="shared" si="38"/>
        <v>0</v>
      </c>
      <c r="R55" s="26">
        <f t="shared" si="38"/>
        <v>0</v>
      </c>
      <c r="S55" s="26">
        <f t="shared" si="38"/>
        <v>-2.1276595744680882E-2</v>
      </c>
      <c r="T55" s="26">
        <f t="shared" si="38"/>
        <v>-2.1739130434782705E-2</v>
      </c>
      <c r="U55" s="26">
        <f t="shared" ref="U55" si="39">IF(U35="","",U35/U$29)</f>
        <v>0</v>
      </c>
    </row>
    <row r="56" spans="1:21" ht="13.15" hidden="1" outlineLevel="1" x14ac:dyDescent="0.35">
      <c r="E56" s="1" t="s">
        <v>35</v>
      </c>
      <c r="F56" s="1" t="s">
        <v>55</v>
      </c>
      <c r="G56" s="1" t="s">
        <v>65</v>
      </c>
      <c r="H56" s="18" t="s">
        <v>32</v>
      </c>
      <c r="I56" s="8"/>
      <c r="J56" s="26" t="str">
        <f t="shared" ref="J56:T56" si="40">IF(J36="","",J36/J$29)</f>
        <v/>
      </c>
      <c r="K56" s="26" t="str">
        <f t="shared" si="40"/>
        <v/>
      </c>
      <c r="L56" s="26" t="str">
        <f t="shared" si="40"/>
        <v/>
      </c>
      <c r="M56" s="26" t="str">
        <f t="shared" si="40"/>
        <v/>
      </c>
      <c r="N56" s="26" t="str">
        <f t="shared" si="40"/>
        <v/>
      </c>
      <c r="O56" s="26">
        <f t="shared" si="40"/>
        <v>-4.0000000000000036E-2</v>
      </c>
      <c r="P56" s="26">
        <f t="shared" si="40"/>
        <v>-5.0000000000000044E-3</v>
      </c>
      <c r="Q56" s="26">
        <f t="shared" si="40"/>
        <v>-3.4313725490196179E-2</v>
      </c>
      <c r="R56" s="26">
        <f t="shared" si="40"/>
        <v>-4.8780487804878092E-3</v>
      </c>
      <c r="S56" s="26">
        <f t="shared" si="40"/>
        <v>-1.9607843137254943E-2</v>
      </c>
      <c r="T56" s="26">
        <f t="shared" si="40"/>
        <v>-1.4705882352941124E-2</v>
      </c>
      <c r="U56" s="26">
        <f t="shared" ref="U56" si="41">IF(U36="","",U36/U$29)</f>
        <v>-1.4563106796116498E-2</v>
      </c>
    </row>
    <row r="57" spans="1:21" ht="13.15" hidden="1" outlineLevel="1" x14ac:dyDescent="0.35">
      <c r="E57" s="1" t="s">
        <v>37</v>
      </c>
      <c r="F57" s="1" t="s">
        <v>55</v>
      </c>
      <c r="G57" s="1" t="s">
        <v>65</v>
      </c>
      <c r="H57" s="18" t="s">
        <v>32</v>
      </c>
      <c r="I57" s="8"/>
      <c r="J57" s="26" t="str">
        <f t="shared" ref="J57:T57" si="42">IF(J37="","",J37/J$29)</f>
        <v/>
      </c>
      <c r="K57" s="26" t="str">
        <f t="shared" si="42"/>
        <v/>
      </c>
      <c r="L57" s="26" t="str">
        <f t="shared" si="42"/>
        <v/>
      </c>
      <c r="M57" s="26" t="str">
        <f t="shared" si="42"/>
        <v/>
      </c>
      <c r="N57" s="26" t="str">
        <f t="shared" si="42"/>
        <v/>
      </c>
      <c r="O57" s="26">
        <f t="shared" si="42"/>
        <v>-3.6855036855036882E-3</v>
      </c>
      <c r="P57" s="26">
        <f t="shared" si="42"/>
        <v>-1.5768725361366642E-2</v>
      </c>
      <c r="Q57" s="26">
        <f t="shared" si="42"/>
        <v>-3.9421813403416328E-3</v>
      </c>
      <c r="R57" s="26">
        <f t="shared" si="42"/>
        <v>-3.9735099337748769E-3</v>
      </c>
      <c r="S57" s="26">
        <f t="shared" si="42"/>
        <v>-6.6755674232310547E-3</v>
      </c>
      <c r="T57" s="26">
        <f t="shared" si="42"/>
        <v>-6.7204301075268758E-3</v>
      </c>
      <c r="U57" s="26">
        <f t="shared" ref="U57" si="43">IF(U37="","",U37/U$29)</f>
        <v>-5.3763440860215006E-3</v>
      </c>
    </row>
    <row r="58" spans="1:21" ht="13.15" hidden="1" outlineLevel="1" x14ac:dyDescent="0.35">
      <c r="E58" s="1" t="s">
        <v>38</v>
      </c>
      <c r="F58" s="1" t="s">
        <v>55</v>
      </c>
      <c r="G58" s="1" t="s">
        <v>65</v>
      </c>
      <c r="H58" s="18" t="s">
        <v>32</v>
      </c>
      <c r="I58" s="8"/>
      <c r="J58" s="26">
        <f t="shared" ref="J58:T58" si="44">IF(J38="","",J38/J$29)</f>
        <v>-3.5143769968051131E-2</v>
      </c>
      <c r="K58" s="26">
        <f t="shared" si="44"/>
        <v>-6.7307692307692291E-2</v>
      </c>
      <c r="L58" s="26">
        <f t="shared" si="44"/>
        <v>-3.8585209003215382E-2</v>
      </c>
      <c r="M58" s="26">
        <f t="shared" si="44"/>
        <v>-4.4728434504792358E-2</v>
      </c>
      <c r="N58" s="26">
        <f t="shared" si="44"/>
        <v>-1.9230769230769384E-2</v>
      </c>
      <c r="O58" s="26">
        <f t="shared" si="44"/>
        <v>-2.9032258064516148E-2</v>
      </c>
      <c r="P58" s="26">
        <f t="shared" si="44"/>
        <v>-1.2779552715655007E-2</v>
      </c>
      <c r="Q58" s="26">
        <f t="shared" si="44"/>
        <v>-1.2861736334405127E-2</v>
      </c>
      <c r="R58" s="26">
        <f t="shared" si="44"/>
        <v>-9.6463022508038732E-3</v>
      </c>
      <c r="S58" s="26">
        <f t="shared" si="44"/>
        <v>-2.5396825396825418E-2</v>
      </c>
      <c r="T58" s="26">
        <f t="shared" si="44"/>
        <v>-6.3492063492063266E-3</v>
      </c>
      <c r="U58" s="26">
        <f t="shared" ref="U58" si="45">IF(U38="","",U38/U$29)</f>
        <v>-3.8095238095238071E-2</v>
      </c>
    </row>
    <row r="59" spans="1:21" ht="13.15" hidden="1" outlineLevel="1" x14ac:dyDescent="0.35">
      <c r="E59" s="1" t="s">
        <v>39</v>
      </c>
      <c r="F59" s="1" t="s">
        <v>55</v>
      </c>
      <c r="G59" s="1" t="s">
        <v>65</v>
      </c>
      <c r="H59" s="18" t="s">
        <v>32</v>
      </c>
      <c r="I59" s="8"/>
      <c r="J59" s="26">
        <f t="shared" ref="J59:T59" si="46">IF(J39="","",J39/J$29)</f>
        <v>-3.716216216216206E-2</v>
      </c>
      <c r="K59" s="26">
        <f t="shared" si="46"/>
        <v>-4.7021943573667735E-2</v>
      </c>
      <c r="L59" s="26">
        <f t="shared" si="46"/>
        <v>-1.8987341772151889E-2</v>
      </c>
      <c r="M59" s="26">
        <f t="shared" si="46"/>
        <v>-1.6077170418006381E-2</v>
      </c>
      <c r="N59" s="26">
        <f t="shared" si="46"/>
        <v>-1.2779552715655007E-2</v>
      </c>
      <c r="O59" s="26">
        <f t="shared" si="46"/>
        <v>-1.8292682926829285E-2</v>
      </c>
      <c r="P59" s="26">
        <f t="shared" si="46"/>
        <v>-9.009009009009028E-3</v>
      </c>
      <c r="Q59" s="26">
        <f t="shared" si="46"/>
        <v>-1.1904761904761862E-2</v>
      </c>
      <c r="R59" s="26">
        <f t="shared" si="46"/>
        <v>-2.9411764705882359E-2</v>
      </c>
      <c r="S59" s="26">
        <f t="shared" si="46"/>
        <v>-2.0588235294117685E-2</v>
      </c>
      <c r="T59" s="26">
        <f t="shared" si="46"/>
        <v>-1.7857142857142905E-2</v>
      </c>
      <c r="U59" s="26">
        <f t="shared" ref="U59" si="47">IF(U39="","",U39/U$29)</f>
        <v>-5.9523809523809312E-3</v>
      </c>
    </row>
    <row r="60" spans="1:21" ht="13.15" hidden="1" outlineLevel="1" x14ac:dyDescent="0.35">
      <c r="E60" s="1" t="s">
        <v>40</v>
      </c>
      <c r="F60" s="1" t="s">
        <v>55</v>
      </c>
      <c r="G60" s="1" t="s">
        <v>65</v>
      </c>
      <c r="H60" s="18" t="s">
        <v>32</v>
      </c>
      <c r="I60" s="8"/>
      <c r="J60" s="26">
        <f t="shared" ref="J60:T60" si="48">IF(J40="","",J40/J$29)</f>
        <v>-7.9155672823219003E-3</v>
      </c>
      <c r="K60" s="26">
        <f t="shared" si="48"/>
        <v>-4.4270833333333481E-2</v>
      </c>
      <c r="L60" s="26">
        <f t="shared" si="48"/>
        <v>-1.308900523560208E-2</v>
      </c>
      <c r="M60" s="26">
        <f t="shared" si="48"/>
        <v>-7.8947368421053987E-3</v>
      </c>
      <c r="N60" s="26">
        <f t="shared" si="48"/>
        <v>-2.0887728459530019E-2</v>
      </c>
      <c r="O60" s="26">
        <f t="shared" si="48"/>
        <v>-5.2219321148825326E-3</v>
      </c>
      <c r="P60" s="26">
        <f t="shared" si="48"/>
        <v>-1.0416666666666519E-2</v>
      </c>
      <c r="Q60" s="26">
        <f t="shared" si="48"/>
        <v>-2.5974025974025983E-3</v>
      </c>
      <c r="R60" s="26">
        <f t="shared" si="48"/>
        <v>-2.5974025974025983E-3</v>
      </c>
      <c r="S60" s="26">
        <f t="shared" si="48"/>
        <v>-1.0416666666666519E-2</v>
      </c>
      <c r="T60" s="26">
        <f t="shared" si="48"/>
        <v>-5.2083333333334814E-3</v>
      </c>
      <c r="U60" s="26">
        <f t="shared" ref="U60" si="49">IF(U40="","",U40/U$29)</f>
        <v>-7.8125E-3</v>
      </c>
    </row>
    <row r="61" spans="1:21" ht="13.15" hidden="1" outlineLevel="1" x14ac:dyDescent="0.35">
      <c r="E61" s="1" t="s">
        <v>57</v>
      </c>
      <c r="F61" s="1" t="s">
        <v>55</v>
      </c>
      <c r="G61" s="1" t="s">
        <v>65</v>
      </c>
      <c r="H61" s="18" t="s">
        <v>32</v>
      </c>
      <c r="I61" s="8"/>
      <c r="J61" s="26">
        <f t="shared" ref="J61:T61" si="50">IF(J41="","",J41/J$29)</f>
        <v>-8.3565459610028814E-3</v>
      </c>
      <c r="K61" s="26">
        <f t="shared" si="50"/>
        <v>-1.3927576601671321E-2</v>
      </c>
      <c r="L61" s="26">
        <f t="shared" si="50"/>
        <v>-1.6666666666666718E-2</v>
      </c>
      <c r="M61" s="26">
        <f t="shared" si="50"/>
        <v>-2.7932960893854775E-2</v>
      </c>
      <c r="N61" s="26">
        <f t="shared" si="50"/>
        <v>-2.6252983293555965E-2</v>
      </c>
      <c r="O61" s="26">
        <f t="shared" si="50"/>
        <v>-1.2376237623762498E-2</v>
      </c>
      <c r="P61" s="26">
        <f t="shared" si="50"/>
        <v>-1.2626262626262652E-2</v>
      </c>
      <c r="Q61" s="26">
        <f t="shared" si="50"/>
        <v>-1.5306122448979553E-2</v>
      </c>
      <c r="R61" s="26">
        <f t="shared" si="50"/>
        <v>-2.5188916876573986E-3</v>
      </c>
      <c r="S61" s="26">
        <f t="shared" si="50"/>
        <v>-1.0230179028132946E-2</v>
      </c>
      <c r="T61" s="26">
        <f t="shared" si="50"/>
        <v>-1.546391752577303E-2</v>
      </c>
      <c r="U61" s="26">
        <f t="shared" ref="U61" si="51">IF(U41="","",U41/U$29)</f>
        <v>-1.0309278350515427E-2</v>
      </c>
    </row>
    <row r="62" spans="1:21" ht="13.15" hidden="1" outlineLevel="1" x14ac:dyDescent="0.35">
      <c r="E62" s="1" t="s">
        <v>42</v>
      </c>
      <c r="F62" s="1" t="s">
        <v>55</v>
      </c>
      <c r="G62" s="1" t="s">
        <v>65</v>
      </c>
      <c r="H62" s="18" t="s">
        <v>32</v>
      </c>
      <c r="I62" s="8"/>
      <c r="J62" s="26">
        <f t="shared" ref="J62:T62" si="52">IF(J42="","",J42/J$29)</f>
        <v>-3.2894736842105088E-3</v>
      </c>
      <c r="K62" s="26">
        <f t="shared" si="52"/>
        <v>-9.8360655737704805E-3</v>
      </c>
      <c r="L62" s="26">
        <f t="shared" si="52"/>
        <v>-3.3222591362125353E-3</v>
      </c>
      <c r="M62" s="26">
        <f t="shared" si="52"/>
        <v>-3.3333333333332993E-3</v>
      </c>
      <c r="N62" s="26">
        <f t="shared" si="52"/>
        <v>-6.2893081761007386E-3</v>
      </c>
      <c r="O62" s="26">
        <f t="shared" si="52"/>
        <v>-9.8039215686273051E-3</v>
      </c>
      <c r="P62" s="26">
        <f t="shared" si="52"/>
        <v>0</v>
      </c>
      <c r="Q62" s="26">
        <f t="shared" si="52"/>
        <v>-1.538461538461533E-2</v>
      </c>
      <c r="R62" s="26">
        <f t="shared" si="52"/>
        <v>-9.2307692307691536E-3</v>
      </c>
      <c r="S62" s="26">
        <f t="shared" si="52"/>
        <v>0</v>
      </c>
      <c r="T62" s="26">
        <f t="shared" si="52"/>
        <v>-6.4935064935063291E-3</v>
      </c>
      <c r="U62" s="26">
        <f t="shared" ref="U62" si="53">IF(U42="","",U42/U$29)</f>
        <v>-9.7402597402598268E-3</v>
      </c>
    </row>
    <row r="63" spans="1:21" ht="13.15" hidden="1" outlineLevel="1" x14ac:dyDescent="0.35">
      <c r="E63" s="1" t="s">
        <v>43</v>
      </c>
      <c r="F63" s="1" t="s">
        <v>55</v>
      </c>
      <c r="G63" s="1" t="s">
        <v>65</v>
      </c>
      <c r="H63" s="18" t="s">
        <v>32</v>
      </c>
      <c r="I63" s="8"/>
      <c r="J63" s="26">
        <f t="shared" ref="J63:T63" si="54">IF(J43="","",J43/J$29)</f>
        <v>-2.7210884353741527E-2</v>
      </c>
      <c r="K63" s="26">
        <f t="shared" si="54"/>
        <v>-2.0202020202020221E-2</v>
      </c>
      <c r="L63" s="26">
        <f t="shared" si="54"/>
        <v>-6.6889632107023367E-3</v>
      </c>
      <c r="M63" s="26">
        <f t="shared" si="54"/>
        <v>-6.7796610169491567E-3</v>
      </c>
      <c r="N63" s="26">
        <f t="shared" si="54"/>
        <v>-2.8301886792452824E-2</v>
      </c>
      <c r="O63" s="26">
        <f t="shared" si="54"/>
        <v>-2.2292993630573243E-2</v>
      </c>
      <c r="P63" s="26">
        <f t="shared" si="54"/>
        <v>-2.5477707006369421E-2</v>
      </c>
      <c r="Q63" s="26">
        <f t="shared" si="54"/>
        <v>-2.5316455696202556E-2</v>
      </c>
      <c r="R63" s="26">
        <f t="shared" si="54"/>
        <v>-9.6153846153845812E-3</v>
      </c>
      <c r="S63" s="26">
        <f t="shared" si="54"/>
        <v>-9.6774193548386789E-3</v>
      </c>
      <c r="T63" s="26">
        <f t="shared" si="54"/>
        <v>-3.1948881789137795E-3</v>
      </c>
      <c r="U63" s="26">
        <f t="shared" ref="U63" si="55">IF(U43="","",U43/U$29)</f>
        <v>-9.5846645367412275E-3</v>
      </c>
    </row>
    <row r="64" spans="1:21" ht="13.15" hidden="1" outlineLevel="1" x14ac:dyDescent="0.35">
      <c r="E64" s="1" t="s">
        <v>44</v>
      </c>
      <c r="F64" s="1" t="s">
        <v>55</v>
      </c>
      <c r="G64" s="1" t="s">
        <v>65</v>
      </c>
      <c r="H64" s="18" t="s">
        <v>32</v>
      </c>
      <c r="I64" s="8"/>
      <c r="J64" s="26">
        <f t="shared" ref="J64:T64" si="56">IF(J44="","",J44/J$29)</f>
        <v>0</v>
      </c>
      <c r="K64" s="26">
        <f t="shared" si="56"/>
        <v>0</v>
      </c>
      <c r="L64" s="26">
        <f t="shared" si="56"/>
        <v>0</v>
      </c>
      <c r="M64" s="26">
        <f t="shared" si="56"/>
        <v>0</v>
      </c>
      <c r="N64" s="26">
        <f t="shared" si="56"/>
        <v>0</v>
      </c>
      <c r="O64" s="26">
        <f t="shared" si="56"/>
        <v>0</v>
      </c>
      <c r="P64" s="26">
        <f t="shared" si="56"/>
        <v>0</v>
      </c>
      <c r="Q64" s="26">
        <f t="shared" si="56"/>
        <v>0</v>
      </c>
      <c r="R64" s="26">
        <f t="shared" si="56"/>
        <v>-2.3809523809523836E-2</v>
      </c>
      <c r="S64" s="26">
        <f t="shared" si="56"/>
        <v>-3.2258064516129004E-2</v>
      </c>
      <c r="T64" s="26">
        <f t="shared" si="56"/>
        <v>-3.2258064516129004E-2</v>
      </c>
      <c r="U64" s="26">
        <f t="shared" ref="U64" si="57">IF(U44="","",U44/U$29)</f>
        <v>0</v>
      </c>
    </row>
    <row r="65" spans="1:21" ht="13.15" hidden="1" outlineLevel="1" x14ac:dyDescent="0.35">
      <c r="E65" s="1" t="s">
        <v>45</v>
      </c>
      <c r="F65" s="1" t="s">
        <v>55</v>
      </c>
      <c r="G65" s="1" t="s">
        <v>65</v>
      </c>
      <c r="H65" s="18" t="s">
        <v>32</v>
      </c>
      <c r="I65" s="8"/>
      <c r="J65" s="26" t="str">
        <f t="shared" ref="J65:T65" si="58">IF(J45="","",J45/J$29)</f>
        <v/>
      </c>
      <c r="K65" s="26" t="str">
        <f t="shared" si="58"/>
        <v/>
      </c>
      <c r="L65" s="26" t="str">
        <f t="shared" si="58"/>
        <v/>
      </c>
      <c r="M65" s="26" t="str">
        <f t="shared" si="58"/>
        <v/>
      </c>
      <c r="N65" s="26" t="str">
        <f t="shared" si="58"/>
        <v/>
      </c>
      <c r="O65" s="26" t="str">
        <f t="shared" si="58"/>
        <v/>
      </c>
      <c r="P65" s="26" t="str">
        <f t="shared" si="58"/>
        <v/>
      </c>
      <c r="Q65" s="26">
        <f t="shared" si="58"/>
        <v>0</v>
      </c>
      <c r="R65" s="26">
        <f t="shared" si="58"/>
        <v>0</v>
      </c>
      <c r="S65" s="26">
        <f t="shared" si="58"/>
        <v>0</v>
      </c>
      <c r="T65" s="26">
        <f t="shared" si="58"/>
        <v>0</v>
      </c>
      <c r="U65" s="26">
        <f t="shared" ref="U65" si="59">IF(U45="","",U45/U$29)</f>
        <v>0</v>
      </c>
    </row>
    <row r="66" spans="1:21" ht="13.15" hidden="1" outlineLevel="1" x14ac:dyDescent="0.35">
      <c r="E66" s="1" t="s">
        <v>46</v>
      </c>
      <c r="F66" s="1" t="s">
        <v>55</v>
      </c>
      <c r="G66" s="1" t="s">
        <v>65</v>
      </c>
      <c r="H66" s="18" t="s">
        <v>32</v>
      </c>
      <c r="I66" s="8"/>
      <c r="J66" s="26" t="str">
        <f t="shared" ref="J66:T66" si="60">IF(J46="","",J46/J$29)</f>
        <v/>
      </c>
      <c r="K66" s="26" t="str">
        <f t="shared" si="60"/>
        <v/>
      </c>
      <c r="L66" s="26" t="str">
        <f t="shared" si="60"/>
        <v/>
      </c>
      <c r="M66" s="26" t="str">
        <f t="shared" si="60"/>
        <v/>
      </c>
      <c r="N66" s="26" t="str">
        <f t="shared" si="60"/>
        <v/>
      </c>
      <c r="O66" s="26" t="str">
        <f t="shared" si="60"/>
        <v/>
      </c>
      <c r="P66" s="26" t="str">
        <f t="shared" si="60"/>
        <v/>
      </c>
      <c r="Q66" s="26">
        <f t="shared" si="60"/>
        <v>-6.8965517241379337E-2</v>
      </c>
      <c r="R66" s="26">
        <f t="shared" si="60"/>
        <v>0</v>
      </c>
      <c r="S66" s="26">
        <f t="shared" si="60"/>
        <v>-0.13793103448275867</v>
      </c>
      <c r="T66" s="26">
        <f t="shared" si="60"/>
        <v>-0.13793103448275867</v>
      </c>
      <c r="U66" s="26">
        <f t="shared" ref="U66" si="61">IF(U46="","",U46/U$29)</f>
        <v>-3.4482758620689724E-2</v>
      </c>
    </row>
    <row r="67" spans="1:21" ht="13.15" hidden="1" outlineLevel="1" x14ac:dyDescent="0.35">
      <c r="E67" s="1" t="s">
        <v>47</v>
      </c>
      <c r="F67" s="1" t="s">
        <v>55</v>
      </c>
      <c r="G67" s="1" t="s">
        <v>65</v>
      </c>
      <c r="H67" s="18" t="s">
        <v>32</v>
      </c>
      <c r="I67" s="8"/>
      <c r="J67" s="26">
        <f t="shared" ref="J67:T67" si="62">IF(J47="","",J47/J$29)</f>
        <v>0</v>
      </c>
      <c r="K67" s="26">
        <f t="shared" si="62"/>
        <v>0</v>
      </c>
      <c r="L67" s="26">
        <f t="shared" si="62"/>
        <v>0</v>
      </c>
      <c r="M67" s="26">
        <f t="shared" si="62"/>
        <v>0</v>
      </c>
      <c r="N67" s="26">
        <f t="shared" si="62"/>
        <v>0</v>
      </c>
      <c r="O67" s="26">
        <f t="shared" si="62"/>
        <v>-0.16666666666666652</v>
      </c>
      <c r="P67" s="26">
        <f t="shared" si="62"/>
        <v>0</v>
      </c>
      <c r="Q67" s="26">
        <f t="shared" si="62"/>
        <v>0</v>
      </c>
      <c r="R67" s="26">
        <f t="shared" si="62"/>
        <v>0</v>
      </c>
      <c r="S67" s="26">
        <f t="shared" si="62"/>
        <v>0</v>
      </c>
      <c r="T67" s="26">
        <f t="shared" si="62"/>
        <v>0</v>
      </c>
      <c r="U67" s="26">
        <f t="shared" ref="U67" si="63">IF(U47="","",U47/U$29)</f>
        <v>-0.16666666666666652</v>
      </c>
    </row>
    <row r="68" spans="1:21" ht="13.15" hidden="1" outlineLevel="1" x14ac:dyDescent="0.35">
      <c r="E68" s="1" t="s">
        <v>48</v>
      </c>
      <c r="F68" s="1" t="s">
        <v>55</v>
      </c>
      <c r="G68" s="1" t="s">
        <v>65</v>
      </c>
      <c r="H68" s="18" t="s">
        <v>32</v>
      </c>
      <c r="I68" s="8"/>
      <c r="J68" s="26" t="str">
        <f t="shared" ref="J68:T68" si="64">IF(J48="","",J48/J$29)</f>
        <v/>
      </c>
      <c r="K68" s="26">
        <f t="shared" si="64"/>
        <v>-2.6315789473684292E-2</v>
      </c>
      <c r="L68" s="26">
        <f t="shared" si="64"/>
        <v>-7.8947368421052655E-2</v>
      </c>
      <c r="M68" s="26">
        <f t="shared" si="64"/>
        <v>-1.3157894736842146E-2</v>
      </c>
      <c r="N68" s="26">
        <f t="shared" si="64"/>
        <v>-6.5789473684210509E-2</v>
      </c>
      <c r="O68" s="26">
        <f t="shared" si="64"/>
        <v>-5.2631578947368474E-2</v>
      </c>
      <c r="P68" s="26">
        <f t="shared" si="64"/>
        <v>-3.9473684210526327E-2</v>
      </c>
      <c r="Q68" s="26">
        <f t="shared" si="64"/>
        <v>-3.9473684210526327E-2</v>
      </c>
      <c r="R68" s="26">
        <f t="shared" si="64"/>
        <v>-1.3157894736842146E-2</v>
      </c>
      <c r="S68" s="26">
        <f t="shared" si="64"/>
        <v>-2.6315789473684292E-2</v>
      </c>
      <c r="T68" s="26">
        <f t="shared" si="64"/>
        <v>-7.8947368421052655E-2</v>
      </c>
      <c r="U68" s="26">
        <f t="shared" ref="U68" si="65">IF(U48="","",U48/U$29)</f>
        <v>-7.8947368421052655E-2</v>
      </c>
    </row>
    <row r="69" spans="1:21" ht="13.15" hidden="1" outlineLevel="1" x14ac:dyDescent="0.35">
      <c r="E69" s="1" t="s">
        <v>49</v>
      </c>
      <c r="F69" s="1" t="s">
        <v>55</v>
      </c>
      <c r="G69" s="1" t="s">
        <v>65</v>
      </c>
      <c r="H69" s="18" t="s">
        <v>32</v>
      </c>
      <c r="I69" s="8"/>
      <c r="J69" s="26">
        <f t="shared" ref="J69:T69" si="66">IF(J49="","",J49/J$29)</f>
        <v>0</v>
      </c>
      <c r="K69" s="26">
        <f t="shared" si="66"/>
        <v>0</v>
      </c>
      <c r="L69" s="26">
        <f t="shared" si="66"/>
        <v>0</v>
      </c>
      <c r="M69" s="26">
        <f t="shared" si="66"/>
        <v>0</v>
      </c>
      <c r="N69" s="26">
        <f t="shared" si="66"/>
        <v>0</v>
      </c>
      <c r="O69" s="26">
        <f t="shared" si="66"/>
        <v>0</v>
      </c>
      <c r="P69" s="26">
        <f t="shared" si="66"/>
        <v>0</v>
      </c>
      <c r="Q69" s="26">
        <f t="shared" si="66"/>
        <v>0</v>
      </c>
      <c r="R69" s="26">
        <f t="shared" si="66"/>
        <v>0</v>
      </c>
      <c r="S69" s="26">
        <f t="shared" si="66"/>
        <v>0</v>
      </c>
      <c r="T69" s="26">
        <f t="shared" si="66"/>
        <v>0</v>
      </c>
      <c r="U69" s="26">
        <f t="shared" ref="U69" si="67">IF(U49="","",U49/U$29)</f>
        <v>0</v>
      </c>
    </row>
    <row r="70" spans="1:21" collapsed="1" x14ac:dyDescent="0.45"/>
    <row r="71" spans="1:21" s="66" customFormat="1" ht="13.15" x14ac:dyDescent="0.4">
      <c r="A71" s="66" t="s">
        <v>61</v>
      </c>
      <c r="H71" s="68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9864-3F5E-46D6-BB96-F716C3385AF6}">
  <sheetPr codeName="Sheet12">
    <tabColor rgb="FFCCCCCE"/>
  </sheetPr>
  <dimension ref="A1:XFC70"/>
  <sheetViews>
    <sheetView showGridLines="0" zoomScale="80" zoomScaleNormal="80" workbookViewId="0">
      <pane ySplit="5" topLeftCell="A7" activePane="bottomLeft" state="frozen"/>
      <selection activeCell="F9" sqref="F9"/>
      <selection pane="bottomLeft"/>
    </sheetView>
  </sheetViews>
  <sheetFormatPr defaultColWidth="9" defaultRowHeight="14.25" zeroHeight="1" outlineLevelRow="1" x14ac:dyDescent="0.45"/>
  <cols>
    <col min="1" max="1" width="1" style="6" customWidth="1"/>
    <col min="2" max="4" width="1" style="1" customWidth="1"/>
    <col min="5" max="5" width="8.125" style="58" customWidth="1"/>
    <col min="6" max="6" width="20.375" style="1" bestFit="1" customWidth="1"/>
    <col min="7" max="8" width="9" style="18" customWidth="1"/>
    <col min="9" max="9" width="9" style="28" customWidth="1"/>
    <col min="10" max="10" width="4.25" style="1" customWidth="1"/>
    <col min="11" max="22" width="9" style="1" customWidth="1"/>
    <col min="23" max="16383" width="0" style="1" hidden="1" customWidth="1"/>
    <col min="16384" max="16384" width="9" style="1" hidden="1" customWidth="1"/>
  </cols>
  <sheetData>
    <row r="1" spans="1:22" s="4" customFormat="1" ht="30.75" x14ac:dyDescent="0.35">
      <c r="A1" s="4" t="str">
        <f ca="1">RIGHT(CELL("filename", A1), LEN(CELL("filename", A1)) - SEARCH("]", CELL("filename", A1)))</f>
        <v>Percentiles</v>
      </c>
      <c r="D1" s="5"/>
      <c r="G1" s="17"/>
      <c r="H1" s="17"/>
      <c r="I1" s="27"/>
    </row>
    <row r="2" spans="1:22" ht="13.15" x14ac:dyDescent="0.35">
      <c r="E2" s="1"/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24</v>
      </c>
      <c r="U2" s="6" t="s">
        <v>25</v>
      </c>
      <c r="V2" s="6" t="s">
        <v>26</v>
      </c>
    </row>
    <row r="3" spans="1:22" ht="13.15" x14ac:dyDescent="0.35">
      <c r="E3" s="7" t="s">
        <v>50</v>
      </c>
      <c r="F3" s="7" t="s">
        <v>51</v>
      </c>
      <c r="G3" s="19" t="s">
        <v>66</v>
      </c>
      <c r="H3" s="19" t="s">
        <v>67</v>
      </c>
      <c r="I3" s="29" t="s">
        <v>68</v>
      </c>
    </row>
    <row r="4" spans="1:22" ht="13.15" x14ac:dyDescent="0.35">
      <c r="E4" s="1"/>
    </row>
    <row r="5" spans="1:22" ht="13.15" x14ac:dyDescent="0.35">
      <c r="E5" s="1"/>
      <c r="H5" s="20"/>
    </row>
    <row r="6" spans="1:22" ht="13.15" x14ac:dyDescent="0.35">
      <c r="E6" s="1"/>
    </row>
    <row r="7" spans="1:22" s="63" customFormat="1" ht="13.15" x14ac:dyDescent="0.35">
      <c r="A7" s="63" t="s">
        <v>69</v>
      </c>
    </row>
    <row r="8" spans="1:22" ht="13.15" x14ac:dyDescent="0.35">
      <c r="E8" s="1"/>
    </row>
    <row r="9" spans="1:22" ht="13.15" x14ac:dyDescent="0.35">
      <c r="E9" s="1" t="s">
        <v>29</v>
      </c>
      <c r="F9" s="1" t="s">
        <v>55</v>
      </c>
      <c r="G9" s="21"/>
      <c r="H9" s="21"/>
      <c r="I9" s="30"/>
      <c r="K9" s="13">
        <f>'Difference to PCL'!J53</f>
        <v>-2.9262086513994867E-2</v>
      </c>
      <c r="L9" s="13">
        <f>'Difference to PCL'!K53</f>
        <v>-2.8025477707006363E-2</v>
      </c>
      <c r="M9" s="13">
        <f>'Difference to PCL'!L53</f>
        <v>-1.6518424396442133E-2</v>
      </c>
      <c r="N9" s="13">
        <f>'Difference to PCL'!M53</f>
        <v>-1.7391304347826098E-2</v>
      </c>
      <c r="O9" s="13">
        <f>'Difference to PCL'!N53</f>
        <v>-8.8050314465408785E-3</v>
      </c>
      <c r="P9" s="13">
        <f>'Difference to PCL'!O53</f>
        <v>-1.3871374527112179E-2</v>
      </c>
      <c r="Q9" s="13">
        <f>'Difference to PCL'!P53</f>
        <v>-1.7878426698450522E-2</v>
      </c>
      <c r="R9" s="13">
        <f>'Difference to PCL'!Q53</f>
        <v>-1.4184397163120699E-2</v>
      </c>
      <c r="S9" s="13">
        <f>'Difference to PCL'!R53</f>
        <v>-7.0754716981131782E-3</v>
      </c>
      <c r="T9" s="13">
        <f>'Difference to PCL'!S53</f>
        <v>-1.7793594306049876E-2</v>
      </c>
      <c r="U9" s="13">
        <f>'Difference to PCL'!T53</f>
        <v>-1.433691756272415E-2</v>
      </c>
      <c r="V9" s="13">
        <f>'Difference to PCL'!U53</f>
        <v>-1.5550239234449759E-2</v>
      </c>
    </row>
    <row r="10" spans="1:22" ht="13.15" hidden="1" outlineLevel="1" x14ac:dyDescent="0.35">
      <c r="E10" s="1" t="s">
        <v>33</v>
      </c>
      <c r="F10" s="1" t="s">
        <v>55</v>
      </c>
      <c r="G10" s="21"/>
      <c r="H10" s="21"/>
      <c r="I10" s="30"/>
      <c r="K10" s="13">
        <f>'Difference to PCL'!J54</f>
        <v>-2.9366306027820754E-2</v>
      </c>
      <c r="L10" s="13">
        <f>'Difference to PCL'!K54</f>
        <v>-3.6392405063291111E-2</v>
      </c>
      <c r="M10" s="13">
        <f>'Difference to PCL'!L54</f>
        <v>-2.2471910112359605E-2</v>
      </c>
      <c r="N10" s="13">
        <f>'Difference to PCL'!M54</f>
        <v>-2.9126213592232997E-2</v>
      </c>
      <c r="O10" s="13">
        <f>'Difference to PCL'!N54</f>
        <v>-9.7087378640776656E-3</v>
      </c>
      <c r="P10" s="13">
        <f>'Difference to PCL'!O54</f>
        <v>-3.3003300330032959E-2</v>
      </c>
      <c r="Q10" s="13">
        <f>'Difference to PCL'!P54</f>
        <v>-1.9801980198019709E-2</v>
      </c>
      <c r="R10" s="13">
        <f>'Difference to PCL'!Q54</f>
        <v>-1.8181818181818077E-2</v>
      </c>
      <c r="S10" s="13">
        <f>'Difference to PCL'!R54</f>
        <v>-3.3500837520938909E-3</v>
      </c>
      <c r="T10" s="13">
        <f>'Difference to PCL'!S54</f>
        <v>-1.6778523489933028E-2</v>
      </c>
      <c r="U10" s="13">
        <f>'Difference to PCL'!T54</f>
        <v>-1.4950166112956853E-2</v>
      </c>
      <c r="V10" s="13">
        <f>'Difference to PCL'!U54</f>
        <v>-1.9900497512437831E-2</v>
      </c>
    </row>
    <row r="11" spans="1:22" ht="13.15" hidden="1" outlineLevel="1" x14ac:dyDescent="0.35">
      <c r="E11" s="1" t="s">
        <v>34</v>
      </c>
      <c r="F11" s="1" t="s">
        <v>55</v>
      </c>
      <c r="G11" s="21"/>
      <c r="H11" s="21"/>
      <c r="I11" s="30"/>
      <c r="K11" s="13">
        <f>'Difference to PCL'!J55</f>
        <v>0</v>
      </c>
      <c r="L11" s="13">
        <f>'Difference to PCL'!K55</f>
        <v>0</v>
      </c>
      <c r="M11" s="13">
        <f>'Difference to PCL'!L55</f>
        <v>-0.25</v>
      </c>
      <c r="N11" s="13">
        <f>'Difference to PCL'!M55</f>
        <v>0</v>
      </c>
      <c r="O11" s="13">
        <f>'Difference to PCL'!N55</f>
        <v>0</v>
      </c>
      <c r="P11" s="13">
        <f>'Difference to PCL'!O55</f>
        <v>0</v>
      </c>
      <c r="Q11" s="13">
        <f>'Difference to PCL'!P55</f>
        <v>0</v>
      </c>
      <c r="R11" s="13">
        <f>'Difference to PCL'!Q55</f>
        <v>0</v>
      </c>
      <c r="S11" s="13">
        <f>'Difference to PCL'!R55</f>
        <v>0</v>
      </c>
      <c r="T11" s="13">
        <f>'Difference to PCL'!S55</f>
        <v>-2.1276595744680882E-2</v>
      </c>
      <c r="U11" s="13">
        <f>'Difference to PCL'!T55</f>
        <v>-2.1739130434782705E-2</v>
      </c>
      <c r="V11" s="13">
        <f>'Difference to PCL'!U55</f>
        <v>0</v>
      </c>
    </row>
    <row r="12" spans="1:22" ht="13.15" hidden="1" outlineLevel="1" x14ac:dyDescent="0.35">
      <c r="E12" s="1" t="s">
        <v>35</v>
      </c>
      <c r="F12" s="1" t="s">
        <v>55</v>
      </c>
      <c r="G12" s="21"/>
      <c r="H12" s="21"/>
      <c r="I12" s="30"/>
      <c r="K12" s="13" t="str">
        <f>'Difference to PCL'!J56</f>
        <v/>
      </c>
      <c r="L12" s="13" t="str">
        <f>'Difference to PCL'!K56</f>
        <v/>
      </c>
      <c r="M12" s="13" t="str">
        <f>'Difference to PCL'!L56</f>
        <v/>
      </c>
      <c r="N12" s="13" t="str">
        <f>'Difference to PCL'!M56</f>
        <v/>
      </c>
      <c r="O12" s="13" t="str">
        <f>'Difference to PCL'!N56</f>
        <v/>
      </c>
      <c r="P12" s="13">
        <f>'Difference to PCL'!O56</f>
        <v>-4.0000000000000036E-2</v>
      </c>
      <c r="Q12" s="13">
        <f>'Difference to PCL'!P56</f>
        <v>-5.0000000000000044E-3</v>
      </c>
      <c r="R12" s="13">
        <f>'Difference to PCL'!Q56</f>
        <v>-3.4313725490196179E-2</v>
      </c>
      <c r="S12" s="13">
        <f>'Difference to PCL'!R56</f>
        <v>-4.8780487804878092E-3</v>
      </c>
      <c r="T12" s="13">
        <f>'Difference to PCL'!S56</f>
        <v>-1.9607843137254943E-2</v>
      </c>
      <c r="U12" s="13">
        <f>'Difference to PCL'!T56</f>
        <v>-1.4705882352941124E-2</v>
      </c>
      <c r="V12" s="13">
        <f>'Difference to PCL'!U56</f>
        <v>-1.4563106796116498E-2</v>
      </c>
    </row>
    <row r="13" spans="1:22" ht="13.15" hidden="1" outlineLevel="1" x14ac:dyDescent="0.35">
      <c r="E13" s="1" t="s">
        <v>37</v>
      </c>
      <c r="F13" s="1" t="s">
        <v>55</v>
      </c>
      <c r="G13" s="21"/>
      <c r="H13" s="21"/>
      <c r="I13" s="30"/>
      <c r="K13" s="13" t="str">
        <f>'Difference to PCL'!J57</f>
        <v/>
      </c>
      <c r="L13" s="13" t="str">
        <f>'Difference to PCL'!K57</f>
        <v/>
      </c>
      <c r="M13" s="13" t="str">
        <f>'Difference to PCL'!L57</f>
        <v/>
      </c>
      <c r="N13" s="13" t="str">
        <f>'Difference to PCL'!M57</f>
        <v/>
      </c>
      <c r="O13" s="13" t="str">
        <f>'Difference to PCL'!N57</f>
        <v/>
      </c>
      <c r="P13" s="13">
        <f>'Difference to PCL'!O57</f>
        <v>-3.6855036855036882E-3</v>
      </c>
      <c r="Q13" s="13">
        <f>'Difference to PCL'!P57</f>
        <v>-1.5768725361366642E-2</v>
      </c>
      <c r="R13" s="13">
        <f>'Difference to PCL'!Q57</f>
        <v>-3.9421813403416328E-3</v>
      </c>
      <c r="S13" s="13">
        <f>'Difference to PCL'!R57</f>
        <v>-3.9735099337748769E-3</v>
      </c>
      <c r="T13" s="13">
        <f>'Difference to PCL'!S57</f>
        <v>-6.6755674232310547E-3</v>
      </c>
      <c r="U13" s="13">
        <f>'Difference to PCL'!T57</f>
        <v>-6.7204301075268758E-3</v>
      </c>
      <c r="V13" s="13">
        <f>'Difference to PCL'!U57</f>
        <v>-5.3763440860215006E-3</v>
      </c>
    </row>
    <row r="14" spans="1:22" ht="13.15" hidden="1" outlineLevel="1" x14ac:dyDescent="0.35">
      <c r="E14" s="1" t="s">
        <v>38</v>
      </c>
      <c r="F14" s="1" t="s">
        <v>55</v>
      </c>
      <c r="G14" s="21"/>
      <c r="H14" s="21"/>
      <c r="I14" s="30"/>
      <c r="K14" s="13">
        <f>'Difference to PCL'!J58</f>
        <v>-3.5143769968051131E-2</v>
      </c>
      <c r="L14" s="13">
        <f>'Difference to PCL'!K58</f>
        <v>-6.7307692307692291E-2</v>
      </c>
      <c r="M14" s="13">
        <f>'Difference to PCL'!L58</f>
        <v>-3.8585209003215382E-2</v>
      </c>
      <c r="N14" s="13">
        <f>'Difference to PCL'!M58</f>
        <v>-4.4728434504792358E-2</v>
      </c>
      <c r="O14" s="13">
        <f>'Difference to PCL'!N58</f>
        <v>-1.9230769230769384E-2</v>
      </c>
      <c r="P14" s="13">
        <f>'Difference to PCL'!O58</f>
        <v>-2.9032258064516148E-2</v>
      </c>
      <c r="Q14" s="13">
        <f>'Difference to PCL'!P58</f>
        <v>-1.2779552715655007E-2</v>
      </c>
      <c r="R14" s="13">
        <f>'Difference to PCL'!Q58</f>
        <v>-1.2861736334405127E-2</v>
      </c>
      <c r="S14" s="13">
        <f>'Difference to PCL'!R58</f>
        <v>-9.6463022508038732E-3</v>
      </c>
      <c r="T14" s="13">
        <f>'Difference to PCL'!S58</f>
        <v>-2.5396825396825418E-2</v>
      </c>
      <c r="U14" s="13">
        <f>'Difference to PCL'!T58</f>
        <v>-6.3492063492063266E-3</v>
      </c>
      <c r="V14" s="13">
        <f>'Difference to PCL'!U58</f>
        <v>-3.8095238095238071E-2</v>
      </c>
    </row>
    <row r="15" spans="1:22" ht="13.15" hidden="1" outlineLevel="1" x14ac:dyDescent="0.35">
      <c r="E15" s="1" t="s">
        <v>39</v>
      </c>
      <c r="F15" s="1" t="s">
        <v>55</v>
      </c>
      <c r="G15" s="21"/>
      <c r="H15" s="21"/>
      <c r="I15" s="30"/>
      <c r="K15" s="13">
        <f>'Difference to PCL'!J59</f>
        <v>-3.716216216216206E-2</v>
      </c>
      <c r="L15" s="13">
        <f>'Difference to PCL'!K59</f>
        <v>-4.7021943573667735E-2</v>
      </c>
      <c r="M15" s="13">
        <f>'Difference to PCL'!L59</f>
        <v>-1.8987341772151889E-2</v>
      </c>
      <c r="N15" s="13">
        <f>'Difference to PCL'!M59</f>
        <v>-1.6077170418006381E-2</v>
      </c>
      <c r="O15" s="13">
        <f>'Difference to PCL'!N59</f>
        <v>-1.2779552715655007E-2</v>
      </c>
      <c r="P15" s="13">
        <f>'Difference to PCL'!O59</f>
        <v>-1.8292682926829285E-2</v>
      </c>
      <c r="Q15" s="13">
        <f>'Difference to PCL'!P59</f>
        <v>-9.009009009009028E-3</v>
      </c>
      <c r="R15" s="13">
        <f>'Difference to PCL'!Q59</f>
        <v>-1.1904761904761862E-2</v>
      </c>
      <c r="S15" s="13">
        <f>'Difference to PCL'!R59</f>
        <v>-2.9411764705882359E-2</v>
      </c>
      <c r="T15" s="13">
        <f>'Difference to PCL'!S59</f>
        <v>-2.0588235294117685E-2</v>
      </c>
      <c r="U15" s="13">
        <f>'Difference to PCL'!T59</f>
        <v>-1.7857142857142905E-2</v>
      </c>
      <c r="V15" s="13">
        <f>'Difference to PCL'!U59</f>
        <v>-5.9523809523809312E-3</v>
      </c>
    </row>
    <row r="16" spans="1:22" ht="13.15" hidden="1" outlineLevel="1" x14ac:dyDescent="0.35">
      <c r="E16" s="1" t="s">
        <v>40</v>
      </c>
      <c r="F16" s="1" t="s">
        <v>55</v>
      </c>
      <c r="G16" s="21"/>
      <c r="H16" s="21"/>
      <c r="I16" s="30"/>
      <c r="K16" s="13">
        <f>'Difference to PCL'!J60</f>
        <v>-7.9155672823219003E-3</v>
      </c>
      <c r="L16" s="13">
        <f>'Difference to PCL'!K60</f>
        <v>-4.4270833333333481E-2</v>
      </c>
      <c r="M16" s="13">
        <f>'Difference to PCL'!L60</f>
        <v>-1.308900523560208E-2</v>
      </c>
      <c r="N16" s="13">
        <f>'Difference to PCL'!M60</f>
        <v>-7.8947368421053987E-3</v>
      </c>
      <c r="O16" s="13">
        <f>'Difference to PCL'!N60</f>
        <v>-2.0887728459530019E-2</v>
      </c>
      <c r="P16" s="13">
        <f>'Difference to PCL'!O60</f>
        <v>-5.2219321148825326E-3</v>
      </c>
      <c r="Q16" s="13">
        <f>'Difference to PCL'!P60</f>
        <v>-1.0416666666666519E-2</v>
      </c>
      <c r="R16" s="13">
        <f>'Difference to PCL'!Q60</f>
        <v>-2.5974025974025983E-3</v>
      </c>
      <c r="S16" s="13">
        <f>'Difference to PCL'!R60</f>
        <v>-2.5974025974025983E-3</v>
      </c>
      <c r="T16" s="13">
        <f>'Difference to PCL'!S60</f>
        <v>-1.0416666666666519E-2</v>
      </c>
      <c r="U16" s="13">
        <f>'Difference to PCL'!T60</f>
        <v>-5.2083333333334814E-3</v>
      </c>
      <c r="V16" s="13">
        <f>'Difference to PCL'!U60</f>
        <v>-7.8125E-3</v>
      </c>
    </row>
    <row r="17" spans="1:22" ht="13.15" hidden="1" outlineLevel="1" x14ac:dyDescent="0.35">
      <c r="E17" s="1" t="s">
        <v>57</v>
      </c>
      <c r="F17" s="1" t="s">
        <v>55</v>
      </c>
      <c r="G17" s="21"/>
      <c r="H17" s="21"/>
      <c r="I17" s="30"/>
      <c r="K17" s="13">
        <f>'Difference to PCL'!J61</f>
        <v>-8.3565459610028814E-3</v>
      </c>
      <c r="L17" s="13">
        <f>'Difference to PCL'!K61</f>
        <v>-1.3927576601671321E-2</v>
      </c>
      <c r="M17" s="13">
        <f>'Difference to PCL'!L61</f>
        <v>-1.6666666666666718E-2</v>
      </c>
      <c r="N17" s="13">
        <f>'Difference to PCL'!M61</f>
        <v>-2.7932960893854775E-2</v>
      </c>
      <c r="O17" s="13">
        <f>'Difference to PCL'!N61</f>
        <v>-2.6252983293555965E-2</v>
      </c>
      <c r="P17" s="13">
        <f>'Difference to PCL'!O61</f>
        <v>-1.2376237623762498E-2</v>
      </c>
      <c r="Q17" s="13">
        <f>'Difference to PCL'!P61</f>
        <v>-1.2626262626262652E-2</v>
      </c>
      <c r="R17" s="13">
        <f>'Difference to PCL'!Q61</f>
        <v>-1.5306122448979553E-2</v>
      </c>
      <c r="S17" s="13">
        <f>'Difference to PCL'!R61</f>
        <v>-2.5188916876573986E-3</v>
      </c>
      <c r="T17" s="13">
        <f>'Difference to PCL'!S61</f>
        <v>-1.0230179028132946E-2</v>
      </c>
      <c r="U17" s="13">
        <f>'Difference to PCL'!T61</f>
        <v>-1.546391752577303E-2</v>
      </c>
      <c r="V17" s="13">
        <f>'Difference to PCL'!U61</f>
        <v>-1.0309278350515427E-2</v>
      </c>
    </row>
    <row r="18" spans="1:22" ht="13.15" hidden="1" outlineLevel="1" x14ac:dyDescent="0.35">
      <c r="E18" s="1" t="s">
        <v>42</v>
      </c>
      <c r="F18" s="1" t="s">
        <v>55</v>
      </c>
      <c r="G18" s="21"/>
      <c r="H18" s="21"/>
      <c r="I18" s="30"/>
      <c r="K18" s="13">
        <f>'Difference to PCL'!J62</f>
        <v>-3.2894736842105088E-3</v>
      </c>
      <c r="L18" s="13">
        <f>'Difference to PCL'!K62</f>
        <v>-9.8360655737704805E-3</v>
      </c>
      <c r="M18" s="13">
        <f>'Difference to PCL'!L62</f>
        <v>-3.3222591362125353E-3</v>
      </c>
      <c r="N18" s="13">
        <f>'Difference to PCL'!M62</f>
        <v>-3.3333333333332993E-3</v>
      </c>
      <c r="O18" s="13">
        <f>'Difference to PCL'!N62</f>
        <v>-6.2893081761007386E-3</v>
      </c>
      <c r="P18" s="13">
        <f>'Difference to PCL'!O62</f>
        <v>-9.8039215686273051E-3</v>
      </c>
      <c r="Q18" s="13">
        <f>'Difference to PCL'!P62</f>
        <v>0</v>
      </c>
      <c r="R18" s="13">
        <f>'Difference to PCL'!Q62</f>
        <v>-1.538461538461533E-2</v>
      </c>
      <c r="S18" s="13">
        <f>'Difference to PCL'!R62</f>
        <v>-9.2307692307691536E-3</v>
      </c>
      <c r="T18" s="13">
        <f>'Difference to PCL'!S62</f>
        <v>0</v>
      </c>
      <c r="U18" s="13">
        <f>'Difference to PCL'!T62</f>
        <v>-6.4935064935063291E-3</v>
      </c>
      <c r="V18" s="13">
        <f>'Difference to PCL'!U62</f>
        <v>-9.7402597402598268E-3</v>
      </c>
    </row>
    <row r="19" spans="1:22" ht="13.15" hidden="1" outlineLevel="1" x14ac:dyDescent="0.35">
      <c r="E19" s="1" t="s">
        <v>43</v>
      </c>
      <c r="F19" s="1" t="s">
        <v>55</v>
      </c>
      <c r="G19" s="21"/>
      <c r="H19" s="21"/>
      <c r="I19" s="30"/>
      <c r="K19" s="13">
        <f>'Difference to PCL'!J63</f>
        <v>-2.7210884353741527E-2</v>
      </c>
      <c r="L19" s="13">
        <f>'Difference to PCL'!K63</f>
        <v>-2.0202020202020221E-2</v>
      </c>
      <c r="M19" s="13">
        <f>'Difference to PCL'!L63</f>
        <v>-6.6889632107023367E-3</v>
      </c>
      <c r="N19" s="13">
        <f>'Difference to PCL'!M63</f>
        <v>-6.7796610169491567E-3</v>
      </c>
      <c r="O19" s="13">
        <f>'Difference to PCL'!N63</f>
        <v>-2.8301886792452824E-2</v>
      </c>
      <c r="P19" s="13">
        <f>'Difference to PCL'!O63</f>
        <v>-2.2292993630573243E-2</v>
      </c>
      <c r="Q19" s="13">
        <f>'Difference to PCL'!P63</f>
        <v>-2.5477707006369421E-2</v>
      </c>
      <c r="R19" s="13">
        <f>'Difference to PCL'!Q63</f>
        <v>-2.5316455696202556E-2</v>
      </c>
      <c r="S19" s="13">
        <f>'Difference to PCL'!R63</f>
        <v>-9.6153846153845812E-3</v>
      </c>
      <c r="T19" s="13">
        <f>'Difference to PCL'!S63</f>
        <v>-9.6774193548386789E-3</v>
      </c>
      <c r="U19" s="13">
        <f>'Difference to PCL'!T63</f>
        <v>-3.1948881789137795E-3</v>
      </c>
      <c r="V19" s="13">
        <f>'Difference to PCL'!U63</f>
        <v>-9.5846645367412275E-3</v>
      </c>
    </row>
    <row r="20" spans="1:22" ht="13.15" hidden="1" outlineLevel="1" x14ac:dyDescent="0.35">
      <c r="E20" s="1" t="s">
        <v>44</v>
      </c>
      <c r="F20" s="1" t="s">
        <v>55</v>
      </c>
      <c r="G20" s="21"/>
      <c r="H20" s="21"/>
      <c r="I20" s="30"/>
      <c r="K20" s="13">
        <f>'Difference to PCL'!J64</f>
        <v>0</v>
      </c>
      <c r="L20" s="13">
        <f>'Difference to PCL'!K64</f>
        <v>0</v>
      </c>
      <c r="M20" s="13">
        <f>'Difference to PCL'!L64</f>
        <v>0</v>
      </c>
      <c r="N20" s="13">
        <f>'Difference to PCL'!M64</f>
        <v>0</v>
      </c>
      <c r="O20" s="13">
        <f>'Difference to PCL'!N64</f>
        <v>0</v>
      </c>
      <c r="P20" s="13">
        <f>'Difference to PCL'!O64</f>
        <v>0</v>
      </c>
      <c r="Q20" s="13">
        <f>'Difference to PCL'!P64</f>
        <v>0</v>
      </c>
      <c r="R20" s="13">
        <f>'Difference to PCL'!Q64</f>
        <v>0</v>
      </c>
      <c r="S20" s="13">
        <f>'Difference to PCL'!R64</f>
        <v>-2.3809523809523836E-2</v>
      </c>
      <c r="T20" s="13">
        <f>'Difference to PCL'!S64</f>
        <v>-3.2258064516129004E-2</v>
      </c>
      <c r="U20" s="13">
        <f>'Difference to PCL'!T64</f>
        <v>-3.2258064516129004E-2</v>
      </c>
      <c r="V20" s="13">
        <f>'Difference to PCL'!U64</f>
        <v>0</v>
      </c>
    </row>
    <row r="21" spans="1:22" ht="13.15" hidden="1" outlineLevel="1" x14ac:dyDescent="0.35">
      <c r="E21" s="1" t="s">
        <v>45</v>
      </c>
      <c r="F21" s="1" t="s">
        <v>55</v>
      </c>
      <c r="G21" s="21"/>
      <c r="H21" s="21"/>
      <c r="I21" s="30"/>
      <c r="K21" s="13" t="str">
        <f>'Difference to PCL'!J65</f>
        <v/>
      </c>
      <c r="L21" s="13" t="str">
        <f>'Difference to PCL'!K65</f>
        <v/>
      </c>
      <c r="M21" s="13" t="str">
        <f>'Difference to PCL'!L65</f>
        <v/>
      </c>
      <c r="N21" s="13" t="str">
        <f>'Difference to PCL'!M65</f>
        <v/>
      </c>
      <c r="O21" s="13" t="str">
        <f>'Difference to PCL'!N65</f>
        <v/>
      </c>
      <c r="P21" s="13" t="str">
        <f>'Difference to PCL'!O65</f>
        <v/>
      </c>
      <c r="Q21" s="13" t="str">
        <f>'Difference to PCL'!P65</f>
        <v/>
      </c>
      <c r="R21" s="13">
        <f>'Difference to PCL'!Q65</f>
        <v>0</v>
      </c>
      <c r="S21" s="13">
        <f>'Difference to PCL'!R65</f>
        <v>0</v>
      </c>
      <c r="T21" s="13">
        <f>'Difference to PCL'!S65</f>
        <v>0</v>
      </c>
      <c r="U21" s="13">
        <f>'Difference to PCL'!T65</f>
        <v>0</v>
      </c>
      <c r="V21" s="13">
        <f>'Difference to PCL'!U65</f>
        <v>0</v>
      </c>
    </row>
    <row r="22" spans="1:22" ht="13.15" hidden="1" outlineLevel="1" x14ac:dyDescent="0.35">
      <c r="E22" s="1" t="s">
        <v>46</v>
      </c>
      <c r="F22" s="1" t="s">
        <v>55</v>
      </c>
      <c r="G22" s="21"/>
      <c r="H22" s="21"/>
      <c r="I22" s="30"/>
      <c r="K22" s="13" t="str">
        <f>'Difference to PCL'!J66</f>
        <v/>
      </c>
      <c r="L22" s="13" t="str">
        <f>'Difference to PCL'!K66</f>
        <v/>
      </c>
      <c r="M22" s="13" t="str">
        <f>'Difference to PCL'!L66</f>
        <v/>
      </c>
      <c r="N22" s="13" t="str">
        <f>'Difference to PCL'!M66</f>
        <v/>
      </c>
      <c r="O22" s="13" t="str">
        <f>'Difference to PCL'!N66</f>
        <v/>
      </c>
      <c r="P22" s="13" t="str">
        <f>'Difference to PCL'!O66</f>
        <v/>
      </c>
      <c r="Q22" s="13" t="str">
        <f>'Difference to PCL'!P66</f>
        <v/>
      </c>
      <c r="R22" s="13">
        <f>'Difference to PCL'!Q66</f>
        <v>-6.8965517241379337E-2</v>
      </c>
      <c r="S22" s="13">
        <f>'Difference to PCL'!R66</f>
        <v>0</v>
      </c>
      <c r="T22" s="13">
        <f>'Difference to PCL'!S66</f>
        <v>-0.13793103448275867</v>
      </c>
      <c r="U22" s="13">
        <f>'Difference to PCL'!T66</f>
        <v>-0.13793103448275867</v>
      </c>
      <c r="V22" s="13">
        <f>'Difference to PCL'!U66</f>
        <v>-3.4482758620689724E-2</v>
      </c>
    </row>
    <row r="23" spans="1:22" ht="13.15" hidden="1" outlineLevel="1" x14ac:dyDescent="0.35">
      <c r="E23" s="1" t="s">
        <v>47</v>
      </c>
      <c r="F23" s="1" t="s">
        <v>55</v>
      </c>
      <c r="G23" s="21"/>
      <c r="H23" s="21"/>
      <c r="I23" s="30"/>
      <c r="K23" s="13">
        <f>'Difference to PCL'!J67</f>
        <v>0</v>
      </c>
      <c r="L23" s="13">
        <f>'Difference to PCL'!K67</f>
        <v>0</v>
      </c>
      <c r="M23" s="13">
        <f>'Difference to PCL'!L67</f>
        <v>0</v>
      </c>
      <c r="N23" s="13">
        <f>'Difference to PCL'!M67</f>
        <v>0</v>
      </c>
      <c r="O23" s="13">
        <f>'Difference to PCL'!N67</f>
        <v>0</v>
      </c>
      <c r="P23" s="13">
        <f>'Difference to PCL'!O67</f>
        <v>-0.16666666666666652</v>
      </c>
      <c r="Q23" s="13">
        <f>'Difference to PCL'!P67</f>
        <v>0</v>
      </c>
      <c r="R23" s="13">
        <f>'Difference to PCL'!Q67</f>
        <v>0</v>
      </c>
      <c r="S23" s="13">
        <f>'Difference to PCL'!R67</f>
        <v>0</v>
      </c>
      <c r="T23" s="13">
        <f>'Difference to PCL'!S67</f>
        <v>0</v>
      </c>
      <c r="U23" s="13">
        <f>'Difference to PCL'!T67</f>
        <v>0</v>
      </c>
      <c r="V23" s="13">
        <f>'Difference to PCL'!U67</f>
        <v>-0.16666666666666652</v>
      </c>
    </row>
    <row r="24" spans="1:22" ht="13.15" hidden="1" outlineLevel="1" x14ac:dyDescent="0.35">
      <c r="E24" s="1" t="s">
        <v>48</v>
      </c>
      <c r="F24" s="1" t="s">
        <v>55</v>
      </c>
      <c r="G24" s="21"/>
      <c r="H24" s="21"/>
      <c r="I24" s="30"/>
      <c r="K24" s="13" t="str">
        <f>'Difference to PCL'!J68</f>
        <v/>
      </c>
      <c r="L24" s="13">
        <f>'Difference to PCL'!K68</f>
        <v>-2.6315789473684292E-2</v>
      </c>
      <c r="M24" s="13">
        <f>'Difference to PCL'!L68</f>
        <v>-7.8947368421052655E-2</v>
      </c>
      <c r="N24" s="13">
        <f>'Difference to PCL'!M68</f>
        <v>-1.3157894736842146E-2</v>
      </c>
      <c r="O24" s="13">
        <f>'Difference to PCL'!N68</f>
        <v>-6.5789473684210509E-2</v>
      </c>
      <c r="P24" s="13">
        <f>'Difference to PCL'!O68</f>
        <v>-5.2631578947368474E-2</v>
      </c>
      <c r="Q24" s="13">
        <f>'Difference to PCL'!P68</f>
        <v>-3.9473684210526327E-2</v>
      </c>
      <c r="R24" s="13">
        <f>'Difference to PCL'!Q68</f>
        <v>-3.9473684210526327E-2</v>
      </c>
      <c r="S24" s="13">
        <f>'Difference to PCL'!R68</f>
        <v>-1.3157894736842146E-2</v>
      </c>
      <c r="T24" s="13">
        <f>'Difference to PCL'!S68</f>
        <v>-2.6315789473684292E-2</v>
      </c>
      <c r="U24" s="13">
        <f>'Difference to PCL'!T68</f>
        <v>-7.8947368421052655E-2</v>
      </c>
      <c r="V24" s="13">
        <f>'Difference to PCL'!U68</f>
        <v>-7.8947368421052655E-2</v>
      </c>
    </row>
    <row r="25" spans="1:22" ht="13.15" hidden="1" outlineLevel="1" x14ac:dyDescent="0.35">
      <c r="E25" s="1" t="s">
        <v>49</v>
      </c>
      <c r="F25" s="1" t="s">
        <v>55</v>
      </c>
      <c r="G25" s="21"/>
      <c r="H25" s="21"/>
      <c r="I25" s="30"/>
      <c r="K25" s="13">
        <f>'Difference to PCL'!J69</f>
        <v>0</v>
      </c>
      <c r="L25" s="13">
        <f>'Difference to PCL'!K69</f>
        <v>0</v>
      </c>
      <c r="M25" s="13">
        <f>'Difference to PCL'!L69</f>
        <v>0</v>
      </c>
      <c r="N25" s="13">
        <f>'Difference to PCL'!M69</f>
        <v>0</v>
      </c>
      <c r="O25" s="13">
        <f>'Difference to PCL'!N69</f>
        <v>0</v>
      </c>
      <c r="P25" s="13">
        <f>'Difference to PCL'!O69</f>
        <v>0</v>
      </c>
      <c r="Q25" s="13">
        <f>'Difference to PCL'!P69</f>
        <v>0</v>
      </c>
      <c r="R25" s="13">
        <f>'Difference to PCL'!Q69</f>
        <v>0</v>
      </c>
      <c r="S25" s="13">
        <f>'Difference to PCL'!R69</f>
        <v>0</v>
      </c>
      <c r="T25" s="13">
        <f>'Difference to PCL'!S69</f>
        <v>0</v>
      </c>
      <c r="U25" s="13">
        <f>'Difference to PCL'!T69</f>
        <v>0</v>
      </c>
      <c r="V25" s="13">
        <f>'Difference to PCL'!U69</f>
        <v>0</v>
      </c>
    </row>
    <row r="26" spans="1:22" collapsed="1" x14ac:dyDescent="0.45">
      <c r="K26" s="11"/>
    </row>
    <row r="27" spans="1:22" x14ac:dyDescent="0.45"/>
    <row r="28" spans="1:22" s="63" customFormat="1" ht="13.15" x14ac:dyDescent="0.35">
      <c r="A28" s="63" t="s">
        <v>70</v>
      </c>
    </row>
    <row r="29" spans="1:22" ht="13.15" x14ac:dyDescent="0.35">
      <c r="E29" s="1"/>
    </row>
    <row r="30" spans="1:22" ht="13.15" x14ac:dyDescent="0.35">
      <c r="B30" s="6" t="s">
        <v>71</v>
      </c>
      <c r="E30" s="1"/>
    </row>
    <row r="31" spans="1:22" ht="13.15" x14ac:dyDescent="0.35">
      <c r="B31" s="6"/>
      <c r="E31" s="1"/>
    </row>
    <row r="32" spans="1:22" ht="13.15" x14ac:dyDescent="0.35">
      <c r="E32" s="12" t="s">
        <v>29</v>
      </c>
      <c r="F32" s="1" t="s">
        <v>55</v>
      </c>
      <c r="G32" s="22" t="s">
        <v>72</v>
      </c>
      <c r="H32" s="24">
        <f>_xlfn.PERCENTILE.INC($K$9:$XFD$19,I32)</f>
        <v>-3.2644146767617892E-2</v>
      </c>
      <c r="I32" s="31">
        <v>0.1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5:21" ht="13.15" hidden="1" outlineLevel="1" x14ac:dyDescent="0.35">
      <c r="E33" s="12" t="s">
        <v>33</v>
      </c>
      <c r="F33" s="1" t="s">
        <v>55</v>
      </c>
      <c r="G33" s="23" t="s">
        <v>73</v>
      </c>
      <c r="H33" s="24">
        <f t="shared" ref="H33:H48" si="0">_xlfn.PERCENTILE.INC($K$9:$XFD$19,I33)</f>
        <v>-2.8260425429635857E-2</v>
      </c>
      <c r="I33" s="31">
        <v>0.15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5:21" ht="13.15" hidden="1" outlineLevel="1" x14ac:dyDescent="0.35">
      <c r="E34" s="12" t="s">
        <v>34</v>
      </c>
      <c r="F34" s="1" t="s">
        <v>55</v>
      </c>
      <c r="G34" s="23" t="s">
        <v>74</v>
      </c>
      <c r="H34" s="24">
        <f t="shared" si="0"/>
        <v>-2.5380751456700844E-2</v>
      </c>
      <c r="I34" s="31">
        <v>0.2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5:21" ht="13.15" hidden="1" outlineLevel="1" x14ac:dyDescent="0.35">
      <c r="E35" s="12" t="s">
        <v>35</v>
      </c>
      <c r="F35" s="1" t="s">
        <v>55</v>
      </c>
      <c r="G35" s="22" t="s">
        <v>75</v>
      </c>
      <c r="H35" s="24">
        <f t="shared" si="0"/>
        <v>-2.0812855168176936E-2</v>
      </c>
      <c r="I35" s="31">
        <v>0.25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5:21" ht="13.15" hidden="1" outlineLevel="1" x14ac:dyDescent="0.35">
      <c r="E36" s="12" t="s">
        <v>37</v>
      </c>
      <c r="F36" s="1" t="s">
        <v>55</v>
      </c>
      <c r="G36" s="23" t="s">
        <v>76</v>
      </c>
      <c r="H36" s="24">
        <f t="shared" si="0"/>
        <v>-1.9157740993184135E-2</v>
      </c>
      <c r="I36" s="31">
        <v>0.3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5:21" ht="13.15" hidden="1" outlineLevel="1" x14ac:dyDescent="0.35">
      <c r="E37" s="12" t="s">
        <v>38</v>
      </c>
      <c r="F37" s="1" t="s">
        <v>55</v>
      </c>
      <c r="G37" s="23" t="s">
        <v>77</v>
      </c>
      <c r="H37" s="24">
        <f t="shared" si="0"/>
        <v>-1.7652792820671556E-2</v>
      </c>
      <c r="I37" s="31">
        <v>0.35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5:21" ht="13.15" hidden="1" outlineLevel="1" x14ac:dyDescent="0.35">
      <c r="E38" s="12" t="s">
        <v>39</v>
      </c>
      <c r="F38" s="1" t="s">
        <v>55</v>
      </c>
      <c r="G38" s="22" t="s">
        <v>78</v>
      </c>
      <c r="H38" s="24">
        <f t="shared" si="0"/>
        <v>-1.5681330910599887E-2</v>
      </c>
      <c r="I38" s="31">
        <v>0.4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5:21" ht="13.15" hidden="1" outlineLevel="1" x14ac:dyDescent="0.35">
      <c r="E39" s="12" t="s">
        <v>40</v>
      </c>
      <c r="F39" s="1" t="s">
        <v>55</v>
      </c>
      <c r="G39" s="23" t="s">
        <v>79</v>
      </c>
      <c r="H39" s="24">
        <f t="shared" si="0"/>
        <v>-1.4641633352370042E-2</v>
      </c>
      <c r="I39" s="31">
        <v>0.45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5:21" ht="13.15" hidden="1" outlineLevel="1" x14ac:dyDescent="0.35">
      <c r="E40" s="12" t="s">
        <v>57</v>
      </c>
      <c r="F40" s="1" t="s">
        <v>55</v>
      </c>
      <c r="G40" s="23" t="s">
        <v>80</v>
      </c>
      <c r="H40" s="24">
        <f t="shared" si="0"/>
        <v>-1.2975370785003604E-2</v>
      </c>
      <c r="I40" s="31">
        <v>0.5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5:21" ht="13.15" hidden="1" outlineLevel="1" x14ac:dyDescent="0.35">
      <c r="E41" s="12" t="s">
        <v>42</v>
      </c>
      <c r="F41" s="1" t="s">
        <v>55</v>
      </c>
      <c r="G41" s="22" t="s">
        <v>81</v>
      </c>
      <c r="H41" s="24">
        <f t="shared" si="0"/>
        <v>-1.1086309523809406E-2</v>
      </c>
      <c r="I41" s="31">
        <v>0.55000000000000004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5:21" ht="13.15" hidden="1" outlineLevel="1" x14ac:dyDescent="0.35">
      <c r="E42" s="12" t="s">
        <v>43</v>
      </c>
      <c r="F42" s="1" t="s">
        <v>55</v>
      </c>
      <c r="G42" s="23" t="s">
        <v>82</v>
      </c>
      <c r="H42" s="24">
        <f t="shared" si="0"/>
        <v>-9.7657244716068178E-3</v>
      </c>
      <c r="I42" s="31">
        <v>0.6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5:21" ht="13.15" hidden="1" outlineLevel="1" x14ac:dyDescent="0.35">
      <c r="E43" s="12" t="s">
        <v>44</v>
      </c>
      <c r="F43" s="1" t="s">
        <v>55</v>
      </c>
      <c r="G43" s="23" t="s">
        <v>83</v>
      </c>
      <c r="H43" s="24">
        <f t="shared" si="0"/>
        <v>-9.3546325878593774E-3</v>
      </c>
      <c r="I43" s="31">
        <v>0.65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5:21" ht="13.15" hidden="1" outlineLevel="1" x14ac:dyDescent="0.35">
      <c r="E44" s="12" t="s">
        <v>45</v>
      </c>
      <c r="F44" s="1" t="s">
        <v>55</v>
      </c>
      <c r="G44" s="22" t="s">
        <v>84</v>
      </c>
      <c r="H44" s="24">
        <f t="shared" si="0"/>
        <v>-7.83717105263162E-3</v>
      </c>
      <c r="I44" s="31">
        <v>0.7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5:21" ht="13.15" hidden="1" outlineLevel="1" x14ac:dyDescent="0.35">
      <c r="E45" s="12" t="s">
        <v>46</v>
      </c>
      <c r="F45" s="1" t="s">
        <v>55</v>
      </c>
      <c r="G45" s="23" t="s">
        <v>85</v>
      </c>
      <c r="H45" s="24">
        <f t="shared" si="0"/>
        <v>-6.5390217259375105E-3</v>
      </c>
      <c r="I45" s="31">
        <v>0.75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5:21" ht="13.15" hidden="1" outlineLevel="1" x14ac:dyDescent="0.35">
      <c r="E46" s="12" t="s">
        <v>47</v>
      </c>
      <c r="F46" s="1" t="s">
        <v>55</v>
      </c>
      <c r="G46" s="23" t="s">
        <v>86</v>
      </c>
      <c r="H46" s="24">
        <f t="shared" si="0"/>
        <v>-5.2110530896432913E-3</v>
      </c>
      <c r="I46" s="31">
        <v>0.8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5:21" ht="13.15" hidden="1" outlineLevel="1" x14ac:dyDescent="0.35">
      <c r="E47" s="12" t="s">
        <v>48</v>
      </c>
      <c r="F47" s="1" t="s">
        <v>55</v>
      </c>
      <c r="G47" s="22" t="s">
        <v>87</v>
      </c>
      <c r="H47" s="24">
        <f t="shared" si="0"/>
        <v>-3.4003967421053624E-3</v>
      </c>
      <c r="I47" s="31">
        <v>0.85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5:21" ht="13.15" hidden="1" outlineLevel="1" x14ac:dyDescent="0.35">
      <c r="E48" s="12" t="s">
        <v>49</v>
      </c>
      <c r="F48" s="1" t="s">
        <v>55</v>
      </c>
      <c r="G48" s="23" t="s">
        <v>88</v>
      </c>
      <c r="H48" s="24">
        <f t="shared" si="0"/>
        <v>-2.5974025974025983E-3</v>
      </c>
      <c r="I48" s="31">
        <v>0.9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2:21" collapsed="1" x14ac:dyDescent="0.45">
      <c r="H49" s="25"/>
    </row>
    <row r="50" spans="2:21" ht="13.15" x14ac:dyDescent="0.35">
      <c r="B50" s="6" t="s">
        <v>89</v>
      </c>
      <c r="E50" s="1"/>
      <c r="H50" s="25"/>
    </row>
    <row r="51" spans="2:21" ht="13.15" x14ac:dyDescent="0.35">
      <c r="B51" s="6"/>
      <c r="E51" s="1"/>
      <c r="H51" s="25"/>
    </row>
    <row r="52" spans="2:21" ht="13.15" x14ac:dyDescent="0.35">
      <c r="E52" s="12" t="s">
        <v>29</v>
      </c>
      <c r="F52" s="1" t="s">
        <v>55</v>
      </c>
      <c r="G52" s="22" t="s">
        <v>72</v>
      </c>
      <c r="H52" s="24">
        <f>_xlfn.PERCENTILE.INC($K$20:$V$25,I52)</f>
        <v>-7.8947368421052655E-2</v>
      </c>
      <c r="I52" s="31">
        <v>0.1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2:21" ht="13.15" hidden="1" outlineLevel="1" x14ac:dyDescent="0.35">
      <c r="E53" s="12" t="s">
        <v>33</v>
      </c>
      <c r="F53" s="1" t="s">
        <v>55</v>
      </c>
      <c r="G53" s="23" t="s">
        <v>73</v>
      </c>
      <c r="H53" s="24">
        <f t="shared" ref="H53:H68" si="1">_xlfn.PERCENTILE.INC($K$20:$V$25,I53)</f>
        <v>-6.0526315789473692E-2</v>
      </c>
      <c r="I53" s="31">
        <v>0.15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2:21" ht="13.15" hidden="1" outlineLevel="1" x14ac:dyDescent="0.35">
      <c r="E54" s="12" t="s">
        <v>34</v>
      </c>
      <c r="F54" s="1" t="s">
        <v>55</v>
      </c>
      <c r="G54" s="23" t="s">
        <v>74</v>
      </c>
      <c r="H54" s="24">
        <f t="shared" si="1"/>
        <v>-3.8475499092558998E-2</v>
      </c>
      <c r="I54" s="31">
        <v>0.2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2:21" ht="13.15" hidden="1" outlineLevel="1" x14ac:dyDescent="0.35">
      <c r="E55" s="12" t="s">
        <v>35</v>
      </c>
      <c r="F55" s="1" t="s">
        <v>55</v>
      </c>
      <c r="G55" s="22" t="s">
        <v>75</v>
      </c>
      <c r="H55" s="24">
        <f t="shared" si="1"/>
        <v>-3.2258064516129004E-2</v>
      </c>
      <c r="I55" s="31">
        <v>0.25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2:21" ht="13.15" hidden="1" outlineLevel="1" x14ac:dyDescent="0.35">
      <c r="E56" s="12" t="s">
        <v>37</v>
      </c>
      <c r="F56" s="1" t="s">
        <v>55</v>
      </c>
      <c r="G56" s="23" t="s">
        <v>76</v>
      </c>
      <c r="H56" s="24">
        <f t="shared" si="1"/>
        <v>-2.4310776942355925E-2</v>
      </c>
      <c r="I56" s="31">
        <v>0.3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2:21" ht="13.15" hidden="1" outlineLevel="1" x14ac:dyDescent="0.35">
      <c r="E57" s="12" t="s">
        <v>38</v>
      </c>
      <c r="F57" s="1" t="s">
        <v>55</v>
      </c>
      <c r="G57" s="23" t="s">
        <v>77</v>
      </c>
      <c r="H57" s="24">
        <f t="shared" si="1"/>
        <v>-5.2631578947368862E-3</v>
      </c>
      <c r="I57" s="31">
        <v>0.35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2:21" ht="13.15" hidden="1" outlineLevel="1" x14ac:dyDescent="0.35">
      <c r="E58" s="12" t="s">
        <v>39</v>
      </c>
      <c r="F58" s="1" t="s">
        <v>55</v>
      </c>
      <c r="G58" s="22" t="s">
        <v>78</v>
      </c>
      <c r="H58" s="24">
        <f t="shared" si="1"/>
        <v>0</v>
      </c>
      <c r="I58" s="31">
        <v>0.4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2:21" ht="13.15" hidden="1" outlineLevel="1" x14ac:dyDescent="0.35">
      <c r="E59" s="12" t="s">
        <v>40</v>
      </c>
      <c r="F59" s="1" t="s">
        <v>55</v>
      </c>
      <c r="G59" s="23" t="s">
        <v>79</v>
      </c>
      <c r="H59" s="24">
        <f t="shared" si="1"/>
        <v>0</v>
      </c>
      <c r="I59" s="31">
        <v>0.45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2:21" ht="13.15" hidden="1" outlineLevel="1" x14ac:dyDescent="0.35">
      <c r="E60" s="12" t="s">
        <v>57</v>
      </c>
      <c r="F60" s="1" t="s">
        <v>55</v>
      </c>
      <c r="G60" s="23" t="s">
        <v>80</v>
      </c>
      <c r="H60" s="24">
        <f t="shared" si="1"/>
        <v>0</v>
      </c>
      <c r="I60" s="31">
        <v>0.5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2:21" ht="13.15" hidden="1" outlineLevel="1" x14ac:dyDescent="0.35">
      <c r="E61" s="12" t="s">
        <v>42</v>
      </c>
      <c r="F61" s="1" t="s">
        <v>55</v>
      </c>
      <c r="G61" s="22" t="s">
        <v>81</v>
      </c>
      <c r="H61" s="24">
        <f t="shared" si="1"/>
        <v>0</v>
      </c>
      <c r="I61" s="31">
        <v>0.55000000000000004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2:21" ht="13.15" hidden="1" outlineLevel="1" x14ac:dyDescent="0.35">
      <c r="E62" s="12" t="s">
        <v>43</v>
      </c>
      <c r="F62" s="1" t="s">
        <v>55</v>
      </c>
      <c r="G62" s="23" t="s">
        <v>82</v>
      </c>
      <c r="H62" s="24">
        <f t="shared" si="1"/>
        <v>0</v>
      </c>
      <c r="I62" s="31">
        <v>0.6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2:21" ht="13.15" hidden="1" outlineLevel="1" x14ac:dyDescent="0.35">
      <c r="E63" s="12" t="s">
        <v>44</v>
      </c>
      <c r="F63" s="1" t="s">
        <v>55</v>
      </c>
      <c r="G63" s="23" t="s">
        <v>83</v>
      </c>
      <c r="H63" s="24">
        <f t="shared" si="1"/>
        <v>0</v>
      </c>
      <c r="I63" s="31">
        <v>0.65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2:21" ht="13.15" hidden="1" outlineLevel="1" x14ac:dyDescent="0.35">
      <c r="E64" s="12" t="s">
        <v>45</v>
      </c>
      <c r="F64" s="1" t="s">
        <v>55</v>
      </c>
      <c r="G64" s="22" t="s">
        <v>84</v>
      </c>
      <c r="H64" s="24">
        <f t="shared" si="1"/>
        <v>0</v>
      </c>
      <c r="I64" s="31">
        <v>0.7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ht="13.15" hidden="1" outlineLevel="1" x14ac:dyDescent="0.35">
      <c r="E65" s="12" t="s">
        <v>46</v>
      </c>
      <c r="F65" s="1" t="s">
        <v>55</v>
      </c>
      <c r="G65" s="23" t="s">
        <v>85</v>
      </c>
      <c r="H65" s="24">
        <f t="shared" si="1"/>
        <v>0</v>
      </c>
      <c r="I65" s="31">
        <v>0.75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ht="13.15" hidden="1" outlineLevel="1" x14ac:dyDescent="0.35">
      <c r="E66" s="12" t="s">
        <v>47</v>
      </c>
      <c r="F66" s="1" t="s">
        <v>55</v>
      </c>
      <c r="G66" s="23" t="s">
        <v>86</v>
      </c>
      <c r="H66" s="24">
        <f t="shared" si="1"/>
        <v>0</v>
      </c>
      <c r="I66" s="31">
        <v>0.8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 ht="13.15" hidden="1" outlineLevel="1" x14ac:dyDescent="0.35">
      <c r="E67" s="12" t="s">
        <v>48</v>
      </c>
      <c r="F67" s="1" t="s">
        <v>55</v>
      </c>
      <c r="G67" s="22" t="s">
        <v>87</v>
      </c>
      <c r="H67" s="24">
        <f t="shared" si="1"/>
        <v>0</v>
      </c>
      <c r="I67" s="31">
        <v>0.85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 ht="13.15" hidden="1" outlineLevel="1" x14ac:dyDescent="0.35">
      <c r="E68" s="12" t="s">
        <v>49</v>
      </c>
      <c r="F68" s="1" t="s">
        <v>55</v>
      </c>
      <c r="G68" s="23" t="s">
        <v>88</v>
      </c>
      <c r="H68" s="24">
        <f t="shared" si="1"/>
        <v>0</v>
      </c>
      <c r="I68" s="31">
        <v>0.9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 collapsed="1" x14ac:dyDescent="0.45"/>
    <row r="70" spans="1:21" s="66" customFormat="1" ht="13.15" x14ac:dyDescent="0.4">
      <c r="A70" s="66" t="s">
        <v>61</v>
      </c>
      <c r="G70" s="68"/>
      <c r="H70" s="68"/>
      <c r="I70" s="68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5880-EC68-401C-8E27-32FEED2F2AEC}">
  <sheetPr codeName="Sheet10">
    <tabColor rgb="FF98C561"/>
  </sheetPr>
  <dimension ref="A1:L48"/>
  <sheetViews>
    <sheetView showGridLines="0" zoomScale="80" zoomScaleNormal="80" workbookViewId="0">
      <pane ySplit="5" topLeftCell="A7" activePane="bottomLeft" state="frozen"/>
      <selection activeCell="F9" sqref="F9"/>
      <selection pane="bottomLeft"/>
    </sheetView>
  </sheetViews>
  <sheetFormatPr defaultColWidth="0" defaultRowHeight="14.25" zeroHeight="1" outlineLevelRow="1" x14ac:dyDescent="0.45"/>
  <cols>
    <col min="1" max="1" width="1" style="6" customWidth="1"/>
    <col min="2" max="4" width="1" style="1" customWidth="1"/>
    <col min="5" max="5" width="9" style="58" customWidth="1"/>
    <col min="6" max="6" width="20.375" style="58" bestFit="1" customWidth="1"/>
    <col min="7" max="7" width="21.875" style="58" bestFit="1" customWidth="1"/>
    <col min="8" max="9" width="9" style="72" customWidth="1"/>
    <col min="10" max="10" width="2.25" style="58" customWidth="1"/>
    <col min="11" max="12" width="9" style="58" customWidth="1"/>
    <col min="13" max="16384" width="9" style="58" hidden="1"/>
  </cols>
  <sheetData>
    <row r="1" spans="1:11" s="4" customFormat="1" ht="30.75" x14ac:dyDescent="0.35">
      <c r="A1" s="4" t="str">
        <f ca="1">RIGHT(CELL("filename", A1), LEN(CELL("filename", A1)) - SEARCH("]", CELL("filename", A1)))</f>
        <v>Final Output</v>
      </c>
      <c r="D1" s="5"/>
      <c r="H1" s="17"/>
      <c r="I1" s="17"/>
    </row>
    <row r="2" spans="1:11" s="1" customFormat="1" ht="13.15" x14ac:dyDescent="0.35">
      <c r="A2" s="6"/>
      <c r="H2" s="18"/>
      <c r="I2" s="18"/>
    </row>
    <row r="3" spans="1:11" s="1" customFormat="1" ht="13.15" x14ac:dyDescent="0.35">
      <c r="A3" s="6"/>
      <c r="E3" s="7" t="s">
        <v>50</v>
      </c>
      <c r="F3" s="7" t="s">
        <v>51</v>
      </c>
      <c r="G3" s="7" t="s">
        <v>52</v>
      </c>
      <c r="H3" s="19" t="s">
        <v>13</v>
      </c>
      <c r="I3" s="19" t="s">
        <v>66</v>
      </c>
      <c r="K3" s="7" t="s">
        <v>67</v>
      </c>
    </row>
    <row r="4" spans="1:11" s="1" customFormat="1" ht="13.15" x14ac:dyDescent="0.35">
      <c r="A4" s="6"/>
      <c r="F4" s="6"/>
      <c r="H4" s="18"/>
      <c r="I4" s="18"/>
    </row>
    <row r="5" spans="1:11" s="1" customFormat="1" ht="13.15" x14ac:dyDescent="0.35">
      <c r="A5" s="6"/>
      <c r="H5" s="18"/>
      <c r="I5" s="18"/>
      <c r="J5" s="3"/>
    </row>
    <row r="6" spans="1:11" s="1" customFormat="1" ht="13.15" x14ac:dyDescent="0.35">
      <c r="A6" s="6"/>
      <c r="H6" s="18"/>
      <c r="I6" s="18"/>
      <c r="J6" s="3"/>
    </row>
    <row r="7" spans="1:11" s="63" customFormat="1" ht="13.15" x14ac:dyDescent="0.35">
      <c r="A7" s="63" t="s">
        <v>90</v>
      </c>
    </row>
    <row r="8" spans="1:11" s="1" customFormat="1" ht="13.15" x14ac:dyDescent="0.35">
      <c r="A8" s="6"/>
      <c r="H8" s="18"/>
      <c r="I8" s="18"/>
    </row>
    <row r="9" spans="1:11" s="1" customFormat="1" ht="13.15" x14ac:dyDescent="0.35">
      <c r="A9" s="6"/>
      <c r="E9" s="9"/>
      <c r="F9" s="1" t="s">
        <v>55</v>
      </c>
      <c r="G9" s="32" t="s">
        <v>65</v>
      </c>
      <c r="H9" s="18" t="s">
        <v>32</v>
      </c>
      <c r="I9" s="18" t="s">
        <v>72</v>
      </c>
      <c r="J9" s="8"/>
      <c r="K9" s="13">
        <f>Percentiles!H32</f>
        <v>-3.2644146767617892E-2</v>
      </c>
    </row>
    <row r="10" spans="1:11" s="1" customFormat="1" ht="13.15" hidden="1" outlineLevel="1" x14ac:dyDescent="0.35">
      <c r="A10" s="6"/>
      <c r="E10" s="9"/>
      <c r="F10" s="1" t="s">
        <v>55</v>
      </c>
      <c r="G10" s="32" t="s">
        <v>65</v>
      </c>
      <c r="H10" s="18" t="s">
        <v>32</v>
      </c>
      <c r="I10" s="18" t="s">
        <v>73</v>
      </c>
      <c r="J10" s="8"/>
      <c r="K10" s="13">
        <f>Percentiles!H33</f>
        <v>-2.8260425429635857E-2</v>
      </c>
    </row>
    <row r="11" spans="1:11" s="1" customFormat="1" ht="13.15" hidden="1" outlineLevel="1" x14ac:dyDescent="0.35">
      <c r="A11" s="6"/>
      <c r="E11" s="9"/>
      <c r="F11" s="1" t="s">
        <v>55</v>
      </c>
      <c r="G11" s="32" t="s">
        <v>65</v>
      </c>
      <c r="H11" s="18" t="s">
        <v>32</v>
      </c>
      <c r="I11" s="18" t="s">
        <v>74</v>
      </c>
      <c r="J11" s="8"/>
      <c r="K11" s="13">
        <f>Percentiles!H34</f>
        <v>-2.5380751456700844E-2</v>
      </c>
    </row>
    <row r="12" spans="1:11" s="1" customFormat="1" ht="13.15" hidden="1" outlineLevel="1" x14ac:dyDescent="0.35">
      <c r="A12" s="6"/>
      <c r="E12" s="9"/>
      <c r="F12" s="1" t="s">
        <v>55</v>
      </c>
      <c r="G12" s="32" t="s">
        <v>65</v>
      </c>
      <c r="H12" s="18" t="s">
        <v>32</v>
      </c>
      <c r="I12" s="18" t="s">
        <v>75</v>
      </c>
      <c r="J12" s="8"/>
      <c r="K12" s="13">
        <f>Percentiles!H35</f>
        <v>-2.0812855168176936E-2</v>
      </c>
    </row>
    <row r="13" spans="1:11" s="1" customFormat="1" ht="13.15" hidden="1" outlineLevel="1" x14ac:dyDescent="0.35">
      <c r="A13" s="6"/>
      <c r="E13" s="9"/>
      <c r="F13" s="1" t="s">
        <v>55</v>
      </c>
      <c r="G13" s="32" t="s">
        <v>65</v>
      </c>
      <c r="H13" s="18" t="s">
        <v>32</v>
      </c>
      <c r="I13" s="18" t="s">
        <v>76</v>
      </c>
      <c r="J13" s="8"/>
      <c r="K13" s="13">
        <f>Percentiles!H36</f>
        <v>-1.9157740993184135E-2</v>
      </c>
    </row>
    <row r="14" spans="1:11" s="1" customFormat="1" ht="13.15" hidden="1" outlineLevel="1" x14ac:dyDescent="0.35">
      <c r="A14" s="6"/>
      <c r="E14" s="9"/>
      <c r="F14" s="1" t="s">
        <v>55</v>
      </c>
      <c r="G14" s="32" t="s">
        <v>65</v>
      </c>
      <c r="H14" s="18" t="s">
        <v>32</v>
      </c>
      <c r="I14" s="18" t="s">
        <v>77</v>
      </c>
      <c r="J14" s="8"/>
      <c r="K14" s="13">
        <f>Percentiles!H37</f>
        <v>-1.7652792820671556E-2</v>
      </c>
    </row>
    <row r="15" spans="1:11" s="1" customFormat="1" ht="13.15" hidden="1" outlineLevel="1" x14ac:dyDescent="0.35">
      <c r="A15" s="6"/>
      <c r="E15" s="9"/>
      <c r="F15" s="1" t="s">
        <v>55</v>
      </c>
      <c r="G15" s="32" t="s">
        <v>65</v>
      </c>
      <c r="H15" s="18" t="s">
        <v>32</v>
      </c>
      <c r="I15" s="18" t="s">
        <v>78</v>
      </c>
      <c r="J15" s="8"/>
      <c r="K15" s="13">
        <f>Percentiles!H38</f>
        <v>-1.5681330910599887E-2</v>
      </c>
    </row>
    <row r="16" spans="1:11" s="1" customFormat="1" ht="13.15" hidden="1" outlineLevel="1" x14ac:dyDescent="0.35">
      <c r="A16" s="6"/>
      <c r="E16" s="9"/>
      <c r="F16" s="1" t="s">
        <v>55</v>
      </c>
      <c r="G16" s="32" t="s">
        <v>65</v>
      </c>
      <c r="H16" s="18" t="s">
        <v>32</v>
      </c>
      <c r="I16" s="18" t="s">
        <v>79</v>
      </c>
      <c r="J16" s="8"/>
      <c r="K16" s="13">
        <f>Percentiles!H39</f>
        <v>-1.4641633352370042E-2</v>
      </c>
    </row>
    <row r="17" spans="1:12" s="1" customFormat="1" ht="13.15" hidden="1" outlineLevel="1" x14ac:dyDescent="0.35">
      <c r="A17" s="6"/>
      <c r="E17" s="9"/>
      <c r="F17" s="1" t="s">
        <v>55</v>
      </c>
      <c r="G17" s="32" t="s">
        <v>65</v>
      </c>
      <c r="H17" s="18" t="s">
        <v>32</v>
      </c>
      <c r="I17" s="18" t="s">
        <v>80</v>
      </c>
      <c r="J17" s="8"/>
      <c r="K17" s="13">
        <f>Percentiles!H40</f>
        <v>-1.2975370785003604E-2</v>
      </c>
    </row>
    <row r="18" spans="1:12" s="1" customFormat="1" ht="13.15" hidden="1" outlineLevel="1" x14ac:dyDescent="0.35">
      <c r="A18" s="6"/>
      <c r="E18" s="9"/>
      <c r="F18" s="1" t="s">
        <v>55</v>
      </c>
      <c r="G18" s="32" t="s">
        <v>65</v>
      </c>
      <c r="H18" s="18" t="s">
        <v>32</v>
      </c>
      <c r="I18" s="18" t="s">
        <v>81</v>
      </c>
      <c r="J18" s="8"/>
      <c r="K18" s="13">
        <f>Percentiles!H41</f>
        <v>-1.1086309523809406E-2</v>
      </c>
    </row>
    <row r="19" spans="1:12" s="1" customFormat="1" ht="13.15" hidden="1" outlineLevel="1" x14ac:dyDescent="0.35">
      <c r="A19" s="6"/>
      <c r="E19" s="9"/>
      <c r="F19" s="1" t="s">
        <v>55</v>
      </c>
      <c r="G19" s="32" t="s">
        <v>65</v>
      </c>
      <c r="H19" s="18" t="s">
        <v>32</v>
      </c>
      <c r="I19" s="18" t="s">
        <v>82</v>
      </c>
      <c r="J19" s="8"/>
      <c r="K19" s="13">
        <f>Percentiles!H42</f>
        <v>-9.7657244716068178E-3</v>
      </c>
    </row>
    <row r="20" spans="1:12" s="1" customFormat="1" ht="13.15" hidden="1" outlineLevel="1" x14ac:dyDescent="0.35">
      <c r="A20" s="6"/>
      <c r="E20" s="9"/>
      <c r="F20" s="1" t="s">
        <v>55</v>
      </c>
      <c r="G20" s="32" t="s">
        <v>65</v>
      </c>
      <c r="H20" s="18" t="s">
        <v>32</v>
      </c>
      <c r="I20" s="18" t="s">
        <v>83</v>
      </c>
      <c r="J20" s="8"/>
      <c r="K20" s="13">
        <f>Percentiles!H43</f>
        <v>-9.3546325878593774E-3</v>
      </c>
    </row>
    <row r="21" spans="1:12" s="1" customFormat="1" ht="13.15" hidden="1" outlineLevel="1" x14ac:dyDescent="0.35">
      <c r="A21" s="6"/>
      <c r="E21" s="9"/>
      <c r="F21" s="1" t="s">
        <v>55</v>
      </c>
      <c r="G21" s="32" t="s">
        <v>65</v>
      </c>
      <c r="H21" s="18" t="s">
        <v>32</v>
      </c>
      <c r="I21" s="18" t="s">
        <v>84</v>
      </c>
      <c r="J21" s="8"/>
      <c r="K21" s="13">
        <f>Percentiles!H44</f>
        <v>-7.83717105263162E-3</v>
      </c>
    </row>
    <row r="22" spans="1:12" s="1" customFormat="1" ht="13.15" hidden="1" outlineLevel="1" x14ac:dyDescent="0.35">
      <c r="A22" s="6"/>
      <c r="E22" s="9"/>
      <c r="F22" s="1" t="s">
        <v>55</v>
      </c>
      <c r="G22" s="32" t="s">
        <v>65</v>
      </c>
      <c r="H22" s="18" t="s">
        <v>32</v>
      </c>
      <c r="I22" s="18" t="s">
        <v>85</v>
      </c>
      <c r="J22" s="8"/>
      <c r="K22" s="13">
        <f>Percentiles!H45</f>
        <v>-6.5390217259375105E-3</v>
      </c>
    </row>
    <row r="23" spans="1:12" s="1" customFormat="1" ht="13.15" hidden="1" outlineLevel="1" x14ac:dyDescent="0.35">
      <c r="A23" s="6"/>
      <c r="E23" s="9"/>
      <c r="F23" s="1" t="s">
        <v>55</v>
      </c>
      <c r="G23" s="32" t="s">
        <v>65</v>
      </c>
      <c r="H23" s="18" t="s">
        <v>32</v>
      </c>
      <c r="I23" s="18" t="s">
        <v>86</v>
      </c>
      <c r="J23" s="8"/>
      <c r="K23" s="13">
        <f>Percentiles!H46</f>
        <v>-5.2110530896432913E-3</v>
      </c>
    </row>
    <row r="24" spans="1:12" s="1" customFormat="1" ht="13.15" hidden="1" outlineLevel="1" x14ac:dyDescent="0.35">
      <c r="A24" s="6"/>
      <c r="E24" s="9"/>
      <c r="F24" s="1" t="s">
        <v>55</v>
      </c>
      <c r="G24" s="32" t="s">
        <v>65</v>
      </c>
      <c r="H24" s="18" t="s">
        <v>32</v>
      </c>
      <c r="I24" s="18" t="s">
        <v>87</v>
      </c>
      <c r="J24" s="8"/>
      <c r="K24" s="13">
        <f>Percentiles!H47</f>
        <v>-3.4003967421053624E-3</v>
      </c>
    </row>
    <row r="25" spans="1:12" s="1" customFormat="1" ht="13.15" hidden="1" outlineLevel="1" x14ac:dyDescent="0.35">
      <c r="A25" s="6"/>
      <c r="E25" s="9"/>
      <c r="F25" s="1" t="s">
        <v>55</v>
      </c>
      <c r="G25" s="32" t="s">
        <v>65</v>
      </c>
      <c r="H25" s="18" t="s">
        <v>32</v>
      </c>
      <c r="I25" s="18" t="s">
        <v>88</v>
      </c>
      <c r="J25" s="8"/>
      <c r="K25" s="13">
        <f>Percentiles!H48</f>
        <v>-2.5974025974025983E-3</v>
      </c>
    </row>
    <row r="26" spans="1:12" collapsed="1" x14ac:dyDescent="0.45">
      <c r="G26" s="2"/>
      <c r="H26" s="69"/>
      <c r="I26" s="69"/>
      <c r="J26" s="2"/>
      <c r="K26" s="70"/>
      <c r="L26" s="2"/>
    </row>
    <row r="27" spans="1:12" x14ac:dyDescent="0.45">
      <c r="G27" s="2"/>
      <c r="H27" s="69"/>
      <c r="I27" s="69"/>
      <c r="J27" s="2"/>
      <c r="K27" s="70"/>
      <c r="L27" s="2"/>
    </row>
    <row r="28" spans="1:12" s="63" customFormat="1" ht="13.15" x14ac:dyDescent="0.35">
      <c r="A28" s="63" t="s">
        <v>91</v>
      </c>
    </row>
    <row r="29" spans="1:12" x14ac:dyDescent="0.45">
      <c r="G29" s="2"/>
      <c r="H29" s="69"/>
      <c r="I29" s="69"/>
      <c r="J29" s="2"/>
      <c r="K29" s="2"/>
      <c r="L29" s="2"/>
    </row>
    <row r="30" spans="1:12" x14ac:dyDescent="0.45">
      <c r="E30" s="9"/>
      <c r="F30" s="1" t="s">
        <v>55</v>
      </c>
      <c r="G30" s="32" t="s">
        <v>65</v>
      </c>
      <c r="H30" s="18" t="s">
        <v>32</v>
      </c>
      <c r="I30" s="18" t="s">
        <v>72</v>
      </c>
      <c r="J30" s="2"/>
      <c r="K30" s="71">
        <f>Percentiles!H52</f>
        <v>-7.8947368421052655E-2</v>
      </c>
      <c r="L30" s="2"/>
    </row>
    <row r="31" spans="1:12" hidden="1" outlineLevel="1" x14ac:dyDescent="0.45">
      <c r="E31" s="9"/>
      <c r="F31" s="1" t="s">
        <v>55</v>
      </c>
      <c r="G31" s="32" t="s">
        <v>65</v>
      </c>
      <c r="H31" s="18" t="s">
        <v>32</v>
      </c>
      <c r="I31" s="18" t="s">
        <v>73</v>
      </c>
      <c r="J31" s="2"/>
      <c r="K31" s="71">
        <f>Percentiles!H53</f>
        <v>-6.0526315789473692E-2</v>
      </c>
      <c r="L31" s="2"/>
    </row>
    <row r="32" spans="1:12" hidden="1" outlineLevel="1" x14ac:dyDescent="0.45">
      <c r="E32" s="9"/>
      <c r="F32" s="1" t="s">
        <v>55</v>
      </c>
      <c r="G32" s="32" t="s">
        <v>65</v>
      </c>
      <c r="H32" s="18" t="s">
        <v>32</v>
      </c>
      <c r="I32" s="18" t="s">
        <v>74</v>
      </c>
      <c r="J32" s="2"/>
      <c r="K32" s="71">
        <f>Percentiles!H54</f>
        <v>-3.8475499092558998E-2</v>
      </c>
      <c r="L32" s="2"/>
    </row>
    <row r="33" spans="1:12" hidden="1" outlineLevel="1" x14ac:dyDescent="0.45">
      <c r="E33" s="9"/>
      <c r="F33" s="1" t="s">
        <v>55</v>
      </c>
      <c r="G33" s="32" t="s">
        <v>65</v>
      </c>
      <c r="H33" s="18" t="s">
        <v>32</v>
      </c>
      <c r="I33" s="18" t="s">
        <v>75</v>
      </c>
      <c r="J33" s="2"/>
      <c r="K33" s="71">
        <f>Percentiles!H55</f>
        <v>-3.2258064516129004E-2</v>
      </c>
      <c r="L33" s="2"/>
    </row>
    <row r="34" spans="1:12" hidden="1" outlineLevel="1" x14ac:dyDescent="0.45">
      <c r="E34" s="9"/>
      <c r="F34" s="1" t="s">
        <v>55</v>
      </c>
      <c r="G34" s="32" t="s">
        <v>65</v>
      </c>
      <c r="H34" s="18" t="s">
        <v>32</v>
      </c>
      <c r="I34" s="18" t="s">
        <v>76</v>
      </c>
      <c r="J34" s="2"/>
      <c r="K34" s="71">
        <f>Percentiles!H56</f>
        <v>-2.4310776942355925E-2</v>
      </c>
      <c r="L34" s="2"/>
    </row>
    <row r="35" spans="1:12" hidden="1" outlineLevel="1" x14ac:dyDescent="0.45">
      <c r="E35" s="9"/>
      <c r="F35" s="1" t="s">
        <v>55</v>
      </c>
      <c r="G35" s="32" t="s">
        <v>65</v>
      </c>
      <c r="H35" s="18" t="s">
        <v>32</v>
      </c>
      <c r="I35" s="18" t="s">
        <v>77</v>
      </c>
      <c r="J35" s="2"/>
      <c r="K35" s="71">
        <f>Percentiles!H57</f>
        <v>-5.2631578947368862E-3</v>
      </c>
      <c r="L35" s="2"/>
    </row>
    <row r="36" spans="1:12" hidden="1" outlineLevel="1" x14ac:dyDescent="0.45">
      <c r="E36" s="9"/>
      <c r="F36" s="1" t="s">
        <v>55</v>
      </c>
      <c r="G36" s="32" t="s">
        <v>65</v>
      </c>
      <c r="H36" s="18" t="s">
        <v>32</v>
      </c>
      <c r="I36" s="18" t="s">
        <v>78</v>
      </c>
      <c r="J36" s="2"/>
      <c r="K36" s="71">
        <f>Percentiles!H58</f>
        <v>0</v>
      </c>
      <c r="L36" s="2"/>
    </row>
    <row r="37" spans="1:12" hidden="1" outlineLevel="1" x14ac:dyDescent="0.45">
      <c r="E37" s="9"/>
      <c r="F37" s="1" t="s">
        <v>55</v>
      </c>
      <c r="G37" s="32" t="s">
        <v>65</v>
      </c>
      <c r="H37" s="18" t="s">
        <v>32</v>
      </c>
      <c r="I37" s="18" t="s">
        <v>79</v>
      </c>
      <c r="J37" s="2"/>
      <c r="K37" s="71">
        <f>Percentiles!H59</f>
        <v>0</v>
      </c>
      <c r="L37" s="2"/>
    </row>
    <row r="38" spans="1:12" hidden="1" outlineLevel="1" x14ac:dyDescent="0.45">
      <c r="E38" s="9"/>
      <c r="F38" s="1" t="s">
        <v>55</v>
      </c>
      <c r="G38" s="32" t="s">
        <v>65</v>
      </c>
      <c r="H38" s="18" t="s">
        <v>32</v>
      </c>
      <c r="I38" s="18" t="s">
        <v>80</v>
      </c>
      <c r="J38" s="2"/>
      <c r="K38" s="71">
        <f>Percentiles!H60</f>
        <v>0</v>
      </c>
      <c r="L38" s="2"/>
    </row>
    <row r="39" spans="1:12" hidden="1" outlineLevel="1" x14ac:dyDescent="0.45">
      <c r="E39" s="9"/>
      <c r="F39" s="1" t="s">
        <v>55</v>
      </c>
      <c r="G39" s="32" t="s">
        <v>65</v>
      </c>
      <c r="H39" s="18" t="s">
        <v>32</v>
      </c>
      <c r="I39" s="18" t="s">
        <v>81</v>
      </c>
      <c r="J39" s="2"/>
      <c r="K39" s="71">
        <f>Percentiles!H61</f>
        <v>0</v>
      </c>
      <c r="L39" s="2"/>
    </row>
    <row r="40" spans="1:12" hidden="1" outlineLevel="1" x14ac:dyDescent="0.45">
      <c r="E40" s="9"/>
      <c r="F40" s="1" t="s">
        <v>55</v>
      </c>
      <c r="G40" s="32" t="s">
        <v>65</v>
      </c>
      <c r="H40" s="18" t="s">
        <v>32</v>
      </c>
      <c r="I40" s="18" t="s">
        <v>82</v>
      </c>
      <c r="J40" s="2"/>
      <c r="K40" s="71">
        <f>Percentiles!H62</f>
        <v>0</v>
      </c>
      <c r="L40" s="2"/>
    </row>
    <row r="41" spans="1:12" hidden="1" outlineLevel="1" x14ac:dyDescent="0.45">
      <c r="E41" s="9"/>
      <c r="F41" s="1" t="s">
        <v>55</v>
      </c>
      <c r="G41" s="32" t="s">
        <v>65</v>
      </c>
      <c r="H41" s="18" t="s">
        <v>32</v>
      </c>
      <c r="I41" s="18" t="s">
        <v>83</v>
      </c>
      <c r="J41" s="2"/>
      <c r="K41" s="71">
        <f>Percentiles!H63</f>
        <v>0</v>
      </c>
      <c r="L41" s="2"/>
    </row>
    <row r="42" spans="1:12" hidden="1" outlineLevel="1" x14ac:dyDescent="0.45">
      <c r="E42" s="9"/>
      <c r="F42" s="1" t="s">
        <v>55</v>
      </c>
      <c r="G42" s="32" t="s">
        <v>65</v>
      </c>
      <c r="H42" s="18" t="s">
        <v>32</v>
      </c>
      <c r="I42" s="18" t="s">
        <v>84</v>
      </c>
      <c r="J42" s="2"/>
      <c r="K42" s="71">
        <f>Percentiles!H64</f>
        <v>0</v>
      </c>
      <c r="L42" s="2"/>
    </row>
    <row r="43" spans="1:12" hidden="1" outlineLevel="1" x14ac:dyDescent="0.45">
      <c r="E43" s="9"/>
      <c r="F43" s="1" t="s">
        <v>55</v>
      </c>
      <c r="G43" s="32" t="s">
        <v>65</v>
      </c>
      <c r="H43" s="18" t="s">
        <v>32</v>
      </c>
      <c r="I43" s="18" t="s">
        <v>85</v>
      </c>
      <c r="J43" s="2"/>
      <c r="K43" s="71">
        <f>Percentiles!H65</f>
        <v>0</v>
      </c>
      <c r="L43" s="2"/>
    </row>
    <row r="44" spans="1:12" hidden="1" outlineLevel="1" x14ac:dyDescent="0.45">
      <c r="E44" s="9"/>
      <c r="F44" s="1" t="s">
        <v>55</v>
      </c>
      <c r="G44" s="32" t="s">
        <v>65</v>
      </c>
      <c r="H44" s="18" t="s">
        <v>32</v>
      </c>
      <c r="I44" s="18" t="s">
        <v>86</v>
      </c>
      <c r="J44" s="2"/>
      <c r="K44" s="71">
        <f>Percentiles!H66</f>
        <v>0</v>
      </c>
      <c r="L44" s="2"/>
    </row>
    <row r="45" spans="1:12" hidden="1" outlineLevel="1" x14ac:dyDescent="0.45">
      <c r="E45" s="9"/>
      <c r="F45" s="1" t="s">
        <v>55</v>
      </c>
      <c r="G45" s="32" t="s">
        <v>65</v>
      </c>
      <c r="H45" s="18" t="s">
        <v>32</v>
      </c>
      <c r="I45" s="18" t="s">
        <v>87</v>
      </c>
      <c r="J45" s="2"/>
      <c r="K45" s="71">
        <f>Percentiles!H67</f>
        <v>0</v>
      </c>
      <c r="L45" s="2"/>
    </row>
    <row r="46" spans="1:12" hidden="1" outlineLevel="1" x14ac:dyDescent="0.45">
      <c r="E46" s="9"/>
      <c r="F46" s="1" t="s">
        <v>55</v>
      </c>
      <c r="G46" s="32" t="s">
        <v>65</v>
      </c>
      <c r="H46" s="18" t="s">
        <v>32</v>
      </c>
      <c r="I46" s="18" t="s">
        <v>88</v>
      </c>
      <c r="J46" s="2"/>
      <c r="K46" s="71">
        <f>Percentiles!H68</f>
        <v>0</v>
      </c>
      <c r="L46" s="2"/>
    </row>
    <row r="47" spans="1:12" collapsed="1" x14ac:dyDescent="0.45"/>
    <row r="48" spans="1:12" s="66" customFormat="1" ht="13.15" x14ac:dyDescent="0.4">
      <c r="A48" s="66" t="s">
        <v>61</v>
      </c>
      <c r="H48" s="68"/>
      <c r="I48" s="68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4197-CC6F-40ED-A88D-F6DA9B8ED7C5}">
  <sheetPr codeName="Sheet11">
    <tabColor rgb="FF98C561"/>
  </sheetPr>
  <dimension ref="A1:L361"/>
  <sheetViews>
    <sheetView zoomScale="80" zoomScaleNormal="80" workbookViewId="0"/>
  </sheetViews>
  <sheetFormatPr defaultRowHeight="14.25" x14ac:dyDescent="0.45"/>
  <cols>
    <col min="1" max="1" width="9" style="58"/>
    <col min="2" max="2" width="25" style="58" customWidth="1"/>
    <col min="3" max="3" width="55.25" style="58" customWidth="1"/>
    <col min="4" max="4" width="4" style="58" bestFit="1" customWidth="1"/>
    <col min="5" max="6" width="9" style="58"/>
    <col min="7" max="7" width="18.75" style="58" bestFit="1" customWidth="1"/>
    <col min="8" max="16384" width="9" style="58"/>
  </cols>
  <sheetData>
    <row r="1" spans="1:6" x14ac:dyDescent="0.45">
      <c r="A1" s="73"/>
      <c r="B1" s="74"/>
      <c r="C1" s="73" t="s">
        <v>92</v>
      </c>
      <c r="D1" s="73"/>
      <c r="E1" s="73"/>
      <c r="F1" s="73"/>
    </row>
    <row r="2" spans="1:6" x14ac:dyDescent="0.45">
      <c r="A2" s="73" t="s">
        <v>10</v>
      </c>
      <c r="B2" s="74" t="s">
        <v>11</v>
      </c>
      <c r="C2" s="73" t="s">
        <v>12</v>
      </c>
      <c r="D2" s="73" t="s">
        <v>13</v>
      </c>
      <c r="E2" s="73" t="s">
        <v>14</v>
      </c>
      <c r="F2" s="73" t="s">
        <v>93</v>
      </c>
    </row>
    <row r="3" spans="1:6" x14ac:dyDescent="0.45">
      <c r="A3" s="73"/>
      <c r="B3" s="74"/>
      <c r="C3" s="73"/>
      <c r="D3" s="73"/>
      <c r="E3" s="73"/>
      <c r="F3" s="73"/>
    </row>
    <row r="4" spans="1:6" x14ac:dyDescent="0.45">
      <c r="A4" s="58" t="s">
        <v>29</v>
      </c>
      <c r="B4" s="14" t="s">
        <v>94</v>
      </c>
      <c r="C4" s="14" t="s">
        <v>95</v>
      </c>
      <c r="D4" s="14" t="s">
        <v>96</v>
      </c>
      <c r="E4" s="15" t="s">
        <v>27</v>
      </c>
      <c r="F4" s="75" t="str">
        <f ca="1">CONCATENATE("[…]", TEXT(NOW(),"dd/mm/yyy hh:mm:ss"))</f>
        <v>[…]12/12/2024 16:35:52</v>
      </c>
    </row>
    <row r="5" spans="1:6" x14ac:dyDescent="0.45">
      <c r="A5" s="58" t="s">
        <v>29</v>
      </c>
      <c r="B5" s="14" t="s">
        <v>97</v>
      </c>
      <c r="C5" s="14" t="s">
        <v>98</v>
      </c>
      <c r="D5" s="14" t="s">
        <v>96</v>
      </c>
      <c r="E5" s="15" t="s">
        <v>27</v>
      </c>
      <c r="F5" s="15" t="str">
        <f ca="1">MID(CELL("filename"),SEARCH("[",CELL("filename"))+1,SEARCH("]",CELL("filename"))-SEARCH("[",CELL("filename"))-1)</f>
        <v>PR24 FD OC11 ODI risk - Feeder Model (Discharge Permit Compliance).xlsx</v>
      </c>
    </row>
    <row r="6" spans="1:6" x14ac:dyDescent="0.45">
      <c r="A6" s="58" t="s">
        <v>29</v>
      </c>
      <c r="B6" s="14" t="s">
        <v>99</v>
      </c>
      <c r="C6" s="14" t="s">
        <v>100</v>
      </c>
      <c r="D6" s="14" t="s">
        <v>96</v>
      </c>
      <c r="E6" s="15" t="s">
        <v>27</v>
      </c>
      <c r="F6" s="15" t="str">
        <f>F_Inputs!$E$1</f>
        <v>Run on 12 Nov 2024 17:31</v>
      </c>
    </row>
    <row r="7" spans="1:6" x14ac:dyDescent="0.45">
      <c r="A7" s="58" t="s">
        <v>29</v>
      </c>
      <c r="B7" s="14" t="s">
        <v>101</v>
      </c>
      <c r="C7" s="14" t="s">
        <v>102</v>
      </c>
      <c r="D7" s="14" t="s">
        <v>103</v>
      </c>
      <c r="E7" s="15" t="s">
        <v>27</v>
      </c>
      <c r="F7" s="76" t="s">
        <v>104</v>
      </c>
    </row>
    <row r="8" spans="1:6" x14ac:dyDescent="0.45">
      <c r="A8" s="58" t="s">
        <v>29</v>
      </c>
      <c r="B8" s="2" t="s">
        <v>105</v>
      </c>
      <c r="C8" s="2" t="s">
        <v>106</v>
      </c>
      <c r="D8" s="2" t="s">
        <v>32</v>
      </c>
      <c r="E8" s="2" t="s">
        <v>27</v>
      </c>
      <c r="F8" s="77">
        <f>'Final Output'!K9</f>
        <v>-3.2644146767617892E-2</v>
      </c>
    </row>
    <row r="9" spans="1:6" x14ac:dyDescent="0.45">
      <c r="A9" s="58" t="s">
        <v>29</v>
      </c>
      <c r="B9" s="2" t="s">
        <v>107</v>
      </c>
      <c r="C9" s="2" t="s">
        <v>108</v>
      </c>
      <c r="D9" s="2" t="s">
        <v>32</v>
      </c>
      <c r="E9" s="2" t="s">
        <v>27</v>
      </c>
      <c r="F9" s="77">
        <f>'Final Output'!K10</f>
        <v>-2.8260425429635857E-2</v>
      </c>
    </row>
    <row r="10" spans="1:6" x14ac:dyDescent="0.45">
      <c r="A10" s="58" t="s">
        <v>29</v>
      </c>
      <c r="B10" s="2" t="s">
        <v>109</v>
      </c>
      <c r="C10" s="2" t="s">
        <v>110</v>
      </c>
      <c r="D10" s="2" t="s">
        <v>32</v>
      </c>
      <c r="E10" s="2" t="s">
        <v>27</v>
      </c>
      <c r="F10" s="77">
        <f>'Final Output'!K11</f>
        <v>-2.5380751456700844E-2</v>
      </c>
    </row>
    <row r="11" spans="1:6" x14ac:dyDescent="0.45">
      <c r="A11" s="58" t="s">
        <v>29</v>
      </c>
      <c r="B11" s="2" t="s">
        <v>111</v>
      </c>
      <c r="C11" s="2" t="s">
        <v>112</v>
      </c>
      <c r="D11" s="2" t="s">
        <v>32</v>
      </c>
      <c r="E11" s="2" t="s">
        <v>27</v>
      </c>
      <c r="F11" s="77">
        <f>'Final Output'!K12</f>
        <v>-2.0812855168176936E-2</v>
      </c>
    </row>
    <row r="12" spans="1:6" x14ac:dyDescent="0.45">
      <c r="A12" s="58" t="s">
        <v>29</v>
      </c>
      <c r="B12" s="2" t="s">
        <v>113</v>
      </c>
      <c r="C12" s="2" t="s">
        <v>114</v>
      </c>
      <c r="D12" s="2" t="s">
        <v>32</v>
      </c>
      <c r="E12" s="2" t="s">
        <v>27</v>
      </c>
      <c r="F12" s="77">
        <f>'Final Output'!K13</f>
        <v>-1.9157740993184135E-2</v>
      </c>
    </row>
    <row r="13" spans="1:6" x14ac:dyDescent="0.45">
      <c r="A13" s="58" t="s">
        <v>29</v>
      </c>
      <c r="B13" s="2" t="s">
        <v>115</v>
      </c>
      <c r="C13" s="2" t="s">
        <v>116</v>
      </c>
      <c r="D13" s="2" t="s">
        <v>32</v>
      </c>
      <c r="E13" s="2" t="s">
        <v>27</v>
      </c>
      <c r="F13" s="77">
        <f>'Final Output'!K14</f>
        <v>-1.7652792820671556E-2</v>
      </c>
    </row>
    <row r="14" spans="1:6" x14ac:dyDescent="0.45">
      <c r="A14" s="58" t="s">
        <v>29</v>
      </c>
      <c r="B14" s="2" t="s">
        <v>117</v>
      </c>
      <c r="C14" s="2" t="s">
        <v>118</v>
      </c>
      <c r="D14" s="2" t="s">
        <v>32</v>
      </c>
      <c r="E14" s="2" t="s">
        <v>27</v>
      </c>
      <c r="F14" s="77">
        <f>'Final Output'!K15</f>
        <v>-1.5681330910599887E-2</v>
      </c>
    </row>
    <row r="15" spans="1:6" x14ac:dyDescent="0.45">
      <c r="A15" s="58" t="s">
        <v>29</v>
      </c>
      <c r="B15" s="2" t="s">
        <v>119</v>
      </c>
      <c r="C15" s="2" t="s">
        <v>120</v>
      </c>
      <c r="D15" s="2" t="s">
        <v>32</v>
      </c>
      <c r="E15" s="2" t="s">
        <v>27</v>
      </c>
      <c r="F15" s="77">
        <f>'Final Output'!K16</f>
        <v>-1.4641633352370042E-2</v>
      </c>
    </row>
    <row r="16" spans="1:6" x14ac:dyDescent="0.45">
      <c r="A16" s="58" t="s">
        <v>29</v>
      </c>
      <c r="B16" s="2" t="s">
        <v>121</v>
      </c>
      <c r="C16" s="2" t="s">
        <v>122</v>
      </c>
      <c r="D16" s="2" t="s">
        <v>32</v>
      </c>
      <c r="E16" s="2" t="s">
        <v>27</v>
      </c>
      <c r="F16" s="77">
        <f>'Final Output'!K17</f>
        <v>-1.2975370785003604E-2</v>
      </c>
    </row>
    <row r="17" spans="1:6" x14ac:dyDescent="0.45">
      <c r="A17" s="58" t="s">
        <v>29</v>
      </c>
      <c r="B17" s="2" t="s">
        <v>123</v>
      </c>
      <c r="C17" s="2" t="s">
        <v>124</v>
      </c>
      <c r="D17" s="2" t="s">
        <v>32</v>
      </c>
      <c r="E17" s="2" t="s">
        <v>27</v>
      </c>
      <c r="F17" s="77">
        <f>'Final Output'!K18</f>
        <v>-1.1086309523809406E-2</v>
      </c>
    </row>
    <row r="18" spans="1:6" x14ac:dyDescent="0.45">
      <c r="A18" s="58" t="s">
        <v>29</v>
      </c>
      <c r="B18" s="2" t="s">
        <v>125</v>
      </c>
      <c r="C18" s="2" t="s">
        <v>126</v>
      </c>
      <c r="D18" s="2" t="s">
        <v>32</v>
      </c>
      <c r="E18" s="2" t="s">
        <v>27</v>
      </c>
      <c r="F18" s="77">
        <f>'Final Output'!K19</f>
        <v>-9.7657244716068178E-3</v>
      </c>
    </row>
    <row r="19" spans="1:6" x14ac:dyDescent="0.45">
      <c r="A19" s="58" t="s">
        <v>29</v>
      </c>
      <c r="B19" s="2" t="s">
        <v>127</v>
      </c>
      <c r="C19" s="2" t="s">
        <v>128</v>
      </c>
      <c r="D19" s="2" t="s">
        <v>32</v>
      </c>
      <c r="E19" s="2" t="s">
        <v>27</v>
      </c>
      <c r="F19" s="77">
        <f>'Final Output'!K20</f>
        <v>-9.3546325878593774E-3</v>
      </c>
    </row>
    <row r="20" spans="1:6" x14ac:dyDescent="0.45">
      <c r="A20" s="58" t="s">
        <v>29</v>
      </c>
      <c r="B20" s="2" t="s">
        <v>129</v>
      </c>
      <c r="C20" s="2" t="s">
        <v>130</v>
      </c>
      <c r="D20" s="2" t="s">
        <v>32</v>
      </c>
      <c r="E20" s="2" t="s">
        <v>27</v>
      </c>
      <c r="F20" s="77">
        <f>'Final Output'!K21</f>
        <v>-7.83717105263162E-3</v>
      </c>
    </row>
    <row r="21" spans="1:6" x14ac:dyDescent="0.45">
      <c r="A21" s="58" t="s">
        <v>29</v>
      </c>
      <c r="B21" s="2" t="s">
        <v>131</v>
      </c>
      <c r="C21" s="2" t="s">
        <v>132</v>
      </c>
      <c r="D21" s="2" t="s">
        <v>32</v>
      </c>
      <c r="E21" s="2" t="s">
        <v>27</v>
      </c>
      <c r="F21" s="77">
        <f>'Final Output'!K22</f>
        <v>-6.5390217259375105E-3</v>
      </c>
    </row>
    <row r="22" spans="1:6" x14ac:dyDescent="0.45">
      <c r="A22" s="58" t="s">
        <v>29</v>
      </c>
      <c r="B22" s="2" t="s">
        <v>133</v>
      </c>
      <c r="C22" s="2" t="s">
        <v>134</v>
      </c>
      <c r="D22" s="2" t="s">
        <v>32</v>
      </c>
      <c r="E22" s="2" t="s">
        <v>27</v>
      </c>
      <c r="F22" s="77">
        <f>'Final Output'!K23</f>
        <v>-5.2110530896432913E-3</v>
      </c>
    </row>
    <row r="23" spans="1:6" x14ac:dyDescent="0.45">
      <c r="A23" s="58" t="s">
        <v>29</v>
      </c>
      <c r="B23" s="2" t="s">
        <v>135</v>
      </c>
      <c r="C23" s="2" t="s">
        <v>136</v>
      </c>
      <c r="D23" s="2" t="s">
        <v>32</v>
      </c>
      <c r="E23" s="2" t="s">
        <v>27</v>
      </c>
      <c r="F23" s="77">
        <f>'Final Output'!K24</f>
        <v>-3.4003967421053624E-3</v>
      </c>
    </row>
    <row r="24" spans="1:6" x14ac:dyDescent="0.45">
      <c r="A24" s="58" t="s">
        <v>29</v>
      </c>
      <c r="B24" s="2" t="s">
        <v>137</v>
      </c>
      <c r="C24" s="2" t="s">
        <v>138</v>
      </c>
      <c r="D24" s="2" t="s">
        <v>32</v>
      </c>
      <c r="E24" s="2" t="s">
        <v>27</v>
      </c>
      <c r="F24" s="77">
        <f>'Final Output'!K25</f>
        <v>-2.5974025974025983E-3</v>
      </c>
    </row>
    <row r="25" spans="1:6" x14ac:dyDescent="0.45">
      <c r="A25" s="58" t="s">
        <v>33</v>
      </c>
      <c r="B25" s="14" t="s">
        <v>94</v>
      </c>
      <c r="C25" s="14" t="s">
        <v>95</v>
      </c>
      <c r="D25" s="14" t="s">
        <v>96</v>
      </c>
      <c r="E25" s="15" t="s">
        <v>27</v>
      </c>
      <c r="F25" s="75" t="str">
        <f ca="1">CONCATENATE("[…]", TEXT(NOW(),"dd/mm/yyy hh:mm:ss"))</f>
        <v>[…]12/12/2024 16:35:52</v>
      </c>
    </row>
    <row r="26" spans="1:6" x14ac:dyDescent="0.45">
      <c r="A26" s="58" t="s">
        <v>33</v>
      </c>
      <c r="B26" s="14" t="s">
        <v>97</v>
      </c>
      <c r="C26" s="14" t="s">
        <v>98</v>
      </c>
      <c r="D26" s="14" t="s">
        <v>96</v>
      </c>
      <c r="E26" s="15" t="s">
        <v>27</v>
      </c>
      <c r="F26" s="15" t="str">
        <f ca="1">MID(CELL("filename"),SEARCH("[",CELL("filename"))+1,SEARCH("]",CELL("filename"))-SEARCH("[",CELL("filename"))-1)</f>
        <v>PR24 FD OC11 ODI risk - Feeder Model (Discharge Permit Compliance).xlsx</v>
      </c>
    </row>
    <row r="27" spans="1:6" x14ac:dyDescent="0.45">
      <c r="A27" s="58" t="s">
        <v>33</v>
      </c>
      <c r="B27" s="14" t="s">
        <v>99</v>
      </c>
      <c r="C27" s="14" t="s">
        <v>100</v>
      </c>
      <c r="D27" s="14" t="s">
        <v>96</v>
      </c>
      <c r="E27" s="15" t="s">
        <v>27</v>
      </c>
      <c r="F27" s="15" t="str">
        <f>F_Inputs!$E$1</f>
        <v>Run on 12 Nov 2024 17:31</v>
      </c>
    </row>
    <row r="28" spans="1:6" x14ac:dyDescent="0.45">
      <c r="A28" s="58" t="s">
        <v>33</v>
      </c>
      <c r="B28" s="14" t="s">
        <v>101</v>
      </c>
      <c r="C28" s="14" t="s">
        <v>102</v>
      </c>
      <c r="D28" s="14" t="s">
        <v>103</v>
      </c>
      <c r="E28" s="15" t="s">
        <v>27</v>
      </c>
      <c r="F28" s="76" t="s">
        <v>104</v>
      </c>
    </row>
    <row r="29" spans="1:6" x14ac:dyDescent="0.45">
      <c r="A29" s="58" t="s">
        <v>33</v>
      </c>
      <c r="B29" s="2" t="s">
        <v>105</v>
      </c>
      <c r="C29" s="2" t="s">
        <v>106</v>
      </c>
      <c r="D29" s="2" t="s">
        <v>32</v>
      </c>
      <c r="E29" s="2" t="s">
        <v>27</v>
      </c>
      <c r="F29" s="77">
        <f>'Final Output'!K9</f>
        <v>-3.2644146767617892E-2</v>
      </c>
    </row>
    <row r="30" spans="1:6" x14ac:dyDescent="0.45">
      <c r="A30" s="58" t="s">
        <v>33</v>
      </c>
      <c r="B30" s="2" t="s">
        <v>107</v>
      </c>
      <c r="C30" s="2" t="s">
        <v>108</v>
      </c>
      <c r="D30" s="2" t="s">
        <v>32</v>
      </c>
      <c r="E30" s="2" t="s">
        <v>27</v>
      </c>
      <c r="F30" s="77">
        <f>'Final Output'!K10</f>
        <v>-2.8260425429635857E-2</v>
      </c>
    </row>
    <row r="31" spans="1:6" x14ac:dyDescent="0.45">
      <c r="A31" s="58" t="s">
        <v>33</v>
      </c>
      <c r="B31" s="2" t="s">
        <v>109</v>
      </c>
      <c r="C31" s="2" t="s">
        <v>110</v>
      </c>
      <c r="D31" s="2" t="s">
        <v>32</v>
      </c>
      <c r="E31" s="2" t="s">
        <v>27</v>
      </c>
      <c r="F31" s="77">
        <f>'Final Output'!K11</f>
        <v>-2.5380751456700844E-2</v>
      </c>
    </row>
    <row r="32" spans="1:6" x14ac:dyDescent="0.45">
      <c r="A32" s="58" t="s">
        <v>33</v>
      </c>
      <c r="B32" s="2" t="s">
        <v>111</v>
      </c>
      <c r="C32" s="2" t="s">
        <v>112</v>
      </c>
      <c r="D32" s="2" t="s">
        <v>32</v>
      </c>
      <c r="E32" s="2" t="s">
        <v>27</v>
      </c>
      <c r="F32" s="77">
        <f>'Final Output'!K12</f>
        <v>-2.0812855168176936E-2</v>
      </c>
    </row>
    <row r="33" spans="1:6" x14ac:dyDescent="0.45">
      <c r="A33" s="58" t="s">
        <v>33</v>
      </c>
      <c r="B33" s="2" t="s">
        <v>113</v>
      </c>
      <c r="C33" s="2" t="s">
        <v>114</v>
      </c>
      <c r="D33" s="2" t="s">
        <v>32</v>
      </c>
      <c r="E33" s="2" t="s">
        <v>27</v>
      </c>
      <c r="F33" s="77">
        <f>'Final Output'!K13</f>
        <v>-1.9157740993184135E-2</v>
      </c>
    </row>
    <row r="34" spans="1:6" x14ac:dyDescent="0.45">
      <c r="A34" s="58" t="s">
        <v>33</v>
      </c>
      <c r="B34" s="2" t="s">
        <v>115</v>
      </c>
      <c r="C34" s="2" t="s">
        <v>116</v>
      </c>
      <c r="D34" s="2" t="s">
        <v>32</v>
      </c>
      <c r="E34" s="2" t="s">
        <v>27</v>
      </c>
      <c r="F34" s="77">
        <f>'Final Output'!K14</f>
        <v>-1.7652792820671556E-2</v>
      </c>
    </row>
    <row r="35" spans="1:6" x14ac:dyDescent="0.45">
      <c r="A35" s="58" t="s">
        <v>33</v>
      </c>
      <c r="B35" s="2" t="s">
        <v>117</v>
      </c>
      <c r="C35" s="2" t="s">
        <v>118</v>
      </c>
      <c r="D35" s="2" t="s">
        <v>32</v>
      </c>
      <c r="E35" s="2" t="s">
        <v>27</v>
      </c>
      <c r="F35" s="77">
        <f>'Final Output'!K15</f>
        <v>-1.5681330910599887E-2</v>
      </c>
    </row>
    <row r="36" spans="1:6" x14ac:dyDescent="0.45">
      <c r="A36" s="58" t="s">
        <v>33</v>
      </c>
      <c r="B36" s="2" t="s">
        <v>119</v>
      </c>
      <c r="C36" s="2" t="s">
        <v>120</v>
      </c>
      <c r="D36" s="2" t="s">
        <v>32</v>
      </c>
      <c r="E36" s="2" t="s">
        <v>27</v>
      </c>
      <c r="F36" s="77">
        <f>'Final Output'!K16</f>
        <v>-1.4641633352370042E-2</v>
      </c>
    </row>
    <row r="37" spans="1:6" x14ac:dyDescent="0.45">
      <c r="A37" s="58" t="s">
        <v>33</v>
      </c>
      <c r="B37" s="2" t="s">
        <v>121</v>
      </c>
      <c r="C37" s="2" t="s">
        <v>122</v>
      </c>
      <c r="D37" s="2" t="s">
        <v>32</v>
      </c>
      <c r="E37" s="2" t="s">
        <v>27</v>
      </c>
      <c r="F37" s="77">
        <f>'Final Output'!K17</f>
        <v>-1.2975370785003604E-2</v>
      </c>
    </row>
    <row r="38" spans="1:6" x14ac:dyDescent="0.45">
      <c r="A38" s="58" t="s">
        <v>33</v>
      </c>
      <c r="B38" s="2" t="s">
        <v>123</v>
      </c>
      <c r="C38" s="2" t="s">
        <v>124</v>
      </c>
      <c r="D38" s="2" t="s">
        <v>32</v>
      </c>
      <c r="E38" s="2" t="s">
        <v>27</v>
      </c>
      <c r="F38" s="77">
        <f>'Final Output'!K18</f>
        <v>-1.1086309523809406E-2</v>
      </c>
    </row>
    <row r="39" spans="1:6" x14ac:dyDescent="0.45">
      <c r="A39" s="58" t="s">
        <v>33</v>
      </c>
      <c r="B39" s="2" t="s">
        <v>125</v>
      </c>
      <c r="C39" s="2" t="s">
        <v>126</v>
      </c>
      <c r="D39" s="2" t="s">
        <v>32</v>
      </c>
      <c r="E39" s="2" t="s">
        <v>27</v>
      </c>
      <c r="F39" s="77">
        <f>'Final Output'!K19</f>
        <v>-9.7657244716068178E-3</v>
      </c>
    </row>
    <row r="40" spans="1:6" x14ac:dyDescent="0.45">
      <c r="A40" s="58" t="s">
        <v>33</v>
      </c>
      <c r="B40" s="2" t="s">
        <v>127</v>
      </c>
      <c r="C40" s="2" t="s">
        <v>128</v>
      </c>
      <c r="D40" s="2" t="s">
        <v>32</v>
      </c>
      <c r="E40" s="2" t="s">
        <v>27</v>
      </c>
      <c r="F40" s="77">
        <f>'Final Output'!K20</f>
        <v>-9.3546325878593774E-3</v>
      </c>
    </row>
    <row r="41" spans="1:6" x14ac:dyDescent="0.45">
      <c r="A41" s="58" t="s">
        <v>33</v>
      </c>
      <c r="B41" s="2" t="s">
        <v>129</v>
      </c>
      <c r="C41" s="2" t="s">
        <v>130</v>
      </c>
      <c r="D41" s="2" t="s">
        <v>32</v>
      </c>
      <c r="E41" s="2" t="s">
        <v>27</v>
      </c>
      <c r="F41" s="77">
        <f>'Final Output'!K21</f>
        <v>-7.83717105263162E-3</v>
      </c>
    </row>
    <row r="42" spans="1:6" x14ac:dyDescent="0.45">
      <c r="A42" s="58" t="s">
        <v>33</v>
      </c>
      <c r="B42" s="2" t="s">
        <v>131</v>
      </c>
      <c r="C42" s="2" t="s">
        <v>132</v>
      </c>
      <c r="D42" s="2" t="s">
        <v>32</v>
      </c>
      <c r="E42" s="2" t="s">
        <v>27</v>
      </c>
      <c r="F42" s="77">
        <f>'Final Output'!K22</f>
        <v>-6.5390217259375105E-3</v>
      </c>
    </row>
    <row r="43" spans="1:6" x14ac:dyDescent="0.45">
      <c r="A43" s="58" t="s">
        <v>33</v>
      </c>
      <c r="B43" s="2" t="s">
        <v>133</v>
      </c>
      <c r="C43" s="2" t="s">
        <v>134</v>
      </c>
      <c r="D43" s="2" t="s">
        <v>32</v>
      </c>
      <c r="E43" s="2" t="s">
        <v>27</v>
      </c>
      <c r="F43" s="77">
        <f>'Final Output'!K23</f>
        <v>-5.2110530896432913E-3</v>
      </c>
    </row>
    <row r="44" spans="1:6" x14ac:dyDescent="0.45">
      <c r="A44" s="58" t="s">
        <v>33</v>
      </c>
      <c r="B44" s="2" t="s">
        <v>135</v>
      </c>
      <c r="C44" s="2" t="s">
        <v>136</v>
      </c>
      <c r="D44" s="2" t="s">
        <v>32</v>
      </c>
      <c r="E44" s="2" t="s">
        <v>27</v>
      </c>
      <c r="F44" s="77">
        <f>'Final Output'!K24</f>
        <v>-3.4003967421053624E-3</v>
      </c>
    </row>
    <row r="45" spans="1:6" x14ac:dyDescent="0.45">
      <c r="A45" s="58" t="s">
        <v>33</v>
      </c>
      <c r="B45" s="2" t="s">
        <v>137</v>
      </c>
      <c r="C45" s="2" t="s">
        <v>138</v>
      </c>
      <c r="D45" s="2" t="s">
        <v>32</v>
      </c>
      <c r="E45" s="2" t="s">
        <v>27</v>
      </c>
      <c r="F45" s="77">
        <f>'Final Output'!K25</f>
        <v>-2.5974025974025983E-3</v>
      </c>
    </row>
    <row r="46" spans="1:6" x14ac:dyDescent="0.45">
      <c r="A46" s="58" t="s">
        <v>34</v>
      </c>
      <c r="B46" s="14" t="s">
        <v>94</v>
      </c>
      <c r="C46" s="14" t="s">
        <v>95</v>
      </c>
      <c r="D46" s="14" t="s">
        <v>96</v>
      </c>
      <c r="E46" s="15" t="s">
        <v>27</v>
      </c>
      <c r="F46" s="75" t="str">
        <f ca="1">CONCATENATE("[…]", TEXT(NOW(),"dd/mm/yyy hh:mm:ss"))</f>
        <v>[…]12/12/2024 16:35:52</v>
      </c>
    </row>
    <row r="47" spans="1:6" x14ac:dyDescent="0.45">
      <c r="A47" s="58" t="s">
        <v>34</v>
      </c>
      <c r="B47" s="14" t="s">
        <v>97</v>
      </c>
      <c r="C47" s="14" t="s">
        <v>98</v>
      </c>
      <c r="D47" s="14" t="s">
        <v>96</v>
      </c>
      <c r="E47" s="15" t="s">
        <v>27</v>
      </c>
      <c r="F47" s="15" t="str">
        <f ca="1">MID(CELL("filename"),SEARCH("[",CELL("filename"))+1,SEARCH("]",CELL("filename"))-SEARCH("[",CELL("filename"))-1)</f>
        <v>PR24 FD OC11 ODI risk - Feeder Model (Discharge Permit Compliance).xlsx</v>
      </c>
    </row>
    <row r="48" spans="1:6" x14ac:dyDescent="0.45">
      <c r="A48" s="58" t="s">
        <v>34</v>
      </c>
      <c r="B48" s="14" t="s">
        <v>99</v>
      </c>
      <c r="C48" s="14" t="s">
        <v>100</v>
      </c>
      <c r="D48" s="14" t="s">
        <v>96</v>
      </c>
      <c r="E48" s="15" t="s">
        <v>27</v>
      </c>
      <c r="F48" s="15" t="str">
        <f>F_Inputs!$E$1</f>
        <v>Run on 12 Nov 2024 17:31</v>
      </c>
    </row>
    <row r="49" spans="1:6" x14ac:dyDescent="0.45">
      <c r="A49" s="58" t="s">
        <v>34</v>
      </c>
      <c r="B49" s="14" t="s">
        <v>101</v>
      </c>
      <c r="C49" s="14" t="s">
        <v>102</v>
      </c>
      <c r="D49" s="14" t="s">
        <v>103</v>
      </c>
      <c r="E49" s="15" t="s">
        <v>27</v>
      </c>
      <c r="F49" s="76" t="s">
        <v>104</v>
      </c>
    </row>
    <row r="50" spans="1:6" x14ac:dyDescent="0.45">
      <c r="A50" s="58" t="s">
        <v>34</v>
      </c>
      <c r="B50" s="2" t="s">
        <v>105</v>
      </c>
      <c r="C50" s="2" t="s">
        <v>106</v>
      </c>
      <c r="D50" s="2" t="s">
        <v>32</v>
      </c>
      <c r="E50" s="2" t="s">
        <v>27</v>
      </c>
      <c r="F50" s="77">
        <f>'Final Output'!K9</f>
        <v>-3.2644146767617892E-2</v>
      </c>
    </row>
    <row r="51" spans="1:6" x14ac:dyDescent="0.45">
      <c r="A51" s="58" t="s">
        <v>34</v>
      </c>
      <c r="B51" s="2" t="s">
        <v>107</v>
      </c>
      <c r="C51" s="2" t="s">
        <v>108</v>
      </c>
      <c r="D51" s="2" t="s">
        <v>32</v>
      </c>
      <c r="E51" s="2" t="s">
        <v>27</v>
      </c>
      <c r="F51" s="77">
        <f>'Final Output'!K10</f>
        <v>-2.8260425429635857E-2</v>
      </c>
    </row>
    <row r="52" spans="1:6" x14ac:dyDescent="0.45">
      <c r="A52" s="58" t="s">
        <v>34</v>
      </c>
      <c r="B52" s="2" t="s">
        <v>109</v>
      </c>
      <c r="C52" s="2" t="s">
        <v>110</v>
      </c>
      <c r="D52" s="2" t="s">
        <v>32</v>
      </c>
      <c r="E52" s="2" t="s">
        <v>27</v>
      </c>
      <c r="F52" s="77">
        <f>'Final Output'!K11</f>
        <v>-2.5380751456700844E-2</v>
      </c>
    </row>
    <row r="53" spans="1:6" x14ac:dyDescent="0.45">
      <c r="A53" s="58" t="s">
        <v>34</v>
      </c>
      <c r="B53" s="2" t="s">
        <v>111</v>
      </c>
      <c r="C53" s="2" t="s">
        <v>112</v>
      </c>
      <c r="D53" s="2" t="s">
        <v>32</v>
      </c>
      <c r="E53" s="2" t="s">
        <v>27</v>
      </c>
      <c r="F53" s="77">
        <f>'Final Output'!K12</f>
        <v>-2.0812855168176936E-2</v>
      </c>
    </row>
    <row r="54" spans="1:6" x14ac:dyDescent="0.45">
      <c r="A54" s="58" t="s">
        <v>34</v>
      </c>
      <c r="B54" s="2" t="s">
        <v>113</v>
      </c>
      <c r="C54" s="2" t="s">
        <v>114</v>
      </c>
      <c r="D54" s="2" t="s">
        <v>32</v>
      </c>
      <c r="E54" s="2" t="s">
        <v>27</v>
      </c>
      <c r="F54" s="77">
        <f>'Final Output'!K13</f>
        <v>-1.9157740993184135E-2</v>
      </c>
    </row>
    <row r="55" spans="1:6" x14ac:dyDescent="0.45">
      <c r="A55" s="58" t="s">
        <v>34</v>
      </c>
      <c r="B55" s="2" t="s">
        <v>115</v>
      </c>
      <c r="C55" s="2" t="s">
        <v>116</v>
      </c>
      <c r="D55" s="2" t="s">
        <v>32</v>
      </c>
      <c r="E55" s="2" t="s">
        <v>27</v>
      </c>
      <c r="F55" s="77">
        <f>'Final Output'!K14</f>
        <v>-1.7652792820671556E-2</v>
      </c>
    </row>
    <row r="56" spans="1:6" x14ac:dyDescent="0.45">
      <c r="A56" s="58" t="s">
        <v>34</v>
      </c>
      <c r="B56" s="2" t="s">
        <v>117</v>
      </c>
      <c r="C56" s="2" t="s">
        <v>118</v>
      </c>
      <c r="D56" s="2" t="s">
        <v>32</v>
      </c>
      <c r="E56" s="2" t="s">
        <v>27</v>
      </c>
      <c r="F56" s="77">
        <f>'Final Output'!K15</f>
        <v>-1.5681330910599887E-2</v>
      </c>
    </row>
    <row r="57" spans="1:6" x14ac:dyDescent="0.45">
      <c r="A57" s="58" t="s">
        <v>34</v>
      </c>
      <c r="B57" s="2" t="s">
        <v>119</v>
      </c>
      <c r="C57" s="2" t="s">
        <v>120</v>
      </c>
      <c r="D57" s="2" t="s">
        <v>32</v>
      </c>
      <c r="E57" s="2" t="s">
        <v>27</v>
      </c>
      <c r="F57" s="77">
        <f>'Final Output'!K16</f>
        <v>-1.4641633352370042E-2</v>
      </c>
    </row>
    <row r="58" spans="1:6" x14ac:dyDescent="0.45">
      <c r="A58" s="58" t="s">
        <v>34</v>
      </c>
      <c r="B58" s="2" t="s">
        <v>121</v>
      </c>
      <c r="C58" s="2" t="s">
        <v>122</v>
      </c>
      <c r="D58" s="2" t="s">
        <v>32</v>
      </c>
      <c r="E58" s="2" t="s">
        <v>27</v>
      </c>
      <c r="F58" s="77">
        <f>'Final Output'!K17</f>
        <v>-1.2975370785003604E-2</v>
      </c>
    </row>
    <row r="59" spans="1:6" x14ac:dyDescent="0.45">
      <c r="A59" s="58" t="s">
        <v>34</v>
      </c>
      <c r="B59" s="2" t="s">
        <v>123</v>
      </c>
      <c r="C59" s="2" t="s">
        <v>124</v>
      </c>
      <c r="D59" s="2" t="s">
        <v>32</v>
      </c>
      <c r="E59" s="2" t="s">
        <v>27</v>
      </c>
      <c r="F59" s="77">
        <f>'Final Output'!K18</f>
        <v>-1.1086309523809406E-2</v>
      </c>
    </row>
    <row r="60" spans="1:6" x14ac:dyDescent="0.45">
      <c r="A60" s="58" t="s">
        <v>34</v>
      </c>
      <c r="B60" s="2" t="s">
        <v>125</v>
      </c>
      <c r="C60" s="2" t="s">
        <v>126</v>
      </c>
      <c r="D60" s="2" t="s">
        <v>32</v>
      </c>
      <c r="E60" s="2" t="s">
        <v>27</v>
      </c>
      <c r="F60" s="77">
        <f>'Final Output'!K19</f>
        <v>-9.7657244716068178E-3</v>
      </c>
    </row>
    <row r="61" spans="1:6" x14ac:dyDescent="0.45">
      <c r="A61" s="58" t="s">
        <v>34</v>
      </c>
      <c r="B61" s="2" t="s">
        <v>127</v>
      </c>
      <c r="C61" s="2" t="s">
        <v>128</v>
      </c>
      <c r="D61" s="2" t="s">
        <v>32</v>
      </c>
      <c r="E61" s="2" t="s">
        <v>27</v>
      </c>
      <c r="F61" s="77">
        <f>'Final Output'!K20</f>
        <v>-9.3546325878593774E-3</v>
      </c>
    </row>
    <row r="62" spans="1:6" x14ac:dyDescent="0.45">
      <c r="A62" s="58" t="s">
        <v>34</v>
      </c>
      <c r="B62" s="2" t="s">
        <v>129</v>
      </c>
      <c r="C62" s="2" t="s">
        <v>130</v>
      </c>
      <c r="D62" s="2" t="s">
        <v>32</v>
      </c>
      <c r="E62" s="2" t="s">
        <v>27</v>
      </c>
      <c r="F62" s="77">
        <f>'Final Output'!K21</f>
        <v>-7.83717105263162E-3</v>
      </c>
    </row>
    <row r="63" spans="1:6" x14ac:dyDescent="0.45">
      <c r="A63" s="58" t="s">
        <v>34</v>
      </c>
      <c r="B63" s="2" t="s">
        <v>131</v>
      </c>
      <c r="C63" s="2" t="s">
        <v>132</v>
      </c>
      <c r="D63" s="2" t="s">
        <v>32</v>
      </c>
      <c r="E63" s="2" t="s">
        <v>27</v>
      </c>
      <c r="F63" s="77">
        <f>'Final Output'!K22</f>
        <v>-6.5390217259375105E-3</v>
      </c>
    </row>
    <row r="64" spans="1:6" x14ac:dyDescent="0.45">
      <c r="A64" s="58" t="s">
        <v>34</v>
      </c>
      <c r="B64" s="2" t="s">
        <v>133</v>
      </c>
      <c r="C64" s="2" t="s">
        <v>134</v>
      </c>
      <c r="D64" s="2" t="s">
        <v>32</v>
      </c>
      <c r="E64" s="2" t="s">
        <v>27</v>
      </c>
      <c r="F64" s="77">
        <f>'Final Output'!K23</f>
        <v>-5.2110530896432913E-3</v>
      </c>
    </row>
    <row r="65" spans="1:6" x14ac:dyDescent="0.45">
      <c r="A65" s="58" t="s">
        <v>34</v>
      </c>
      <c r="B65" s="2" t="s">
        <v>135</v>
      </c>
      <c r="C65" s="2" t="s">
        <v>136</v>
      </c>
      <c r="D65" s="2" t="s">
        <v>32</v>
      </c>
      <c r="E65" s="2" t="s">
        <v>27</v>
      </c>
      <c r="F65" s="77">
        <f>'Final Output'!K24</f>
        <v>-3.4003967421053624E-3</v>
      </c>
    </row>
    <row r="66" spans="1:6" x14ac:dyDescent="0.45">
      <c r="A66" s="58" t="s">
        <v>34</v>
      </c>
      <c r="B66" s="2" t="s">
        <v>137</v>
      </c>
      <c r="C66" s="2" t="s">
        <v>138</v>
      </c>
      <c r="D66" s="2" t="s">
        <v>32</v>
      </c>
      <c r="E66" s="2" t="s">
        <v>27</v>
      </c>
      <c r="F66" s="77">
        <f>'Final Output'!K25</f>
        <v>-2.5974025974025983E-3</v>
      </c>
    </row>
    <row r="67" spans="1:6" x14ac:dyDescent="0.45">
      <c r="A67" s="58" t="s">
        <v>35</v>
      </c>
      <c r="B67" s="14" t="s">
        <v>94</v>
      </c>
      <c r="C67" s="14" t="s">
        <v>95</v>
      </c>
      <c r="D67" s="14" t="s">
        <v>96</v>
      </c>
      <c r="E67" s="15" t="s">
        <v>27</v>
      </c>
      <c r="F67" s="75" t="str">
        <f ca="1">CONCATENATE("[…]", TEXT(NOW(),"dd/mm/yyy hh:mm:ss"))</f>
        <v>[…]12/12/2024 16:35:52</v>
      </c>
    </row>
    <row r="68" spans="1:6" x14ac:dyDescent="0.45">
      <c r="A68" s="58" t="s">
        <v>35</v>
      </c>
      <c r="B68" s="14" t="s">
        <v>97</v>
      </c>
      <c r="C68" s="14" t="s">
        <v>98</v>
      </c>
      <c r="D68" s="14" t="s">
        <v>96</v>
      </c>
      <c r="E68" s="15" t="s">
        <v>27</v>
      </c>
      <c r="F68" s="15" t="str">
        <f ca="1">MID(CELL("filename"),SEARCH("[",CELL("filename"))+1,SEARCH("]",CELL("filename"))-SEARCH("[",CELL("filename"))-1)</f>
        <v>PR24 FD OC11 ODI risk - Feeder Model (Discharge Permit Compliance).xlsx</v>
      </c>
    </row>
    <row r="69" spans="1:6" x14ac:dyDescent="0.45">
      <c r="A69" s="58" t="s">
        <v>35</v>
      </c>
      <c r="B69" s="14" t="s">
        <v>99</v>
      </c>
      <c r="C69" s="14" t="s">
        <v>100</v>
      </c>
      <c r="D69" s="14" t="s">
        <v>96</v>
      </c>
      <c r="E69" s="15" t="s">
        <v>27</v>
      </c>
      <c r="F69" s="15" t="str">
        <f>F_Inputs!$E$1</f>
        <v>Run on 12 Nov 2024 17:31</v>
      </c>
    </row>
    <row r="70" spans="1:6" x14ac:dyDescent="0.45">
      <c r="A70" s="58" t="s">
        <v>35</v>
      </c>
      <c r="B70" s="14" t="s">
        <v>101</v>
      </c>
      <c r="C70" s="14" t="s">
        <v>102</v>
      </c>
      <c r="D70" s="14" t="s">
        <v>103</v>
      </c>
      <c r="E70" s="15" t="s">
        <v>27</v>
      </c>
      <c r="F70" s="76" t="s">
        <v>104</v>
      </c>
    </row>
    <row r="71" spans="1:6" x14ac:dyDescent="0.45">
      <c r="A71" s="58" t="s">
        <v>35</v>
      </c>
      <c r="B71" s="2" t="s">
        <v>105</v>
      </c>
      <c r="C71" s="2" t="s">
        <v>106</v>
      </c>
      <c r="D71" s="2" t="s">
        <v>32</v>
      </c>
      <c r="E71" s="2" t="s">
        <v>27</v>
      </c>
      <c r="F71" s="77">
        <f>'Final Output'!K9</f>
        <v>-3.2644146767617892E-2</v>
      </c>
    </row>
    <row r="72" spans="1:6" x14ac:dyDescent="0.45">
      <c r="A72" s="58" t="s">
        <v>35</v>
      </c>
      <c r="B72" s="2" t="s">
        <v>107</v>
      </c>
      <c r="C72" s="2" t="s">
        <v>108</v>
      </c>
      <c r="D72" s="2" t="s">
        <v>32</v>
      </c>
      <c r="E72" s="2" t="s">
        <v>27</v>
      </c>
      <c r="F72" s="77">
        <f>'Final Output'!K10</f>
        <v>-2.8260425429635857E-2</v>
      </c>
    </row>
    <row r="73" spans="1:6" x14ac:dyDescent="0.45">
      <c r="A73" s="58" t="s">
        <v>35</v>
      </c>
      <c r="B73" s="2" t="s">
        <v>109</v>
      </c>
      <c r="C73" s="2" t="s">
        <v>110</v>
      </c>
      <c r="D73" s="2" t="s">
        <v>32</v>
      </c>
      <c r="E73" s="2" t="s">
        <v>27</v>
      </c>
      <c r="F73" s="77">
        <f>'Final Output'!K11</f>
        <v>-2.5380751456700844E-2</v>
      </c>
    </row>
    <row r="74" spans="1:6" x14ac:dyDescent="0.45">
      <c r="A74" s="58" t="s">
        <v>35</v>
      </c>
      <c r="B74" s="2" t="s">
        <v>111</v>
      </c>
      <c r="C74" s="2" t="s">
        <v>112</v>
      </c>
      <c r="D74" s="2" t="s">
        <v>32</v>
      </c>
      <c r="E74" s="2" t="s">
        <v>27</v>
      </c>
      <c r="F74" s="77">
        <f>'Final Output'!K12</f>
        <v>-2.0812855168176936E-2</v>
      </c>
    </row>
    <row r="75" spans="1:6" x14ac:dyDescent="0.45">
      <c r="A75" s="58" t="s">
        <v>35</v>
      </c>
      <c r="B75" s="2" t="s">
        <v>113</v>
      </c>
      <c r="C75" s="2" t="s">
        <v>114</v>
      </c>
      <c r="D75" s="2" t="s">
        <v>32</v>
      </c>
      <c r="E75" s="2" t="s">
        <v>27</v>
      </c>
      <c r="F75" s="77">
        <f>'Final Output'!K13</f>
        <v>-1.9157740993184135E-2</v>
      </c>
    </row>
    <row r="76" spans="1:6" x14ac:dyDescent="0.45">
      <c r="A76" s="58" t="s">
        <v>35</v>
      </c>
      <c r="B76" s="2" t="s">
        <v>115</v>
      </c>
      <c r="C76" s="2" t="s">
        <v>116</v>
      </c>
      <c r="D76" s="2" t="s">
        <v>32</v>
      </c>
      <c r="E76" s="2" t="s">
        <v>27</v>
      </c>
      <c r="F76" s="77">
        <f>'Final Output'!K14</f>
        <v>-1.7652792820671556E-2</v>
      </c>
    </row>
    <row r="77" spans="1:6" x14ac:dyDescent="0.45">
      <c r="A77" s="58" t="s">
        <v>35</v>
      </c>
      <c r="B77" s="2" t="s">
        <v>117</v>
      </c>
      <c r="C77" s="2" t="s">
        <v>118</v>
      </c>
      <c r="D77" s="2" t="s">
        <v>32</v>
      </c>
      <c r="E77" s="2" t="s">
        <v>27</v>
      </c>
      <c r="F77" s="77">
        <f>'Final Output'!K15</f>
        <v>-1.5681330910599887E-2</v>
      </c>
    </row>
    <row r="78" spans="1:6" x14ac:dyDescent="0.45">
      <c r="A78" s="58" t="s">
        <v>35</v>
      </c>
      <c r="B78" s="2" t="s">
        <v>119</v>
      </c>
      <c r="C78" s="2" t="s">
        <v>120</v>
      </c>
      <c r="D78" s="2" t="s">
        <v>32</v>
      </c>
      <c r="E78" s="2" t="s">
        <v>27</v>
      </c>
      <c r="F78" s="77">
        <f>'Final Output'!K16</f>
        <v>-1.4641633352370042E-2</v>
      </c>
    </row>
    <row r="79" spans="1:6" x14ac:dyDescent="0.45">
      <c r="A79" s="58" t="s">
        <v>35</v>
      </c>
      <c r="B79" s="2" t="s">
        <v>121</v>
      </c>
      <c r="C79" s="2" t="s">
        <v>122</v>
      </c>
      <c r="D79" s="2" t="s">
        <v>32</v>
      </c>
      <c r="E79" s="2" t="s">
        <v>27</v>
      </c>
      <c r="F79" s="77">
        <f>'Final Output'!K17</f>
        <v>-1.2975370785003604E-2</v>
      </c>
    </row>
    <row r="80" spans="1:6" x14ac:dyDescent="0.45">
      <c r="A80" s="58" t="s">
        <v>35</v>
      </c>
      <c r="B80" s="2" t="s">
        <v>123</v>
      </c>
      <c r="C80" s="2" t="s">
        <v>124</v>
      </c>
      <c r="D80" s="2" t="s">
        <v>32</v>
      </c>
      <c r="E80" s="2" t="s">
        <v>27</v>
      </c>
      <c r="F80" s="77">
        <f>'Final Output'!K18</f>
        <v>-1.1086309523809406E-2</v>
      </c>
    </row>
    <row r="81" spans="1:6" x14ac:dyDescent="0.45">
      <c r="A81" s="58" t="s">
        <v>35</v>
      </c>
      <c r="B81" s="2" t="s">
        <v>125</v>
      </c>
      <c r="C81" s="2" t="s">
        <v>126</v>
      </c>
      <c r="D81" s="2" t="s">
        <v>32</v>
      </c>
      <c r="E81" s="2" t="s">
        <v>27</v>
      </c>
      <c r="F81" s="77">
        <f>'Final Output'!K19</f>
        <v>-9.7657244716068178E-3</v>
      </c>
    </row>
    <row r="82" spans="1:6" x14ac:dyDescent="0.45">
      <c r="A82" s="58" t="s">
        <v>35</v>
      </c>
      <c r="B82" s="2" t="s">
        <v>127</v>
      </c>
      <c r="C82" s="2" t="s">
        <v>128</v>
      </c>
      <c r="D82" s="2" t="s">
        <v>32</v>
      </c>
      <c r="E82" s="2" t="s">
        <v>27</v>
      </c>
      <c r="F82" s="77">
        <f>'Final Output'!K20</f>
        <v>-9.3546325878593774E-3</v>
      </c>
    </row>
    <row r="83" spans="1:6" x14ac:dyDescent="0.45">
      <c r="A83" s="58" t="s">
        <v>35</v>
      </c>
      <c r="B83" s="2" t="s">
        <v>129</v>
      </c>
      <c r="C83" s="2" t="s">
        <v>130</v>
      </c>
      <c r="D83" s="2" t="s">
        <v>32</v>
      </c>
      <c r="E83" s="2" t="s">
        <v>27</v>
      </c>
      <c r="F83" s="77">
        <f>'Final Output'!K21</f>
        <v>-7.83717105263162E-3</v>
      </c>
    </row>
    <row r="84" spans="1:6" x14ac:dyDescent="0.45">
      <c r="A84" s="58" t="s">
        <v>35</v>
      </c>
      <c r="B84" s="2" t="s">
        <v>131</v>
      </c>
      <c r="C84" s="2" t="s">
        <v>132</v>
      </c>
      <c r="D84" s="2" t="s">
        <v>32</v>
      </c>
      <c r="E84" s="2" t="s">
        <v>27</v>
      </c>
      <c r="F84" s="77">
        <f>'Final Output'!K22</f>
        <v>-6.5390217259375105E-3</v>
      </c>
    </row>
    <row r="85" spans="1:6" x14ac:dyDescent="0.45">
      <c r="A85" s="58" t="s">
        <v>35</v>
      </c>
      <c r="B85" s="2" t="s">
        <v>133</v>
      </c>
      <c r="C85" s="2" t="s">
        <v>134</v>
      </c>
      <c r="D85" s="2" t="s">
        <v>32</v>
      </c>
      <c r="E85" s="2" t="s">
        <v>27</v>
      </c>
      <c r="F85" s="77">
        <f>'Final Output'!K23</f>
        <v>-5.2110530896432913E-3</v>
      </c>
    </row>
    <row r="86" spans="1:6" x14ac:dyDescent="0.45">
      <c r="A86" s="58" t="s">
        <v>35</v>
      </c>
      <c r="B86" s="2" t="s">
        <v>135</v>
      </c>
      <c r="C86" s="2" t="s">
        <v>136</v>
      </c>
      <c r="D86" s="2" t="s">
        <v>32</v>
      </c>
      <c r="E86" s="2" t="s">
        <v>27</v>
      </c>
      <c r="F86" s="77">
        <f>'Final Output'!K24</f>
        <v>-3.4003967421053624E-3</v>
      </c>
    </row>
    <row r="87" spans="1:6" x14ac:dyDescent="0.45">
      <c r="A87" s="58" t="s">
        <v>35</v>
      </c>
      <c r="B87" s="2" t="s">
        <v>137</v>
      </c>
      <c r="C87" s="2" t="s">
        <v>138</v>
      </c>
      <c r="D87" s="2" t="s">
        <v>32</v>
      </c>
      <c r="E87" s="2" t="s">
        <v>27</v>
      </c>
      <c r="F87" s="77">
        <f>'Final Output'!K25</f>
        <v>-2.5974025974025983E-3</v>
      </c>
    </row>
    <row r="88" spans="1:6" x14ac:dyDescent="0.45">
      <c r="A88" s="58" t="s">
        <v>37</v>
      </c>
      <c r="B88" s="14" t="s">
        <v>94</v>
      </c>
      <c r="C88" s="14" t="s">
        <v>95</v>
      </c>
      <c r="D88" s="14" t="s">
        <v>96</v>
      </c>
      <c r="E88" s="15" t="s">
        <v>27</v>
      </c>
      <c r="F88" s="75" t="str">
        <f ca="1">CONCATENATE("[…]", TEXT(NOW(),"dd/mm/yyy hh:mm:ss"))</f>
        <v>[…]12/12/2024 16:35:52</v>
      </c>
    </row>
    <row r="89" spans="1:6" x14ac:dyDescent="0.45">
      <c r="A89" s="58" t="s">
        <v>37</v>
      </c>
      <c r="B89" s="14" t="s">
        <v>97</v>
      </c>
      <c r="C89" s="14" t="s">
        <v>98</v>
      </c>
      <c r="D89" s="14" t="s">
        <v>96</v>
      </c>
      <c r="E89" s="15" t="s">
        <v>27</v>
      </c>
      <c r="F89" s="15" t="str">
        <f ca="1">MID(CELL("filename"),SEARCH("[",CELL("filename"))+1,SEARCH("]",CELL("filename"))-SEARCH("[",CELL("filename"))-1)</f>
        <v>PR24 FD OC11 ODI risk - Feeder Model (Discharge Permit Compliance).xlsx</v>
      </c>
    </row>
    <row r="90" spans="1:6" x14ac:dyDescent="0.45">
      <c r="A90" s="58" t="s">
        <v>37</v>
      </c>
      <c r="B90" s="14" t="s">
        <v>99</v>
      </c>
      <c r="C90" s="14" t="s">
        <v>100</v>
      </c>
      <c r="D90" s="14" t="s">
        <v>96</v>
      </c>
      <c r="E90" s="15" t="s">
        <v>27</v>
      </c>
      <c r="F90" s="15" t="str">
        <f>F_Inputs!$E$1</f>
        <v>Run on 12 Nov 2024 17:31</v>
      </c>
    </row>
    <row r="91" spans="1:6" x14ac:dyDescent="0.45">
      <c r="A91" s="58" t="s">
        <v>37</v>
      </c>
      <c r="B91" s="14" t="s">
        <v>101</v>
      </c>
      <c r="C91" s="14" t="s">
        <v>102</v>
      </c>
      <c r="D91" s="14" t="s">
        <v>103</v>
      </c>
      <c r="E91" s="15" t="s">
        <v>27</v>
      </c>
      <c r="F91" s="76" t="s">
        <v>104</v>
      </c>
    </row>
    <row r="92" spans="1:6" x14ac:dyDescent="0.45">
      <c r="A92" s="58" t="s">
        <v>37</v>
      </c>
      <c r="B92" s="2" t="s">
        <v>105</v>
      </c>
      <c r="C92" s="2" t="s">
        <v>106</v>
      </c>
      <c r="D92" s="2" t="s">
        <v>32</v>
      </c>
      <c r="E92" s="2" t="s">
        <v>27</v>
      </c>
      <c r="F92" s="77">
        <f>'Final Output'!K9</f>
        <v>-3.2644146767617892E-2</v>
      </c>
    </row>
    <row r="93" spans="1:6" x14ac:dyDescent="0.45">
      <c r="A93" s="58" t="s">
        <v>37</v>
      </c>
      <c r="B93" s="2" t="s">
        <v>107</v>
      </c>
      <c r="C93" s="2" t="s">
        <v>108</v>
      </c>
      <c r="D93" s="2" t="s">
        <v>32</v>
      </c>
      <c r="E93" s="2" t="s">
        <v>27</v>
      </c>
      <c r="F93" s="77">
        <f>'Final Output'!K10</f>
        <v>-2.8260425429635857E-2</v>
      </c>
    </row>
    <row r="94" spans="1:6" x14ac:dyDescent="0.45">
      <c r="A94" s="58" t="s">
        <v>37</v>
      </c>
      <c r="B94" s="2" t="s">
        <v>109</v>
      </c>
      <c r="C94" s="2" t="s">
        <v>110</v>
      </c>
      <c r="D94" s="2" t="s">
        <v>32</v>
      </c>
      <c r="E94" s="2" t="s">
        <v>27</v>
      </c>
      <c r="F94" s="77">
        <f>'Final Output'!K11</f>
        <v>-2.5380751456700844E-2</v>
      </c>
    </row>
    <row r="95" spans="1:6" x14ac:dyDescent="0.45">
      <c r="A95" s="58" t="s">
        <v>37</v>
      </c>
      <c r="B95" s="2" t="s">
        <v>111</v>
      </c>
      <c r="C95" s="2" t="s">
        <v>112</v>
      </c>
      <c r="D95" s="2" t="s">
        <v>32</v>
      </c>
      <c r="E95" s="2" t="s">
        <v>27</v>
      </c>
      <c r="F95" s="77">
        <f>'Final Output'!K12</f>
        <v>-2.0812855168176936E-2</v>
      </c>
    </row>
    <row r="96" spans="1:6" x14ac:dyDescent="0.45">
      <c r="A96" s="58" t="s">
        <v>37</v>
      </c>
      <c r="B96" s="2" t="s">
        <v>113</v>
      </c>
      <c r="C96" s="2" t="s">
        <v>114</v>
      </c>
      <c r="D96" s="2" t="s">
        <v>32</v>
      </c>
      <c r="E96" s="2" t="s">
        <v>27</v>
      </c>
      <c r="F96" s="77">
        <f>'Final Output'!K13</f>
        <v>-1.9157740993184135E-2</v>
      </c>
    </row>
    <row r="97" spans="1:6" x14ac:dyDescent="0.45">
      <c r="A97" s="58" t="s">
        <v>37</v>
      </c>
      <c r="B97" s="2" t="s">
        <v>115</v>
      </c>
      <c r="C97" s="2" t="s">
        <v>116</v>
      </c>
      <c r="D97" s="2" t="s">
        <v>32</v>
      </c>
      <c r="E97" s="2" t="s">
        <v>27</v>
      </c>
      <c r="F97" s="77">
        <f>'Final Output'!K14</f>
        <v>-1.7652792820671556E-2</v>
      </c>
    </row>
    <row r="98" spans="1:6" x14ac:dyDescent="0.45">
      <c r="A98" s="58" t="s">
        <v>37</v>
      </c>
      <c r="B98" s="2" t="s">
        <v>117</v>
      </c>
      <c r="C98" s="2" t="s">
        <v>118</v>
      </c>
      <c r="D98" s="2" t="s">
        <v>32</v>
      </c>
      <c r="E98" s="2" t="s">
        <v>27</v>
      </c>
      <c r="F98" s="77">
        <f>'Final Output'!K15</f>
        <v>-1.5681330910599887E-2</v>
      </c>
    </row>
    <row r="99" spans="1:6" x14ac:dyDescent="0.45">
      <c r="A99" s="58" t="s">
        <v>37</v>
      </c>
      <c r="B99" s="2" t="s">
        <v>119</v>
      </c>
      <c r="C99" s="2" t="s">
        <v>120</v>
      </c>
      <c r="D99" s="2" t="s">
        <v>32</v>
      </c>
      <c r="E99" s="2" t="s">
        <v>27</v>
      </c>
      <c r="F99" s="77">
        <f>'Final Output'!K16</f>
        <v>-1.4641633352370042E-2</v>
      </c>
    </row>
    <row r="100" spans="1:6" x14ac:dyDescent="0.45">
      <c r="A100" s="58" t="s">
        <v>37</v>
      </c>
      <c r="B100" s="2" t="s">
        <v>121</v>
      </c>
      <c r="C100" s="2" t="s">
        <v>122</v>
      </c>
      <c r="D100" s="2" t="s">
        <v>32</v>
      </c>
      <c r="E100" s="2" t="s">
        <v>27</v>
      </c>
      <c r="F100" s="77">
        <f>'Final Output'!K17</f>
        <v>-1.2975370785003604E-2</v>
      </c>
    </row>
    <row r="101" spans="1:6" x14ac:dyDescent="0.45">
      <c r="A101" s="58" t="s">
        <v>37</v>
      </c>
      <c r="B101" s="2" t="s">
        <v>123</v>
      </c>
      <c r="C101" s="2" t="s">
        <v>124</v>
      </c>
      <c r="D101" s="2" t="s">
        <v>32</v>
      </c>
      <c r="E101" s="2" t="s">
        <v>27</v>
      </c>
      <c r="F101" s="77">
        <f>'Final Output'!K18</f>
        <v>-1.1086309523809406E-2</v>
      </c>
    </row>
    <row r="102" spans="1:6" x14ac:dyDescent="0.45">
      <c r="A102" s="58" t="s">
        <v>37</v>
      </c>
      <c r="B102" s="2" t="s">
        <v>125</v>
      </c>
      <c r="C102" s="2" t="s">
        <v>126</v>
      </c>
      <c r="D102" s="2" t="s">
        <v>32</v>
      </c>
      <c r="E102" s="2" t="s">
        <v>27</v>
      </c>
      <c r="F102" s="77">
        <f>'Final Output'!K19</f>
        <v>-9.7657244716068178E-3</v>
      </c>
    </row>
    <row r="103" spans="1:6" x14ac:dyDescent="0.45">
      <c r="A103" s="58" t="s">
        <v>37</v>
      </c>
      <c r="B103" s="2" t="s">
        <v>127</v>
      </c>
      <c r="C103" s="2" t="s">
        <v>128</v>
      </c>
      <c r="D103" s="2" t="s">
        <v>32</v>
      </c>
      <c r="E103" s="2" t="s">
        <v>27</v>
      </c>
      <c r="F103" s="77">
        <f>'Final Output'!K20</f>
        <v>-9.3546325878593774E-3</v>
      </c>
    </row>
    <row r="104" spans="1:6" x14ac:dyDescent="0.45">
      <c r="A104" s="58" t="s">
        <v>37</v>
      </c>
      <c r="B104" s="2" t="s">
        <v>129</v>
      </c>
      <c r="C104" s="2" t="s">
        <v>130</v>
      </c>
      <c r="D104" s="2" t="s">
        <v>32</v>
      </c>
      <c r="E104" s="2" t="s">
        <v>27</v>
      </c>
      <c r="F104" s="77">
        <f>'Final Output'!K21</f>
        <v>-7.83717105263162E-3</v>
      </c>
    </row>
    <row r="105" spans="1:6" x14ac:dyDescent="0.45">
      <c r="A105" s="58" t="s">
        <v>37</v>
      </c>
      <c r="B105" s="2" t="s">
        <v>131</v>
      </c>
      <c r="C105" s="2" t="s">
        <v>132</v>
      </c>
      <c r="D105" s="2" t="s">
        <v>32</v>
      </c>
      <c r="E105" s="2" t="s">
        <v>27</v>
      </c>
      <c r="F105" s="77">
        <f>'Final Output'!K22</f>
        <v>-6.5390217259375105E-3</v>
      </c>
    </row>
    <row r="106" spans="1:6" x14ac:dyDescent="0.45">
      <c r="A106" s="58" t="s">
        <v>37</v>
      </c>
      <c r="B106" s="2" t="s">
        <v>133</v>
      </c>
      <c r="C106" s="2" t="s">
        <v>134</v>
      </c>
      <c r="D106" s="2" t="s">
        <v>32</v>
      </c>
      <c r="E106" s="2" t="s">
        <v>27</v>
      </c>
      <c r="F106" s="77">
        <f>'Final Output'!K23</f>
        <v>-5.2110530896432913E-3</v>
      </c>
    </row>
    <row r="107" spans="1:6" x14ac:dyDescent="0.45">
      <c r="A107" s="58" t="s">
        <v>37</v>
      </c>
      <c r="B107" s="2" t="s">
        <v>135</v>
      </c>
      <c r="C107" s="2" t="s">
        <v>136</v>
      </c>
      <c r="D107" s="2" t="s">
        <v>32</v>
      </c>
      <c r="E107" s="2" t="s">
        <v>27</v>
      </c>
      <c r="F107" s="77">
        <f>'Final Output'!K24</f>
        <v>-3.4003967421053624E-3</v>
      </c>
    </row>
    <row r="108" spans="1:6" x14ac:dyDescent="0.45">
      <c r="A108" s="58" t="s">
        <v>37</v>
      </c>
      <c r="B108" s="2" t="s">
        <v>137</v>
      </c>
      <c r="C108" s="2" t="s">
        <v>138</v>
      </c>
      <c r="D108" s="2" t="s">
        <v>32</v>
      </c>
      <c r="E108" s="2" t="s">
        <v>27</v>
      </c>
      <c r="F108" s="77">
        <f>'Final Output'!K25</f>
        <v>-2.5974025974025983E-3</v>
      </c>
    </row>
    <row r="109" spans="1:6" x14ac:dyDescent="0.45">
      <c r="A109" s="58" t="s">
        <v>38</v>
      </c>
      <c r="B109" s="14" t="s">
        <v>94</v>
      </c>
      <c r="C109" s="14" t="s">
        <v>95</v>
      </c>
      <c r="D109" s="14" t="s">
        <v>96</v>
      </c>
      <c r="E109" s="15" t="s">
        <v>27</v>
      </c>
      <c r="F109" s="75" t="str">
        <f ca="1">CONCATENATE("[…]", TEXT(NOW(),"dd/mm/yyy hh:mm:ss"))</f>
        <v>[…]12/12/2024 16:35:52</v>
      </c>
    </row>
    <row r="110" spans="1:6" x14ac:dyDescent="0.45">
      <c r="A110" s="58" t="s">
        <v>38</v>
      </c>
      <c r="B110" s="14" t="s">
        <v>97</v>
      </c>
      <c r="C110" s="14" t="s">
        <v>98</v>
      </c>
      <c r="D110" s="14" t="s">
        <v>96</v>
      </c>
      <c r="E110" s="15" t="s">
        <v>27</v>
      </c>
      <c r="F110" s="15" t="str">
        <f ca="1">MID(CELL("filename"),SEARCH("[",CELL("filename"))+1,SEARCH("]",CELL("filename"))-SEARCH("[",CELL("filename"))-1)</f>
        <v>PR24 FD OC11 ODI risk - Feeder Model (Discharge Permit Compliance).xlsx</v>
      </c>
    </row>
    <row r="111" spans="1:6" x14ac:dyDescent="0.45">
      <c r="A111" s="58" t="s">
        <v>38</v>
      </c>
      <c r="B111" s="14" t="s">
        <v>99</v>
      </c>
      <c r="C111" s="14" t="s">
        <v>100</v>
      </c>
      <c r="D111" s="14" t="s">
        <v>96</v>
      </c>
      <c r="E111" s="15" t="s">
        <v>27</v>
      </c>
      <c r="F111" s="15" t="str">
        <f>F_Inputs!$E$1</f>
        <v>Run on 12 Nov 2024 17:31</v>
      </c>
    </row>
    <row r="112" spans="1:6" x14ac:dyDescent="0.45">
      <c r="A112" s="58" t="s">
        <v>38</v>
      </c>
      <c r="B112" s="14" t="s">
        <v>101</v>
      </c>
      <c r="C112" s="14" t="s">
        <v>102</v>
      </c>
      <c r="D112" s="14" t="s">
        <v>103</v>
      </c>
      <c r="E112" s="15" t="s">
        <v>27</v>
      </c>
      <c r="F112" s="76" t="s">
        <v>104</v>
      </c>
    </row>
    <row r="113" spans="1:6" x14ac:dyDescent="0.45">
      <c r="A113" s="58" t="s">
        <v>38</v>
      </c>
      <c r="B113" s="2" t="s">
        <v>105</v>
      </c>
      <c r="C113" s="2" t="s">
        <v>106</v>
      </c>
      <c r="D113" s="2" t="s">
        <v>32</v>
      </c>
      <c r="E113" s="2" t="s">
        <v>27</v>
      </c>
      <c r="F113" s="77">
        <f>'Final Output'!K9</f>
        <v>-3.2644146767617892E-2</v>
      </c>
    </row>
    <row r="114" spans="1:6" x14ac:dyDescent="0.45">
      <c r="A114" s="58" t="s">
        <v>38</v>
      </c>
      <c r="B114" s="2" t="s">
        <v>107</v>
      </c>
      <c r="C114" s="2" t="s">
        <v>108</v>
      </c>
      <c r="D114" s="2" t="s">
        <v>32</v>
      </c>
      <c r="E114" s="2" t="s">
        <v>27</v>
      </c>
      <c r="F114" s="77">
        <f>'Final Output'!K10</f>
        <v>-2.8260425429635857E-2</v>
      </c>
    </row>
    <row r="115" spans="1:6" x14ac:dyDescent="0.45">
      <c r="A115" s="58" t="s">
        <v>38</v>
      </c>
      <c r="B115" s="2" t="s">
        <v>109</v>
      </c>
      <c r="C115" s="2" t="s">
        <v>110</v>
      </c>
      <c r="D115" s="2" t="s">
        <v>32</v>
      </c>
      <c r="E115" s="2" t="s">
        <v>27</v>
      </c>
      <c r="F115" s="77">
        <f>'Final Output'!K11</f>
        <v>-2.5380751456700844E-2</v>
      </c>
    </row>
    <row r="116" spans="1:6" x14ac:dyDescent="0.45">
      <c r="A116" s="58" t="s">
        <v>38</v>
      </c>
      <c r="B116" s="2" t="s">
        <v>111</v>
      </c>
      <c r="C116" s="2" t="s">
        <v>112</v>
      </c>
      <c r="D116" s="2" t="s">
        <v>32</v>
      </c>
      <c r="E116" s="2" t="s">
        <v>27</v>
      </c>
      <c r="F116" s="77">
        <f>'Final Output'!K12</f>
        <v>-2.0812855168176936E-2</v>
      </c>
    </row>
    <row r="117" spans="1:6" x14ac:dyDescent="0.45">
      <c r="A117" s="58" t="s">
        <v>38</v>
      </c>
      <c r="B117" s="2" t="s">
        <v>113</v>
      </c>
      <c r="C117" s="2" t="s">
        <v>114</v>
      </c>
      <c r="D117" s="2" t="s">
        <v>32</v>
      </c>
      <c r="E117" s="2" t="s">
        <v>27</v>
      </c>
      <c r="F117" s="77">
        <f>'Final Output'!K13</f>
        <v>-1.9157740993184135E-2</v>
      </c>
    </row>
    <row r="118" spans="1:6" x14ac:dyDescent="0.45">
      <c r="A118" s="58" t="s">
        <v>38</v>
      </c>
      <c r="B118" s="2" t="s">
        <v>115</v>
      </c>
      <c r="C118" s="2" t="s">
        <v>116</v>
      </c>
      <c r="D118" s="2" t="s">
        <v>32</v>
      </c>
      <c r="E118" s="2" t="s">
        <v>27</v>
      </c>
      <c r="F118" s="77">
        <f>'Final Output'!K14</f>
        <v>-1.7652792820671556E-2</v>
      </c>
    </row>
    <row r="119" spans="1:6" x14ac:dyDescent="0.45">
      <c r="A119" s="58" t="s">
        <v>38</v>
      </c>
      <c r="B119" s="2" t="s">
        <v>117</v>
      </c>
      <c r="C119" s="2" t="s">
        <v>118</v>
      </c>
      <c r="D119" s="2" t="s">
        <v>32</v>
      </c>
      <c r="E119" s="2" t="s">
        <v>27</v>
      </c>
      <c r="F119" s="77">
        <f>'Final Output'!K15</f>
        <v>-1.5681330910599887E-2</v>
      </c>
    </row>
    <row r="120" spans="1:6" x14ac:dyDescent="0.45">
      <c r="A120" s="58" t="s">
        <v>38</v>
      </c>
      <c r="B120" s="2" t="s">
        <v>119</v>
      </c>
      <c r="C120" s="2" t="s">
        <v>120</v>
      </c>
      <c r="D120" s="2" t="s">
        <v>32</v>
      </c>
      <c r="E120" s="2" t="s">
        <v>27</v>
      </c>
      <c r="F120" s="77">
        <f>'Final Output'!K16</f>
        <v>-1.4641633352370042E-2</v>
      </c>
    </row>
    <row r="121" spans="1:6" x14ac:dyDescent="0.45">
      <c r="A121" s="58" t="s">
        <v>38</v>
      </c>
      <c r="B121" s="2" t="s">
        <v>121</v>
      </c>
      <c r="C121" s="2" t="s">
        <v>122</v>
      </c>
      <c r="D121" s="2" t="s">
        <v>32</v>
      </c>
      <c r="E121" s="2" t="s">
        <v>27</v>
      </c>
      <c r="F121" s="77">
        <f>'Final Output'!K17</f>
        <v>-1.2975370785003604E-2</v>
      </c>
    </row>
    <row r="122" spans="1:6" x14ac:dyDescent="0.45">
      <c r="A122" s="58" t="s">
        <v>38</v>
      </c>
      <c r="B122" s="2" t="s">
        <v>123</v>
      </c>
      <c r="C122" s="2" t="s">
        <v>124</v>
      </c>
      <c r="D122" s="2" t="s">
        <v>32</v>
      </c>
      <c r="E122" s="2" t="s">
        <v>27</v>
      </c>
      <c r="F122" s="77">
        <f>'Final Output'!K18</f>
        <v>-1.1086309523809406E-2</v>
      </c>
    </row>
    <row r="123" spans="1:6" x14ac:dyDescent="0.45">
      <c r="A123" s="58" t="s">
        <v>38</v>
      </c>
      <c r="B123" s="2" t="s">
        <v>125</v>
      </c>
      <c r="C123" s="2" t="s">
        <v>126</v>
      </c>
      <c r="D123" s="2" t="s">
        <v>32</v>
      </c>
      <c r="E123" s="2" t="s">
        <v>27</v>
      </c>
      <c r="F123" s="77">
        <f>'Final Output'!K19</f>
        <v>-9.7657244716068178E-3</v>
      </c>
    </row>
    <row r="124" spans="1:6" x14ac:dyDescent="0.45">
      <c r="A124" s="58" t="s">
        <v>38</v>
      </c>
      <c r="B124" s="2" t="s">
        <v>127</v>
      </c>
      <c r="C124" s="2" t="s">
        <v>128</v>
      </c>
      <c r="D124" s="2" t="s">
        <v>32</v>
      </c>
      <c r="E124" s="2" t="s">
        <v>27</v>
      </c>
      <c r="F124" s="77">
        <f>'Final Output'!K20</f>
        <v>-9.3546325878593774E-3</v>
      </c>
    </row>
    <row r="125" spans="1:6" x14ac:dyDescent="0.45">
      <c r="A125" s="58" t="s">
        <v>38</v>
      </c>
      <c r="B125" s="2" t="s">
        <v>129</v>
      </c>
      <c r="C125" s="2" t="s">
        <v>130</v>
      </c>
      <c r="D125" s="2" t="s">
        <v>32</v>
      </c>
      <c r="E125" s="2" t="s">
        <v>27</v>
      </c>
      <c r="F125" s="77">
        <f>'Final Output'!K21</f>
        <v>-7.83717105263162E-3</v>
      </c>
    </row>
    <row r="126" spans="1:6" x14ac:dyDescent="0.45">
      <c r="A126" s="58" t="s">
        <v>38</v>
      </c>
      <c r="B126" s="2" t="s">
        <v>131</v>
      </c>
      <c r="C126" s="2" t="s">
        <v>132</v>
      </c>
      <c r="D126" s="2" t="s">
        <v>32</v>
      </c>
      <c r="E126" s="2" t="s">
        <v>27</v>
      </c>
      <c r="F126" s="77">
        <f>'Final Output'!K22</f>
        <v>-6.5390217259375105E-3</v>
      </c>
    </row>
    <row r="127" spans="1:6" x14ac:dyDescent="0.45">
      <c r="A127" s="58" t="s">
        <v>38</v>
      </c>
      <c r="B127" s="2" t="s">
        <v>133</v>
      </c>
      <c r="C127" s="2" t="s">
        <v>134</v>
      </c>
      <c r="D127" s="2" t="s">
        <v>32</v>
      </c>
      <c r="E127" s="2" t="s">
        <v>27</v>
      </c>
      <c r="F127" s="77">
        <f>'Final Output'!K23</f>
        <v>-5.2110530896432913E-3</v>
      </c>
    </row>
    <row r="128" spans="1:6" x14ac:dyDescent="0.45">
      <c r="A128" s="58" t="s">
        <v>38</v>
      </c>
      <c r="B128" s="2" t="s">
        <v>135</v>
      </c>
      <c r="C128" s="2" t="s">
        <v>136</v>
      </c>
      <c r="D128" s="2" t="s">
        <v>32</v>
      </c>
      <c r="E128" s="2" t="s">
        <v>27</v>
      </c>
      <c r="F128" s="77">
        <f>'Final Output'!K24</f>
        <v>-3.4003967421053624E-3</v>
      </c>
    </row>
    <row r="129" spans="1:6" x14ac:dyDescent="0.45">
      <c r="A129" s="58" t="s">
        <v>38</v>
      </c>
      <c r="B129" s="2" t="s">
        <v>137</v>
      </c>
      <c r="C129" s="2" t="s">
        <v>138</v>
      </c>
      <c r="D129" s="2" t="s">
        <v>32</v>
      </c>
      <c r="E129" s="2" t="s">
        <v>27</v>
      </c>
      <c r="F129" s="77">
        <f>'Final Output'!K25</f>
        <v>-2.5974025974025983E-3</v>
      </c>
    </row>
    <row r="130" spans="1:6" x14ac:dyDescent="0.45">
      <c r="A130" s="58" t="s">
        <v>39</v>
      </c>
      <c r="B130" s="14" t="s">
        <v>94</v>
      </c>
      <c r="C130" s="14" t="s">
        <v>95</v>
      </c>
      <c r="D130" s="14" t="s">
        <v>96</v>
      </c>
      <c r="E130" s="15" t="s">
        <v>27</v>
      </c>
      <c r="F130" s="75" t="str">
        <f ca="1">CONCATENATE("[…]", TEXT(NOW(),"dd/mm/yyy hh:mm:ss"))</f>
        <v>[…]12/12/2024 16:35:52</v>
      </c>
    </row>
    <row r="131" spans="1:6" x14ac:dyDescent="0.45">
      <c r="A131" s="58" t="s">
        <v>39</v>
      </c>
      <c r="B131" s="14" t="s">
        <v>97</v>
      </c>
      <c r="C131" s="14" t="s">
        <v>98</v>
      </c>
      <c r="D131" s="14" t="s">
        <v>96</v>
      </c>
      <c r="E131" s="15" t="s">
        <v>27</v>
      </c>
      <c r="F131" s="15" t="str">
        <f ca="1">MID(CELL("filename"),SEARCH("[",CELL("filename"))+1,SEARCH("]",CELL("filename"))-SEARCH("[",CELL("filename"))-1)</f>
        <v>PR24 FD OC11 ODI risk - Feeder Model (Discharge Permit Compliance).xlsx</v>
      </c>
    </row>
    <row r="132" spans="1:6" x14ac:dyDescent="0.45">
      <c r="A132" s="58" t="s">
        <v>39</v>
      </c>
      <c r="B132" s="14" t="s">
        <v>99</v>
      </c>
      <c r="C132" s="14" t="s">
        <v>100</v>
      </c>
      <c r="D132" s="14" t="s">
        <v>96</v>
      </c>
      <c r="E132" s="15" t="s">
        <v>27</v>
      </c>
      <c r="F132" s="15" t="str">
        <f>F_Inputs!$E$1</f>
        <v>Run on 12 Nov 2024 17:31</v>
      </c>
    </row>
    <row r="133" spans="1:6" x14ac:dyDescent="0.45">
      <c r="A133" s="58" t="s">
        <v>39</v>
      </c>
      <c r="B133" s="14" t="s">
        <v>101</v>
      </c>
      <c r="C133" s="14" t="s">
        <v>102</v>
      </c>
      <c r="D133" s="14" t="s">
        <v>103</v>
      </c>
      <c r="E133" s="15" t="s">
        <v>27</v>
      </c>
      <c r="F133" s="76" t="s">
        <v>104</v>
      </c>
    </row>
    <row r="134" spans="1:6" x14ac:dyDescent="0.45">
      <c r="A134" s="58" t="s">
        <v>39</v>
      </c>
      <c r="B134" s="2" t="s">
        <v>105</v>
      </c>
      <c r="C134" s="2" t="s">
        <v>106</v>
      </c>
      <c r="D134" s="2" t="s">
        <v>32</v>
      </c>
      <c r="E134" s="2" t="s">
        <v>27</v>
      </c>
      <c r="F134" s="77">
        <f>'Final Output'!K9</f>
        <v>-3.2644146767617892E-2</v>
      </c>
    </row>
    <row r="135" spans="1:6" x14ac:dyDescent="0.45">
      <c r="A135" s="58" t="s">
        <v>39</v>
      </c>
      <c r="B135" s="2" t="s">
        <v>107</v>
      </c>
      <c r="C135" s="2" t="s">
        <v>108</v>
      </c>
      <c r="D135" s="2" t="s">
        <v>32</v>
      </c>
      <c r="E135" s="2" t="s">
        <v>27</v>
      </c>
      <c r="F135" s="77">
        <f>'Final Output'!K10</f>
        <v>-2.8260425429635857E-2</v>
      </c>
    </row>
    <row r="136" spans="1:6" x14ac:dyDescent="0.45">
      <c r="A136" s="58" t="s">
        <v>39</v>
      </c>
      <c r="B136" s="2" t="s">
        <v>109</v>
      </c>
      <c r="C136" s="2" t="s">
        <v>110</v>
      </c>
      <c r="D136" s="2" t="s">
        <v>32</v>
      </c>
      <c r="E136" s="2" t="s">
        <v>27</v>
      </c>
      <c r="F136" s="77">
        <f>'Final Output'!K11</f>
        <v>-2.5380751456700844E-2</v>
      </c>
    </row>
    <row r="137" spans="1:6" x14ac:dyDescent="0.45">
      <c r="A137" s="58" t="s">
        <v>39</v>
      </c>
      <c r="B137" s="2" t="s">
        <v>111</v>
      </c>
      <c r="C137" s="2" t="s">
        <v>112</v>
      </c>
      <c r="D137" s="2" t="s">
        <v>32</v>
      </c>
      <c r="E137" s="2" t="s">
        <v>27</v>
      </c>
      <c r="F137" s="77">
        <f>'Final Output'!K12</f>
        <v>-2.0812855168176936E-2</v>
      </c>
    </row>
    <row r="138" spans="1:6" x14ac:dyDescent="0.45">
      <c r="A138" s="58" t="s">
        <v>39</v>
      </c>
      <c r="B138" s="2" t="s">
        <v>113</v>
      </c>
      <c r="C138" s="2" t="s">
        <v>114</v>
      </c>
      <c r="D138" s="2" t="s">
        <v>32</v>
      </c>
      <c r="E138" s="2" t="s">
        <v>27</v>
      </c>
      <c r="F138" s="77">
        <f>'Final Output'!K13</f>
        <v>-1.9157740993184135E-2</v>
      </c>
    </row>
    <row r="139" spans="1:6" x14ac:dyDescent="0.45">
      <c r="A139" s="58" t="s">
        <v>39</v>
      </c>
      <c r="B139" s="2" t="s">
        <v>115</v>
      </c>
      <c r="C139" s="2" t="s">
        <v>116</v>
      </c>
      <c r="D139" s="2" t="s">
        <v>32</v>
      </c>
      <c r="E139" s="2" t="s">
        <v>27</v>
      </c>
      <c r="F139" s="77">
        <f>'Final Output'!K14</f>
        <v>-1.7652792820671556E-2</v>
      </c>
    </row>
    <row r="140" spans="1:6" x14ac:dyDescent="0.45">
      <c r="A140" s="58" t="s">
        <v>39</v>
      </c>
      <c r="B140" s="2" t="s">
        <v>117</v>
      </c>
      <c r="C140" s="2" t="s">
        <v>118</v>
      </c>
      <c r="D140" s="2" t="s">
        <v>32</v>
      </c>
      <c r="E140" s="2" t="s">
        <v>27</v>
      </c>
      <c r="F140" s="77">
        <f>'Final Output'!K15</f>
        <v>-1.5681330910599887E-2</v>
      </c>
    </row>
    <row r="141" spans="1:6" x14ac:dyDescent="0.45">
      <c r="A141" s="58" t="s">
        <v>39</v>
      </c>
      <c r="B141" s="2" t="s">
        <v>119</v>
      </c>
      <c r="C141" s="2" t="s">
        <v>120</v>
      </c>
      <c r="D141" s="2" t="s">
        <v>32</v>
      </c>
      <c r="E141" s="2" t="s">
        <v>27</v>
      </c>
      <c r="F141" s="77">
        <f>'Final Output'!K16</f>
        <v>-1.4641633352370042E-2</v>
      </c>
    </row>
    <row r="142" spans="1:6" x14ac:dyDescent="0.45">
      <c r="A142" s="58" t="s">
        <v>39</v>
      </c>
      <c r="B142" s="2" t="s">
        <v>121</v>
      </c>
      <c r="C142" s="2" t="s">
        <v>122</v>
      </c>
      <c r="D142" s="2" t="s">
        <v>32</v>
      </c>
      <c r="E142" s="2" t="s">
        <v>27</v>
      </c>
      <c r="F142" s="77">
        <f>'Final Output'!K17</f>
        <v>-1.2975370785003604E-2</v>
      </c>
    </row>
    <row r="143" spans="1:6" x14ac:dyDescent="0.45">
      <c r="A143" s="58" t="s">
        <v>39</v>
      </c>
      <c r="B143" s="2" t="s">
        <v>123</v>
      </c>
      <c r="C143" s="2" t="s">
        <v>124</v>
      </c>
      <c r="D143" s="2" t="s">
        <v>32</v>
      </c>
      <c r="E143" s="2" t="s">
        <v>27</v>
      </c>
      <c r="F143" s="77">
        <f>'Final Output'!K18</f>
        <v>-1.1086309523809406E-2</v>
      </c>
    </row>
    <row r="144" spans="1:6" x14ac:dyDescent="0.45">
      <c r="A144" s="58" t="s">
        <v>39</v>
      </c>
      <c r="B144" s="2" t="s">
        <v>125</v>
      </c>
      <c r="C144" s="2" t="s">
        <v>126</v>
      </c>
      <c r="D144" s="2" t="s">
        <v>32</v>
      </c>
      <c r="E144" s="2" t="s">
        <v>27</v>
      </c>
      <c r="F144" s="77">
        <f>'Final Output'!K19</f>
        <v>-9.7657244716068178E-3</v>
      </c>
    </row>
    <row r="145" spans="1:6" x14ac:dyDescent="0.45">
      <c r="A145" s="58" t="s">
        <v>39</v>
      </c>
      <c r="B145" s="2" t="s">
        <v>127</v>
      </c>
      <c r="C145" s="2" t="s">
        <v>128</v>
      </c>
      <c r="D145" s="2" t="s">
        <v>32</v>
      </c>
      <c r="E145" s="2" t="s">
        <v>27</v>
      </c>
      <c r="F145" s="77">
        <f>'Final Output'!K20</f>
        <v>-9.3546325878593774E-3</v>
      </c>
    </row>
    <row r="146" spans="1:6" x14ac:dyDescent="0.45">
      <c r="A146" s="58" t="s">
        <v>39</v>
      </c>
      <c r="B146" s="2" t="s">
        <v>129</v>
      </c>
      <c r="C146" s="2" t="s">
        <v>130</v>
      </c>
      <c r="D146" s="2" t="s">
        <v>32</v>
      </c>
      <c r="E146" s="2" t="s">
        <v>27</v>
      </c>
      <c r="F146" s="77">
        <f>'Final Output'!K21</f>
        <v>-7.83717105263162E-3</v>
      </c>
    </row>
    <row r="147" spans="1:6" x14ac:dyDescent="0.45">
      <c r="A147" s="58" t="s">
        <v>39</v>
      </c>
      <c r="B147" s="2" t="s">
        <v>131</v>
      </c>
      <c r="C147" s="2" t="s">
        <v>132</v>
      </c>
      <c r="D147" s="2" t="s">
        <v>32</v>
      </c>
      <c r="E147" s="2" t="s">
        <v>27</v>
      </c>
      <c r="F147" s="77">
        <f>'Final Output'!K22</f>
        <v>-6.5390217259375105E-3</v>
      </c>
    </row>
    <row r="148" spans="1:6" x14ac:dyDescent="0.45">
      <c r="A148" s="58" t="s">
        <v>39</v>
      </c>
      <c r="B148" s="2" t="s">
        <v>133</v>
      </c>
      <c r="C148" s="2" t="s">
        <v>134</v>
      </c>
      <c r="D148" s="2" t="s">
        <v>32</v>
      </c>
      <c r="E148" s="2" t="s">
        <v>27</v>
      </c>
      <c r="F148" s="77">
        <f>'Final Output'!K23</f>
        <v>-5.2110530896432913E-3</v>
      </c>
    </row>
    <row r="149" spans="1:6" x14ac:dyDescent="0.45">
      <c r="A149" s="58" t="s">
        <v>39</v>
      </c>
      <c r="B149" s="2" t="s">
        <v>135</v>
      </c>
      <c r="C149" s="2" t="s">
        <v>136</v>
      </c>
      <c r="D149" s="2" t="s">
        <v>32</v>
      </c>
      <c r="E149" s="2" t="s">
        <v>27</v>
      </c>
      <c r="F149" s="77">
        <f>'Final Output'!K24</f>
        <v>-3.4003967421053624E-3</v>
      </c>
    </row>
    <row r="150" spans="1:6" x14ac:dyDescent="0.45">
      <c r="A150" s="58" t="s">
        <v>39</v>
      </c>
      <c r="B150" s="2" t="s">
        <v>137</v>
      </c>
      <c r="C150" s="2" t="s">
        <v>138</v>
      </c>
      <c r="D150" s="2" t="s">
        <v>32</v>
      </c>
      <c r="E150" s="2" t="s">
        <v>27</v>
      </c>
      <c r="F150" s="77">
        <f>'Final Output'!K25</f>
        <v>-2.5974025974025983E-3</v>
      </c>
    </row>
    <row r="151" spans="1:6" x14ac:dyDescent="0.45">
      <c r="A151" s="58" t="s">
        <v>40</v>
      </c>
      <c r="B151" s="14" t="s">
        <v>94</v>
      </c>
      <c r="C151" s="14" t="s">
        <v>95</v>
      </c>
      <c r="D151" s="14" t="s">
        <v>96</v>
      </c>
      <c r="E151" s="15" t="s">
        <v>27</v>
      </c>
      <c r="F151" s="75" t="str">
        <f ca="1">CONCATENATE("[…]", TEXT(NOW(),"dd/mm/yyy hh:mm:ss"))</f>
        <v>[…]12/12/2024 16:35:52</v>
      </c>
    </row>
    <row r="152" spans="1:6" x14ac:dyDescent="0.45">
      <c r="A152" s="58" t="s">
        <v>40</v>
      </c>
      <c r="B152" s="14" t="s">
        <v>97</v>
      </c>
      <c r="C152" s="14" t="s">
        <v>98</v>
      </c>
      <c r="D152" s="14" t="s">
        <v>96</v>
      </c>
      <c r="E152" s="15" t="s">
        <v>27</v>
      </c>
      <c r="F152" s="15" t="str">
        <f ca="1">MID(CELL("filename"),SEARCH("[",CELL("filename"))+1,SEARCH("]",CELL("filename"))-SEARCH("[",CELL("filename"))-1)</f>
        <v>PR24 FD OC11 ODI risk - Feeder Model (Discharge Permit Compliance).xlsx</v>
      </c>
    </row>
    <row r="153" spans="1:6" x14ac:dyDescent="0.45">
      <c r="A153" s="58" t="s">
        <v>40</v>
      </c>
      <c r="B153" s="14" t="s">
        <v>99</v>
      </c>
      <c r="C153" s="14" t="s">
        <v>100</v>
      </c>
      <c r="D153" s="14" t="s">
        <v>96</v>
      </c>
      <c r="E153" s="15" t="s">
        <v>27</v>
      </c>
      <c r="F153" s="15" t="str">
        <f>F_Inputs!$E$1</f>
        <v>Run on 12 Nov 2024 17:31</v>
      </c>
    </row>
    <row r="154" spans="1:6" x14ac:dyDescent="0.45">
      <c r="A154" s="58" t="s">
        <v>40</v>
      </c>
      <c r="B154" s="14" t="s">
        <v>101</v>
      </c>
      <c r="C154" s="14" t="s">
        <v>102</v>
      </c>
      <c r="D154" s="14" t="s">
        <v>103</v>
      </c>
      <c r="E154" s="15" t="s">
        <v>27</v>
      </c>
      <c r="F154" s="76" t="s">
        <v>104</v>
      </c>
    </row>
    <row r="155" spans="1:6" x14ac:dyDescent="0.45">
      <c r="A155" s="58" t="s">
        <v>40</v>
      </c>
      <c r="B155" s="2" t="s">
        <v>105</v>
      </c>
      <c r="C155" s="2" t="s">
        <v>106</v>
      </c>
      <c r="D155" s="2" t="s">
        <v>32</v>
      </c>
      <c r="E155" s="2" t="s">
        <v>27</v>
      </c>
      <c r="F155" s="77">
        <f>'Final Output'!K9</f>
        <v>-3.2644146767617892E-2</v>
      </c>
    </row>
    <row r="156" spans="1:6" x14ac:dyDescent="0.45">
      <c r="A156" s="58" t="s">
        <v>40</v>
      </c>
      <c r="B156" s="2" t="s">
        <v>107</v>
      </c>
      <c r="C156" s="2" t="s">
        <v>108</v>
      </c>
      <c r="D156" s="2" t="s">
        <v>32</v>
      </c>
      <c r="E156" s="2" t="s">
        <v>27</v>
      </c>
      <c r="F156" s="77">
        <f>'Final Output'!K10</f>
        <v>-2.8260425429635857E-2</v>
      </c>
    </row>
    <row r="157" spans="1:6" x14ac:dyDescent="0.45">
      <c r="A157" s="58" t="s">
        <v>40</v>
      </c>
      <c r="B157" s="2" t="s">
        <v>109</v>
      </c>
      <c r="C157" s="2" t="s">
        <v>110</v>
      </c>
      <c r="D157" s="2" t="s">
        <v>32</v>
      </c>
      <c r="E157" s="2" t="s">
        <v>27</v>
      </c>
      <c r="F157" s="77">
        <f>'Final Output'!K11</f>
        <v>-2.5380751456700844E-2</v>
      </c>
    </row>
    <row r="158" spans="1:6" x14ac:dyDescent="0.45">
      <c r="A158" s="58" t="s">
        <v>40</v>
      </c>
      <c r="B158" s="2" t="s">
        <v>111</v>
      </c>
      <c r="C158" s="2" t="s">
        <v>112</v>
      </c>
      <c r="D158" s="2" t="s">
        <v>32</v>
      </c>
      <c r="E158" s="2" t="s">
        <v>27</v>
      </c>
      <c r="F158" s="77">
        <f>'Final Output'!K12</f>
        <v>-2.0812855168176936E-2</v>
      </c>
    </row>
    <row r="159" spans="1:6" x14ac:dyDescent="0.45">
      <c r="A159" s="58" t="s">
        <v>40</v>
      </c>
      <c r="B159" s="2" t="s">
        <v>113</v>
      </c>
      <c r="C159" s="2" t="s">
        <v>114</v>
      </c>
      <c r="D159" s="2" t="s">
        <v>32</v>
      </c>
      <c r="E159" s="2" t="s">
        <v>27</v>
      </c>
      <c r="F159" s="77">
        <f>'Final Output'!K13</f>
        <v>-1.9157740993184135E-2</v>
      </c>
    </row>
    <row r="160" spans="1:6" x14ac:dyDescent="0.45">
      <c r="A160" s="58" t="s">
        <v>40</v>
      </c>
      <c r="B160" s="2" t="s">
        <v>115</v>
      </c>
      <c r="C160" s="2" t="s">
        <v>116</v>
      </c>
      <c r="D160" s="2" t="s">
        <v>32</v>
      </c>
      <c r="E160" s="2" t="s">
        <v>27</v>
      </c>
      <c r="F160" s="77">
        <f>'Final Output'!K14</f>
        <v>-1.7652792820671556E-2</v>
      </c>
    </row>
    <row r="161" spans="1:6" x14ac:dyDescent="0.45">
      <c r="A161" s="58" t="s">
        <v>40</v>
      </c>
      <c r="B161" s="2" t="s">
        <v>117</v>
      </c>
      <c r="C161" s="2" t="s">
        <v>118</v>
      </c>
      <c r="D161" s="2" t="s">
        <v>32</v>
      </c>
      <c r="E161" s="2" t="s">
        <v>27</v>
      </c>
      <c r="F161" s="77">
        <f>'Final Output'!K15</f>
        <v>-1.5681330910599887E-2</v>
      </c>
    </row>
    <row r="162" spans="1:6" x14ac:dyDescent="0.45">
      <c r="A162" s="58" t="s">
        <v>40</v>
      </c>
      <c r="B162" s="2" t="s">
        <v>119</v>
      </c>
      <c r="C162" s="2" t="s">
        <v>120</v>
      </c>
      <c r="D162" s="2" t="s">
        <v>32</v>
      </c>
      <c r="E162" s="2" t="s">
        <v>27</v>
      </c>
      <c r="F162" s="77">
        <f>'Final Output'!K16</f>
        <v>-1.4641633352370042E-2</v>
      </c>
    </row>
    <row r="163" spans="1:6" x14ac:dyDescent="0.45">
      <c r="A163" s="58" t="s">
        <v>40</v>
      </c>
      <c r="B163" s="2" t="s">
        <v>121</v>
      </c>
      <c r="C163" s="2" t="s">
        <v>122</v>
      </c>
      <c r="D163" s="2" t="s">
        <v>32</v>
      </c>
      <c r="E163" s="2" t="s">
        <v>27</v>
      </c>
      <c r="F163" s="77">
        <f>'Final Output'!K17</f>
        <v>-1.2975370785003604E-2</v>
      </c>
    </row>
    <row r="164" spans="1:6" x14ac:dyDescent="0.45">
      <c r="A164" s="58" t="s">
        <v>40</v>
      </c>
      <c r="B164" s="2" t="s">
        <v>123</v>
      </c>
      <c r="C164" s="2" t="s">
        <v>124</v>
      </c>
      <c r="D164" s="2" t="s">
        <v>32</v>
      </c>
      <c r="E164" s="2" t="s">
        <v>27</v>
      </c>
      <c r="F164" s="77">
        <f>'Final Output'!K18</f>
        <v>-1.1086309523809406E-2</v>
      </c>
    </row>
    <row r="165" spans="1:6" x14ac:dyDescent="0.45">
      <c r="A165" s="58" t="s">
        <v>40</v>
      </c>
      <c r="B165" s="2" t="s">
        <v>125</v>
      </c>
      <c r="C165" s="2" t="s">
        <v>126</v>
      </c>
      <c r="D165" s="2" t="s">
        <v>32</v>
      </c>
      <c r="E165" s="2" t="s">
        <v>27</v>
      </c>
      <c r="F165" s="77">
        <f>'Final Output'!K19</f>
        <v>-9.7657244716068178E-3</v>
      </c>
    </row>
    <row r="166" spans="1:6" x14ac:dyDescent="0.45">
      <c r="A166" s="58" t="s">
        <v>40</v>
      </c>
      <c r="B166" s="2" t="s">
        <v>127</v>
      </c>
      <c r="C166" s="2" t="s">
        <v>128</v>
      </c>
      <c r="D166" s="2" t="s">
        <v>32</v>
      </c>
      <c r="E166" s="2" t="s">
        <v>27</v>
      </c>
      <c r="F166" s="77">
        <f>'Final Output'!K20</f>
        <v>-9.3546325878593774E-3</v>
      </c>
    </row>
    <row r="167" spans="1:6" x14ac:dyDescent="0.45">
      <c r="A167" s="58" t="s">
        <v>40</v>
      </c>
      <c r="B167" s="2" t="s">
        <v>129</v>
      </c>
      <c r="C167" s="2" t="s">
        <v>130</v>
      </c>
      <c r="D167" s="2" t="s">
        <v>32</v>
      </c>
      <c r="E167" s="2" t="s">
        <v>27</v>
      </c>
      <c r="F167" s="77">
        <f>'Final Output'!K21</f>
        <v>-7.83717105263162E-3</v>
      </c>
    </row>
    <row r="168" spans="1:6" x14ac:dyDescent="0.45">
      <c r="A168" s="58" t="s">
        <v>40</v>
      </c>
      <c r="B168" s="2" t="s">
        <v>131</v>
      </c>
      <c r="C168" s="2" t="s">
        <v>132</v>
      </c>
      <c r="D168" s="2" t="s">
        <v>32</v>
      </c>
      <c r="E168" s="2" t="s">
        <v>27</v>
      </c>
      <c r="F168" s="77">
        <f>'Final Output'!K22</f>
        <v>-6.5390217259375105E-3</v>
      </c>
    </row>
    <row r="169" spans="1:6" x14ac:dyDescent="0.45">
      <c r="A169" s="58" t="s">
        <v>40</v>
      </c>
      <c r="B169" s="2" t="s">
        <v>133</v>
      </c>
      <c r="C169" s="2" t="s">
        <v>134</v>
      </c>
      <c r="D169" s="2" t="s">
        <v>32</v>
      </c>
      <c r="E169" s="2" t="s">
        <v>27</v>
      </c>
      <c r="F169" s="77">
        <f>'Final Output'!K23</f>
        <v>-5.2110530896432913E-3</v>
      </c>
    </row>
    <row r="170" spans="1:6" x14ac:dyDescent="0.45">
      <c r="A170" s="58" t="s">
        <v>40</v>
      </c>
      <c r="B170" s="2" t="s">
        <v>135</v>
      </c>
      <c r="C170" s="2" t="s">
        <v>136</v>
      </c>
      <c r="D170" s="2" t="s">
        <v>32</v>
      </c>
      <c r="E170" s="2" t="s">
        <v>27</v>
      </c>
      <c r="F170" s="77">
        <f>'Final Output'!K24</f>
        <v>-3.4003967421053624E-3</v>
      </c>
    </row>
    <row r="171" spans="1:6" x14ac:dyDescent="0.45">
      <c r="A171" s="58" t="s">
        <v>40</v>
      </c>
      <c r="B171" s="2" t="s">
        <v>137</v>
      </c>
      <c r="C171" s="2" t="s">
        <v>138</v>
      </c>
      <c r="D171" s="2" t="s">
        <v>32</v>
      </c>
      <c r="E171" s="2" t="s">
        <v>27</v>
      </c>
      <c r="F171" s="77">
        <f>'Final Output'!K25</f>
        <v>-2.5974025974025983E-3</v>
      </c>
    </row>
    <row r="172" spans="1:6" x14ac:dyDescent="0.45">
      <c r="A172" s="58" t="s">
        <v>41</v>
      </c>
      <c r="B172" s="14" t="s">
        <v>94</v>
      </c>
      <c r="C172" s="14" t="s">
        <v>95</v>
      </c>
      <c r="D172" s="14" t="s">
        <v>96</v>
      </c>
      <c r="E172" s="15" t="s">
        <v>27</v>
      </c>
      <c r="F172" s="75" t="str">
        <f ca="1">CONCATENATE("[…]", TEXT(NOW(),"dd/mm/yyy hh:mm:ss"))</f>
        <v>[…]12/12/2024 16:35:52</v>
      </c>
    </row>
    <row r="173" spans="1:6" x14ac:dyDescent="0.45">
      <c r="A173" s="58" t="s">
        <v>41</v>
      </c>
      <c r="B173" s="14" t="s">
        <v>97</v>
      </c>
      <c r="C173" s="14" t="s">
        <v>98</v>
      </c>
      <c r="D173" s="14" t="s">
        <v>96</v>
      </c>
      <c r="E173" s="15" t="s">
        <v>27</v>
      </c>
      <c r="F173" s="15" t="str">
        <f ca="1">MID(CELL("filename"),SEARCH("[",CELL("filename"))+1,SEARCH("]",CELL("filename"))-SEARCH("[",CELL("filename"))-1)</f>
        <v>PR24 FD OC11 ODI risk - Feeder Model (Discharge Permit Compliance).xlsx</v>
      </c>
    </row>
    <row r="174" spans="1:6" x14ac:dyDescent="0.45">
      <c r="A174" s="58" t="s">
        <v>41</v>
      </c>
      <c r="B174" s="14" t="s">
        <v>99</v>
      </c>
      <c r="C174" s="14" t="s">
        <v>100</v>
      </c>
      <c r="D174" s="14" t="s">
        <v>96</v>
      </c>
      <c r="E174" s="15" t="s">
        <v>27</v>
      </c>
      <c r="F174" s="15" t="str">
        <f>F_Inputs!$E$1</f>
        <v>Run on 12 Nov 2024 17:31</v>
      </c>
    </row>
    <row r="175" spans="1:6" x14ac:dyDescent="0.45">
      <c r="A175" s="58" t="s">
        <v>41</v>
      </c>
      <c r="B175" s="14" t="s">
        <v>101</v>
      </c>
      <c r="C175" s="14" t="s">
        <v>102</v>
      </c>
      <c r="D175" s="14" t="s">
        <v>103</v>
      </c>
      <c r="E175" s="15" t="s">
        <v>27</v>
      </c>
      <c r="F175" s="76" t="s">
        <v>104</v>
      </c>
    </row>
    <row r="176" spans="1:6" x14ac:dyDescent="0.45">
      <c r="A176" s="58" t="s">
        <v>41</v>
      </c>
      <c r="B176" s="2" t="s">
        <v>105</v>
      </c>
      <c r="C176" s="2" t="s">
        <v>106</v>
      </c>
      <c r="D176" s="2" t="s">
        <v>32</v>
      </c>
      <c r="E176" s="2" t="s">
        <v>27</v>
      </c>
      <c r="F176" s="77">
        <f>'Final Output'!K9</f>
        <v>-3.2644146767617892E-2</v>
      </c>
    </row>
    <row r="177" spans="1:6" x14ac:dyDescent="0.45">
      <c r="A177" s="58" t="s">
        <v>41</v>
      </c>
      <c r="B177" s="2" t="s">
        <v>107</v>
      </c>
      <c r="C177" s="2" t="s">
        <v>108</v>
      </c>
      <c r="D177" s="2" t="s">
        <v>32</v>
      </c>
      <c r="E177" s="2" t="s">
        <v>27</v>
      </c>
      <c r="F177" s="77">
        <f>'Final Output'!K10</f>
        <v>-2.8260425429635857E-2</v>
      </c>
    </row>
    <row r="178" spans="1:6" x14ac:dyDescent="0.45">
      <c r="A178" s="58" t="s">
        <v>41</v>
      </c>
      <c r="B178" s="2" t="s">
        <v>109</v>
      </c>
      <c r="C178" s="2" t="s">
        <v>110</v>
      </c>
      <c r="D178" s="2" t="s">
        <v>32</v>
      </c>
      <c r="E178" s="2" t="s">
        <v>27</v>
      </c>
      <c r="F178" s="77">
        <f>'Final Output'!K11</f>
        <v>-2.5380751456700844E-2</v>
      </c>
    </row>
    <row r="179" spans="1:6" x14ac:dyDescent="0.45">
      <c r="A179" s="58" t="s">
        <v>41</v>
      </c>
      <c r="B179" s="2" t="s">
        <v>111</v>
      </c>
      <c r="C179" s="2" t="s">
        <v>112</v>
      </c>
      <c r="D179" s="2" t="s">
        <v>32</v>
      </c>
      <c r="E179" s="2" t="s">
        <v>27</v>
      </c>
      <c r="F179" s="77">
        <f>'Final Output'!K12</f>
        <v>-2.0812855168176936E-2</v>
      </c>
    </row>
    <row r="180" spans="1:6" x14ac:dyDescent="0.45">
      <c r="A180" s="58" t="s">
        <v>41</v>
      </c>
      <c r="B180" s="2" t="s">
        <v>113</v>
      </c>
      <c r="C180" s="2" t="s">
        <v>114</v>
      </c>
      <c r="D180" s="2" t="s">
        <v>32</v>
      </c>
      <c r="E180" s="2" t="s">
        <v>27</v>
      </c>
      <c r="F180" s="77">
        <f>'Final Output'!K13</f>
        <v>-1.9157740993184135E-2</v>
      </c>
    </row>
    <row r="181" spans="1:6" x14ac:dyDescent="0.45">
      <c r="A181" s="58" t="s">
        <v>41</v>
      </c>
      <c r="B181" s="2" t="s">
        <v>115</v>
      </c>
      <c r="C181" s="2" t="s">
        <v>116</v>
      </c>
      <c r="D181" s="2" t="s">
        <v>32</v>
      </c>
      <c r="E181" s="2" t="s">
        <v>27</v>
      </c>
      <c r="F181" s="77">
        <f>'Final Output'!K14</f>
        <v>-1.7652792820671556E-2</v>
      </c>
    </row>
    <row r="182" spans="1:6" x14ac:dyDescent="0.45">
      <c r="A182" s="58" t="s">
        <v>41</v>
      </c>
      <c r="B182" s="2" t="s">
        <v>117</v>
      </c>
      <c r="C182" s="2" t="s">
        <v>118</v>
      </c>
      <c r="D182" s="2" t="s">
        <v>32</v>
      </c>
      <c r="E182" s="2" t="s">
        <v>27</v>
      </c>
      <c r="F182" s="77">
        <f>'Final Output'!K15</f>
        <v>-1.5681330910599887E-2</v>
      </c>
    </row>
    <row r="183" spans="1:6" x14ac:dyDescent="0.45">
      <c r="A183" s="58" t="s">
        <v>41</v>
      </c>
      <c r="B183" s="2" t="s">
        <v>119</v>
      </c>
      <c r="C183" s="2" t="s">
        <v>120</v>
      </c>
      <c r="D183" s="2" t="s">
        <v>32</v>
      </c>
      <c r="E183" s="2" t="s">
        <v>27</v>
      </c>
      <c r="F183" s="77">
        <f>'Final Output'!K16</f>
        <v>-1.4641633352370042E-2</v>
      </c>
    </row>
    <row r="184" spans="1:6" x14ac:dyDescent="0.45">
      <c r="A184" s="58" t="s">
        <v>41</v>
      </c>
      <c r="B184" s="2" t="s">
        <v>121</v>
      </c>
      <c r="C184" s="2" t="s">
        <v>122</v>
      </c>
      <c r="D184" s="2" t="s">
        <v>32</v>
      </c>
      <c r="E184" s="2" t="s">
        <v>27</v>
      </c>
      <c r="F184" s="77">
        <f>'Final Output'!K17</f>
        <v>-1.2975370785003604E-2</v>
      </c>
    </row>
    <row r="185" spans="1:6" x14ac:dyDescent="0.45">
      <c r="A185" s="58" t="s">
        <v>41</v>
      </c>
      <c r="B185" s="2" t="s">
        <v>123</v>
      </c>
      <c r="C185" s="2" t="s">
        <v>124</v>
      </c>
      <c r="D185" s="2" t="s">
        <v>32</v>
      </c>
      <c r="E185" s="2" t="s">
        <v>27</v>
      </c>
      <c r="F185" s="77">
        <f>'Final Output'!K18</f>
        <v>-1.1086309523809406E-2</v>
      </c>
    </row>
    <row r="186" spans="1:6" x14ac:dyDescent="0.45">
      <c r="A186" s="58" t="s">
        <v>41</v>
      </c>
      <c r="B186" s="2" t="s">
        <v>125</v>
      </c>
      <c r="C186" s="2" t="s">
        <v>126</v>
      </c>
      <c r="D186" s="2" t="s">
        <v>32</v>
      </c>
      <c r="E186" s="2" t="s">
        <v>27</v>
      </c>
      <c r="F186" s="77">
        <f>'Final Output'!K19</f>
        <v>-9.7657244716068178E-3</v>
      </c>
    </row>
    <row r="187" spans="1:6" x14ac:dyDescent="0.45">
      <c r="A187" s="58" t="s">
        <v>41</v>
      </c>
      <c r="B187" s="2" t="s">
        <v>127</v>
      </c>
      <c r="C187" s="2" t="s">
        <v>128</v>
      </c>
      <c r="D187" s="2" t="s">
        <v>32</v>
      </c>
      <c r="E187" s="2" t="s">
        <v>27</v>
      </c>
      <c r="F187" s="77">
        <f>'Final Output'!K20</f>
        <v>-9.3546325878593774E-3</v>
      </c>
    </row>
    <row r="188" spans="1:6" x14ac:dyDescent="0.45">
      <c r="A188" s="58" t="s">
        <v>41</v>
      </c>
      <c r="B188" s="2" t="s">
        <v>129</v>
      </c>
      <c r="C188" s="2" t="s">
        <v>130</v>
      </c>
      <c r="D188" s="2" t="s">
        <v>32</v>
      </c>
      <c r="E188" s="2" t="s">
        <v>27</v>
      </c>
      <c r="F188" s="77">
        <f>'Final Output'!K21</f>
        <v>-7.83717105263162E-3</v>
      </c>
    </row>
    <row r="189" spans="1:6" x14ac:dyDescent="0.45">
      <c r="A189" s="58" t="s">
        <v>41</v>
      </c>
      <c r="B189" s="2" t="s">
        <v>131</v>
      </c>
      <c r="C189" s="2" t="s">
        <v>132</v>
      </c>
      <c r="D189" s="2" t="s">
        <v>32</v>
      </c>
      <c r="E189" s="2" t="s">
        <v>27</v>
      </c>
      <c r="F189" s="77">
        <f>'Final Output'!K22</f>
        <v>-6.5390217259375105E-3</v>
      </c>
    </row>
    <row r="190" spans="1:6" x14ac:dyDescent="0.45">
      <c r="A190" s="58" t="s">
        <v>41</v>
      </c>
      <c r="B190" s="2" t="s">
        <v>133</v>
      </c>
      <c r="C190" s="2" t="s">
        <v>134</v>
      </c>
      <c r="D190" s="2" t="s">
        <v>32</v>
      </c>
      <c r="E190" s="2" t="s">
        <v>27</v>
      </c>
      <c r="F190" s="77">
        <f>'Final Output'!K23</f>
        <v>-5.2110530896432913E-3</v>
      </c>
    </row>
    <row r="191" spans="1:6" x14ac:dyDescent="0.45">
      <c r="A191" s="58" t="s">
        <v>41</v>
      </c>
      <c r="B191" s="2" t="s">
        <v>135</v>
      </c>
      <c r="C191" s="2" t="s">
        <v>136</v>
      </c>
      <c r="D191" s="2" t="s">
        <v>32</v>
      </c>
      <c r="E191" s="2" t="s">
        <v>27</v>
      </c>
      <c r="F191" s="77">
        <f>'Final Output'!K24</f>
        <v>-3.4003967421053624E-3</v>
      </c>
    </row>
    <row r="192" spans="1:6" x14ac:dyDescent="0.45">
      <c r="A192" s="58" t="s">
        <v>41</v>
      </c>
      <c r="B192" s="2" t="s">
        <v>137</v>
      </c>
      <c r="C192" s="2" t="s">
        <v>138</v>
      </c>
      <c r="D192" s="2" t="s">
        <v>32</v>
      </c>
      <c r="E192" s="2" t="s">
        <v>27</v>
      </c>
      <c r="F192" s="77">
        <f>'Final Output'!K25</f>
        <v>-2.5974025974025983E-3</v>
      </c>
    </row>
    <row r="193" spans="1:6" x14ac:dyDescent="0.45">
      <c r="A193" s="58" t="s">
        <v>42</v>
      </c>
      <c r="B193" s="14" t="s">
        <v>94</v>
      </c>
      <c r="C193" s="14" t="s">
        <v>95</v>
      </c>
      <c r="D193" s="14" t="s">
        <v>96</v>
      </c>
      <c r="E193" s="15" t="s">
        <v>27</v>
      </c>
      <c r="F193" s="75" t="str">
        <f ca="1">CONCATENATE("[…]", TEXT(NOW(),"dd/mm/yyy hh:mm:ss"))</f>
        <v>[…]12/12/2024 16:35:52</v>
      </c>
    </row>
    <row r="194" spans="1:6" x14ac:dyDescent="0.45">
      <c r="A194" s="58" t="s">
        <v>42</v>
      </c>
      <c r="B194" s="14" t="s">
        <v>97</v>
      </c>
      <c r="C194" s="14" t="s">
        <v>98</v>
      </c>
      <c r="D194" s="14" t="s">
        <v>96</v>
      </c>
      <c r="E194" s="15" t="s">
        <v>27</v>
      </c>
      <c r="F194" s="15" t="str">
        <f ca="1">MID(CELL("filename"),SEARCH("[",CELL("filename"))+1,SEARCH("]",CELL("filename"))-SEARCH("[",CELL("filename"))-1)</f>
        <v>PR24 FD OC11 ODI risk - Feeder Model (Discharge Permit Compliance).xlsx</v>
      </c>
    </row>
    <row r="195" spans="1:6" x14ac:dyDescent="0.45">
      <c r="A195" s="58" t="s">
        <v>42</v>
      </c>
      <c r="B195" s="14" t="s">
        <v>99</v>
      </c>
      <c r="C195" s="14" t="s">
        <v>100</v>
      </c>
      <c r="D195" s="14" t="s">
        <v>96</v>
      </c>
      <c r="E195" s="15" t="s">
        <v>27</v>
      </c>
      <c r="F195" s="15" t="str">
        <f>F_Inputs!$E$1</f>
        <v>Run on 12 Nov 2024 17:31</v>
      </c>
    </row>
    <row r="196" spans="1:6" x14ac:dyDescent="0.45">
      <c r="A196" s="58" t="s">
        <v>42</v>
      </c>
      <c r="B196" s="14" t="s">
        <v>101</v>
      </c>
      <c r="C196" s="14" t="s">
        <v>102</v>
      </c>
      <c r="D196" s="14" t="s">
        <v>103</v>
      </c>
      <c r="E196" s="15" t="s">
        <v>27</v>
      </c>
      <c r="F196" s="76" t="s">
        <v>104</v>
      </c>
    </row>
    <row r="197" spans="1:6" x14ac:dyDescent="0.45">
      <c r="A197" s="58" t="s">
        <v>42</v>
      </c>
      <c r="B197" s="2" t="s">
        <v>105</v>
      </c>
      <c r="C197" s="2" t="s">
        <v>106</v>
      </c>
      <c r="D197" s="2" t="s">
        <v>32</v>
      </c>
      <c r="E197" s="2" t="s">
        <v>27</v>
      </c>
      <c r="F197" s="77">
        <f>'Final Output'!K9</f>
        <v>-3.2644146767617892E-2</v>
      </c>
    </row>
    <row r="198" spans="1:6" x14ac:dyDescent="0.45">
      <c r="A198" s="58" t="s">
        <v>42</v>
      </c>
      <c r="B198" s="2" t="s">
        <v>107</v>
      </c>
      <c r="C198" s="2" t="s">
        <v>108</v>
      </c>
      <c r="D198" s="2" t="s">
        <v>32</v>
      </c>
      <c r="E198" s="2" t="s">
        <v>27</v>
      </c>
      <c r="F198" s="77">
        <f>'Final Output'!K10</f>
        <v>-2.8260425429635857E-2</v>
      </c>
    </row>
    <row r="199" spans="1:6" x14ac:dyDescent="0.45">
      <c r="A199" s="58" t="s">
        <v>42</v>
      </c>
      <c r="B199" s="2" t="s">
        <v>109</v>
      </c>
      <c r="C199" s="2" t="s">
        <v>110</v>
      </c>
      <c r="D199" s="2" t="s">
        <v>32</v>
      </c>
      <c r="E199" s="2" t="s">
        <v>27</v>
      </c>
      <c r="F199" s="77">
        <f>'Final Output'!K11</f>
        <v>-2.5380751456700844E-2</v>
      </c>
    </row>
    <row r="200" spans="1:6" x14ac:dyDescent="0.45">
      <c r="A200" s="58" t="s">
        <v>42</v>
      </c>
      <c r="B200" s="2" t="s">
        <v>111</v>
      </c>
      <c r="C200" s="2" t="s">
        <v>112</v>
      </c>
      <c r="D200" s="2" t="s">
        <v>32</v>
      </c>
      <c r="E200" s="2" t="s">
        <v>27</v>
      </c>
      <c r="F200" s="77">
        <f>'Final Output'!K12</f>
        <v>-2.0812855168176936E-2</v>
      </c>
    </row>
    <row r="201" spans="1:6" x14ac:dyDescent="0.45">
      <c r="A201" s="58" t="s">
        <v>42</v>
      </c>
      <c r="B201" s="2" t="s">
        <v>113</v>
      </c>
      <c r="C201" s="2" t="s">
        <v>114</v>
      </c>
      <c r="D201" s="2" t="s">
        <v>32</v>
      </c>
      <c r="E201" s="2" t="s">
        <v>27</v>
      </c>
      <c r="F201" s="77">
        <f>'Final Output'!K13</f>
        <v>-1.9157740993184135E-2</v>
      </c>
    </row>
    <row r="202" spans="1:6" x14ac:dyDescent="0.45">
      <c r="A202" s="58" t="s">
        <v>42</v>
      </c>
      <c r="B202" s="2" t="s">
        <v>115</v>
      </c>
      <c r="C202" s="2" t="s">
        <v>116</v>
      </c>
      <c r="D202" s="2" t="s">
        <v>32</v>
      </c>
      <c r="E202" s="2" t="s">
        <v>27</v>
      </c>
      <c r="F202" s="77">
        <f>'Final Output'!K14</f>
        <v>-1.7652792820671556E-2</v>
      </c>
    </row>
    <row r="203" spans="1:6" x14ac:dyDescent="0.45">
      <c r="A203" s="58" t="s">
        <v>42</v>
      </c>
      <c r="B203" s="2" t="s">
        <v>117</v>
      </c>
      <c r="C203" s="2" t="s">
        <v>118</v>
      </c>
      <c r="D203" s="2" t="s">
        <v>32</v>
      </c>
      <c r="E203" s="2" t="s">
        <v>27</v>
      </c>
      <c r="F203" s="77">
        <f>'Final Output'!K15</f>
        <v>-1.5681330910599887E-2</v>
      </c>
    </row>
    <row r="204" spans="1:6" x14ac:dyDescent="0.45">
      <c r="A204" s="58" t="s">
        <v>42</v>
      </c>
      <c r="B204" s="2" t="s">
        <v>119</v>
      </c>
      <c r="C204" s="2" t="s">
        <v>120</v>
      </c>
      <c r="D204" s="2" t="s">
        <v>32</v>
      </c>
      <c r="E204" s="2" t="s">
        <v>27</v>
      </c>
      <c r="F204" s="77">
        <f>'Final Output'!K16</f>
        <v>-1.4641633352370042E-2</v>
      </c>
    </row>
    <row r="205" spans="1:6" x14ac:dyDescent="0.45">
      <c r="A205" s="58" t="s">
        <v>42</v>
      </c>
      <c r="B205" s="2" t="s">
        <v>121</v>
      </c>
      <c r="C205" s="2" t="s">
        <v>122</v>
      </c>
      <c r="D205" s="2" t="s">
        <v>32</v>
      </c>
      <c r="E205" s="2" t="s">
        <v>27</v>
      </c>
      <c r="F205" s="77">
        <f>'Final Output'!K17</f>
        <v>-1.2975370785003604E-2</v>
      </c>
    </row>
    <row r="206" spans="1:6" x14ac:dyDescent="0.45">
      <c r="A206" s="58" t="s">
        <v>42</v>
      </c>
      <c r="B206" s="2" t="s">
        <v>123</v>
      </c>
      <c r="C206" s="2" t="s">
        <v>124</v>
      </c>
      <c r="D206" s="2" t="s">
        <v>32</v>
      </c>
      <c r="E206" s="2" t="s">
        <v>27</v>
      </c>
      <c r="F206" s="77">
        <f>'Final Output'!K18</f>
        <v>-1.1086309523809406E-2</v>
      </c>
    </row>
    <row r="207" spans="1:6" x14ac:dyDescent="0.45">
      <c r="A207" s="58" t="s">
        <v>42</v>
      </c>
      <c r="B207" s="2" t="s">
        <v>125</v>
      </c>
      <c r="C207" s="2" t="s">
        <v>126</v>
      </c>
      <c r="D207" s="2" t="s">
        <v>32</v>
      </c>
      <c r="E207" s="2" t="s">
        <v>27</v>
      </c>
      <c r="F207" s="77">
        <f>'Final Output'!K19</f>
        <v>-9.7657244716068178E-3</v>
      </c>
    </row>
    <row r="208" spans="1:6" x14ac:dyDescent="0.45">
      <c r="A208" s="58" t="s">
        <v>42</v>
      </c>
      <c r="B208" s="2" t="s">
        <v>127</v>
      </c>
      <c r="C208" s="2" t="s">
        <v>128</v>
      </c>
      <c r="D208" s="2" t="s">
        <v>32</v>
      </c>
      <c r="E208" s="2" t="s">
        <v>27</v>
      </c>
      <c r="F208" s="77">
        <f>'Final Output'!K20</f>
        <v>-9.3546325878593774E-3</v>
      </c>
    </row>
    <row r="209" spans="1:6" x14ac:dyDescent="0.45">
      <c r="A209" s="58" t="s">
        <v>42</v>
      </c>
      <c r="B209" s="2" t="s">
        <v>129</v>
      </c>
      <c r="C209" s="2" t="s">
        <v>130</v>
      </c>
      <c r="D209" s="2" t="s">
        <v>32</v>
      </c>
      <c r="E209" s="2" t="s">
        <v>27</v>
      </c>
      <c r="F209" s="77">
        <f>'Final Output'!K21</f>
        <v>-7.83717105263162E-3</v>
      </c>
    </row>
    <row r="210" spans="1:6" x14ac:dyDescent="0.45">
      <c r="A210" s="58" t="s">
        <v>42</v>
      </c>
      <c r="B210" s="2" t="s">
        <v>131</v>
      </c>
      <c r="C210" s="2" t="s">
        <v>132</v>
      </c>
      <c r="D210" s="2" t="s">
        <v>32</v>
      </c>
      <c r="E210" s="2" t="s">
        <v>27</v>
      </c>
      <c r="F210" s="77">
        <f>'Final Output'!K22</f>
        <v>-6.5390217259375105E-3</v>
      </c>
    </row>
    <row r="211" spans="1:6" x14ac:dyDescent="0.45">
      <c r="A211" s="58" t="s">
        <v>42</v>
      </c>
      <c r="B211" s="2" t="s">
        <v>133</v>
      </c>
      <c r="C211" s="2" t="s">
        <v>134</v>
      </c>
      <c r="D211" s="2" t="s">
        <v>32</v>
      </c>
      <c r="E211" s="2" t="s">
        <v>27</v>
      </c>
      <c r="F211" s="77">
        <f>'Final Output'!K23</f>
        <v>-5.2110530896432913E-3</v>
      </c>
    </row>
    <row r="212" spans="1:6" x14ac:dyDescent="0.45">
      <c r="A212" s="58" t="s">
        <v>42</v>
      </c>
      <c r="B212" s="2" t="s">
        <v>135</v>
      </c>
      <c r="C212" s="2" t="s">
        <v>136</v>
      </c>
      <c r="D212" s="2" t="s">
        <v>32</v>
      </c>
      <c r="E212" s="2" t="s">
        <v>27</v>
      </c>
      <c r="F212" s="77">
        <f>'Final Output'!K24</f>
        <v>-3.4003967421053624E-3</v>
      </c>
    </row>
    <row r="213" spans="1:6" x14ac:dyDescent="0.45">
      <c r="A213" s="58" t="s">
        <v>42</v>
      </c>
      <c r="B213" s="2" t="s">
        <v>137</v>
      </c>
      <c r="C213" s="2" t="s">
        <v>138</v>
      </c>
      <c r="D213" s="2" t="s">
        <v>32</v>
      </c>
      <c r="E213" s="2" t="s">
        <v>27</v>
      </c>
      <c r="F213" s="77">
        <f>'Final Output'!K25</f>
        <v>-2.5974025974025983E-3</v>
      </c>
    </row>
    <row r="214" spans="1:6" x14ac:dyDescent="0.45">
      <c r="A214" s="58" t="s">
        <v>43</v>
      </c>
      <c r="B214" s="14" t="s">
        <v>94</v>
      </c>
      <c r="C214" s="14" t="s">
        <v>95</v>
      </c>
      <c r="D214" s="14" t="s">
        <v>96</v>
      </c>
      <c r="E214" s="15" t="s">
        <v>27</v>
      </c>
      <c r="F214" s="75" t="str">
        <f ca="1">CONCATENATE("[…]", TEXT(NOW(),"dd/mm/yyy hh:mm:ss"))</f>
        <v>[…]12/12/2024 16:35:52</v>
      </c>
    </row>
    <row r="215" spans="1:6" x14ac:dyDescent="0.45">
      <c r="A215" s="58" t="s">
        <v>43</v>
      </c>
      <c r="B215" s="14" t="s">
        <v>97</v>
      </c>
      <c r="C215" s="14" t="s">
        <v>98</v>
      </c>
      <c r="D215" s="14" t="s">
        <v>96</v>
      </c>
      <c r="E215" s="15" t="s">
        <v>27</v>
      </c>
      <c r="F215" s="15" t="str">
        <f ca="1">MID(CELL("filename"),SEARCH("[",CELL("filename"))+1,SEARCH("]",CELL("filename"))-SEARCH("[",CELL("filename"))-1)</f>
        <v>PR24 FD OC11 ODI risk - Feeder Model (Discharge Permit Compliance).xlsx</v>
      </c>
    </row>
    <row r="216" spans="1:6" x14ac:dyDescent="0.45">
      <c r="A216" s="58" t="s">
        <v>43</v>
      </c>
      <c r="B216" s="14" t="s">
        <v>99</v>
      </c>
      <c r="C216" s="14" t="s">
        <v>100</v>
      </c>
      <c r="D216" s="14" t="s">
        <v>96</v>
      </c>
      <c r="E216" s="15" t="s">
        <v>27</v>
      </c>
      <c r="F216" s="15" t="str">
        <f>F_Inputs!$E$1</f>
        <v>Run on 12 Nov 2024 17:31</v>
      </c>
    </row>
    <row r="217" spans="1:6" x14ac:dyDescent="0.45">
      <c r="A217" s="58" t="s">
        <v>43</v>
      </c>
      <c r="B217" s="14" t="s">
        <v>101</v>
      </c>
      <c r="C217" s="14" t="s">
        <v>102</v>
      </c>
      <c r="D217" s="14" t="s">
        <v>103</v>
      </c>
      <c r="E217" s="15" t="s">
        <v>27</v>
      </c>
      <c r="F217" s="76" t="s">
        <v>104</v>
      </c>
    </row>
    <row r="218" spans="1:6" x14ac:dyDescent="0.45">
      <c r="A218" s="58" t="s">
        <v>43</v>
      </c>
      <c r="B218" s="2" t="s">
        <v>105</v>
      </c>
      <c r="C218" s="2" t="s">
        <v>106</v>
      </c>
      <c r="D218" s="2" t="s">
        <v>32</v>
      </c>
      <c r="E218" s="2" t="s">
        <v>27</v>
      </c>
      <c r="F218" s="77">
        <f>'Final Output'!K9</f>
        <v>-3.2644146767617892E-2</v>
      </c>
    </row>
    <row r="219" spans="1:6" x14ac:dyDescent="0.45">
      <c r="A219" s="58" t="s">
        <v>43</v>
      </c>
      <c r="B219" s="2" t="s">
        <v>107</v>
      </c>
      <c r="C219" s="2" t="s">
        <v>108</v>
      </c>
      <c r="D219" s="2" t="s">
        <v>32</v>
      </c>
      <c r="E219" s="2" t="s">
        <v>27</v>
      </c>
      <c r="F219" s="77">
        <f>'Final Output'!K10</f>
        <v>-2.8260425429635857E-2</v>
      </c>
    </row>
    <row r="220" spans="1:6" x14ac:dyDescent="0.45">
      <c r="A220" s="58" t="s">
        <v>43</v>
      </c>
      <c r="B220" s="2" t="s">
        <v>109</v>
      </c>
      <c r="C220" s="2" t="s">
        <v>110</v>
      </c>
      <c r="D220" s="2" t="s">
        <v>32</v>
      </c>
      <c r="E220" s="2" t="s">
        <v>27</v>
      </c>
      <c r="F220" s="77">
        <f>'Final Output'!K11</f>
        <v>-2.5380751456700844E-2</v>
      </c>
    </row>
    <row r="221" spans="1:6" x14ac:dyDescent="0.45">
      <c r="A221" s="58" t="s">
        <v>43</v>
      </c>
      <c r="B221" s="2" t="s">
        <v>111</v>
      </c>
      <c r="C221" s="2" t="s">
        <v>112</v>
      </c>
      <c r="D221" s="2" t="s">
        <v>32</v>
      </c>
      <c r="E221" s="2" t="s">
        <v>27</v>
      </c>
      <c r="F221" s="77">
        <f>'Final Output'!K12</f>
        <v>-2.0812855168176936E-2</v>
      </c>
    </row>
    <row r="222" spans="1:6" x14ac:dyDescent="0.45">
      <c r="A222" s="58" t="s">
        <v>43</v>
      </c>
      <c r="B222" s="2" t="s">
        <v>113</v>
      </c>
      <c r="C222" s="2" t="s">
        <v>114</v>
      </c>
      <c r="D222" s="2" t="s">
        <v>32</v>
      </c>
      <c r="E222" s="2" t="s">
        <v>27</v>
      </c>
      <c r="F222" s="77">
        <f>'Final Output'!K13</f>
        <v>-1.9157740993184135E-2</v>
      </c>
    </row>
    <row r="223" spans="1:6" x14ac:dyDescent="0.45">
      <c r="A223" s="58" t="s">
        <v>43</v>
      </c>
      <c r="B223" s="2" t="s">
        <v>115</v>
      </c>
      <c r="C223" s="2" t="s">
        <v>116</v>
      </c>
      <c r="D223" s="2" t="s">
        <v>32</v>
      </c>
      <c r="E223" s="2" t="s">
        <v>27</v>
      </c>
      <c r="F223" s="77">
        <f>'Final Output'!K14</f>
        <v>-1.7652792820671556E-2</v>
      </c>
    </row>
    <row r="224" spans="1:6" x14ac:dyDescent="0.45">
      <c r="A224" s="58" t="s">
        <v>43</v>
      </c>
      <c r="B224" s="2" t="s">
        <v>117</v>
      </c>
      <c r="C224" s="2" t="s">
        <v>118</v>
      </c>
      <c r="D224" s="2" t="s">
        <v>32</v>
      </c>
      <c r="E224" s="2" t="s">
        <v>27</v>
      </c>
      <c r="F224" s="77">
        <f>'Final Output'!K15</f>
        <v>-1.5681330910599887E-2</v>
      </c>
    </row>
    <row r="225" spans="1:6" x14ac:dyDescent="0.45">
      <c r="A225" s="58" t="s">
        <v>43</v>
      </c>
      <c r="B225" s="2" t="s">
        <v>119</v>
      </c>
      <c r="C225" s="2" t="s">
        <v>120</v>
      </c>
      <c r="D225" s="2" t="s">
        <v>32</v>
      </c>
      <c r="E225" s="2" t="s">
        <v>27</v>
      </c>
      <c r="F225" s="77">
        <f>'Final Output'!K16</f>
        <v>-1.4641633352370042E-2</v>
      </c>
    </row>
    <row r="226" spans="1:6" x14ac:dyDescent="0.45">
      <c r="A226" s="58" t="s">
        <v>43</v>
      </c>
      <c r="B226" s="2" t="s">
        <v>121</v>
      </c>
      <c r="C226" s="2" t="s">
        <v>122</v>
      </c>
      <c r="D226" s="2" t="s">
        <v>32</v>
      </c>
      <c r="E226" s="2" t="s">
        <v>27</v>
      </c>
      <c r="F226" s="77">
        <f>'Final Output'!K17</f>
        <v>-1.2975370785003604E-2</v>
      </c>
    </row>
    <row r="227" spans="1:6" x14ac:dyDescent="0.45">
      <c r="A227" s="58" t="s">
        <v>43</v>
      </c>
      <c r="B227" s="2" t="s">
        <v>123</v>
      </c>
      <c r="C227" s="2" t="s">
        <v>124</v>
      </c>
      <c r="D227" s="2" t="s">
        <v>32</v>
      </c>
      <c r="E227" s="2" t="s">
        <v>27</v>
      </c>
      <c r="F227" s="77">
        <f>'Final Output'!K18</f>
        <v>-1.1086309523809406E-2</v>
      </c>
    </row>
    <row r="228" spans="1:6" x14ac:dyDescent="0.45">
      <c r="A228" s="58" t="s">
        <v>43</v>
      </c>
      <c r="B228" s="2" t="s">
        <v>125</v>
      </c>
      <c r="C228" s="2" t="s">
        <v>126</v>
      </c>
      <c r="D228" s="2" t="s">
        <v>32</v>
      </c>
      <c r="E228" s="2" t="s">
        <v>27</v>
      </c>
      <c r="F228" s="77">
        <f>'Final Output'!K19</f>
        <v>-9.7657244716068178E-3</v>
      </c>
    </row>
    <row r="229" spans="1:6" x14ac:dyDescent="0.45">
      <c r="A229" s="58" t="s">
        <v>43</v>
      </c>
      <c r="B229" s="2" t="s">
        <v>127</v>
      </c>
      <c r="C229" s="2" t="s">
        <v>128</v>
      </c>
      <c r="D229" s="2" t="s">
        <v>32</v>
      </c>
      <c r="E229" s="2" t="s">
        <v>27</v>
      </c>
      <c r="F229" s="77">
        <f>'Final Output'!K20</f>
        <v>-9.3546325878593774E-3</v>
      </c>
    </row>
    <row r="230" spans="1:6" x14ac:dyDescent="0.45">
      <c r="A230" s="58" t="s">
        <v>43</v>
      </c>
      <c r="B230" s="2" t="s">
        <v>129</v>
      </c>
      <c r="C230" s="2" t="s">
        <v>130</v>
      </c>
      <c r="D230" s="2" t="s">
        <v>32</v>
      </c>
      <c r="E230" s="2" t="s">
        <v>27</v>
      </c>
      <c r="F230" s="77">
        <f>'Final Output'!K21</f>
        <v>-7.83717105263162E-3</v>
      </c>
    </row>
    <row r="231" spans="1:6" x14ac:dyDescent="0.45">
      <c r="A231" s="58" t="s">
        <v>43</v>
      </c>
      <c r="B231" s="2" t="s">
        <v>131</v>
      </c>
      <c r="C231" s="2" t="s">
        <v>132</v>
      </c>
      <c r="D231" s="2" t="s">
        <v>32</v>
      </c>
      <c r="E231" s="2" t="s">
        <v>27</v>
      </c>
      <c r="F231" s="77">
        <f>'Final Output'!K22</f>
        <v>-6.5390217259375105E-3</v>
      </c>
    </row>
    <row r="232" spans="1:6" x14ac:dyDescent="0.45">
      <c r="A232" s="58" t="s">
        <v>43</v>
      </c>
      <c r="B232" s="2" t="s">
        <v>133</v>
      </c>
      <c r="C232" s="2" t="s">
        <v>134</v>
      </c>
      <c r="D232" s="2" t="s">
        <v>32</v>
      </c>
      <c r="E232" s="2" t="s">
        <v>27</v>
      </c>
      <c r="F232" s="77">
        <f>'Final Output'!K23</f>
        <v>-5.2110530896432913E-3</v>
      </c>
    </row>
    <row r="233" spans="1:6" x14ac:dyDescent="0.45">
      <c r="A233" s="58" t="s">
        <v>43</v>
      </c>
      <c r="B233" s="2" t="s">
        <v>135</v>
      </c>
      <c r="C233" s="2" t="s">
        <v>136</v>
      </c>
      <c r="D233" s="2" t="s">
        <v>32</v>
      </c>
      <c r="E233" s="2" t="s">
        <v>27</v>
      </c>
      <c r="F233" s="77">
        <f>'Final Output'!K24</f>
        <v>-3.4003967421053624E-3</v>
      </c>
    </row>
    <row r="234" spans="1:6" x14ac:dyDescent="0.45">
      <c r="A234" s="58" t="s">
        <v>43</v>
      </c>
      <c r="B234" s="2" t="s">
        <v>137</v>
      </c>
      <c r="C234" s="2" t="s">
        <v>138</v>
      </c>
      <c r="D234" s="2" t="s">
        <v>32</v>
      </c>
      <c r="E234" s="2" t="s">
        <v>27</v>
      </c>
      <c r="F234" s="77">
        <f>'Final Output'!K25</f>
        <v>-2.5974025974025983E-3</v>
      </c>
    </row>
    <row r="235" spans="1:6" x14ac:dyDescent="0.45">
      <c r="A235" s="58" t="s">
        <v>44</v>
      </c>
      <c r="B235" s="14" t="s">
        <v>94</v>
      </c>
      <c r="C235" s="14" t="s">
        <v>95</v>
      </c>
      <c r="D235" s="14" t="s">
        <v>96</v>
      </c>
      <c r="E235" s="15" t="s">
        <v>27</v>
      </c>
      <c r="F235" s="75" t="str">
        <f ca="1">CONCATENATE("[…]", TEXT(NOW(),"dd/mm/yyy hh:mm:ss"))</f>
        <v>[…]12/12/2024 16:35:52</v>
      </c>
    </row>
    <row r="236" spans="1:6" x14ac:dyDescent="0.45">
      <c r="A236" s="58" t="s">
        <v>44</v>
      </c>
      <c r="B236" s="14" t="s">
        <v>97</v>
      </c>
      <c r="C236" s="14" t="s">
        <v>98</v>
      </c>
      <c r="D236" s="14" t="s">
        <v>96</v>
      </c>
      <c r="E236" s="15" t="s">
        <v>27</v>
      </c>
      <c r="F236" s="15" t="str">
        <f ca="1">MID(CELL("filename"),SEARCH("[",CELL("filename"))+1,SEARCH("]",CELL("filename"))-SEARCH("[",CELL("filename"))-1)</f>
        <v>PR24 FD OC11 ODI risk - Feeder Model (Discharge Permit Compliance).xlsx</v>
      </c>
    </row>
    <row r="237" spans="1:6" x14ac:dyDescent="0.45">
      <c r="A237" s="58" t="s">
        <v>44</v>
      </c>
      <c r="B237" s="14" t="s">
        <v>99</v>
      </c>
      <c r="C237" s="14" t="s">
        <v>100</v>
      </c>
      <c r="D237" s="14" t="s">
        <v>96</v>
      </c>
      <c r="E237" s="15" t="s">
        <v>27</v>
      </c>
      <c r="F237" s="15" t="str">
        <f>F_Inputs!$E$1</f>
        <v>Run on 12 Nov 2024 17:31</v>
      </c>
    </row>
    <row r="238" spans="1:6" x14ac:dyDescent="0.45">
      <c r="A238" s="58" t="s">
        <v>44</v>
      </c>
      <c r="B238" s="14" t="s">
        <v>101</v>
      </c>
      <c r="C238" s="14" t="s">
        <v>102</v>
      </c>
      <c r="D238" s="14" t="s">
        <v>103</v>
      </c>
      <c r="E238" s="15" t="s">
        <v>27</v>
      </c>
      <c r="F238" s="76" t="s">
        <v>104</v>
      </c>
    </row>
    <row r="239" spans="1:6" x14ac:dyDescent="0.45">
      <c r="A239" s="58" t="s">
        <v>44</v>
      </c>
      <c r="B239" s="2" t="s">
        <v>105</v>
      </c>
      <c r="C239" s="2" t="s">
        <v>106</v>
      </c>
      <c r="D239" s="2" t="s">
        <v>32</v>
      </c>
      <c r="E239" s="2" t="s">
        <v>27</v>
      </c>
      <c r="F239" s="77">
        <f>'Final Output'!K30</f>
        <v>-7.8947368421052655E-2</v>
      </c>
    </row>
    <row r="240" spans="1:6" x14ac:dyDescent="0.45">
      <c r="A240" s="58" t="s">
        <v>44</v>
      </c>
      <c r="B240" s="2" t="s">
        <v>107</v>
      </c>
      <c r="C240" s="2" t="s">
        <v>108</v>
      </c>
      <c r="D240" s="2" t="s">
        <v>32</v>
      </c>
      <c r="E240" s="2" t="s">
        <v>27</v>
      </c>
      <c r="F240" s="77">
        <f>'Final Output'!K31</f>
        <v>-6.0526315789473692E-2</v>
      </c>
    </row>
    <row r="241" spans="1:6" x14ac:dyDescent="0.45">
      <c r="A241" s="58" t="s">
        <v>44</v>
      </c>
      <c r="B241" s="2" t="s">
        <v>109</v>
      </c>
      <c r="C241" s="2" t="s">
        <v>110</v>
      </c>
      <c r="D241" s="2" t="s">
        <v>32</v>
      </c>
      <c r="E241" s="2" t="s">
        <v>27</v>
      </c>
      <c r="F241" s="77">
        <f>'Final Output'!K32</f>
        <v>-3.8475499092558998E-2</v>
      </c>
    </row>
    <row r="242" spans="1:6" x14ac:dyDescent="0.45">
      <c r="A242" s="58" t="s">
        <v>44</v>
      </c>
      <c r="B242" s="2" t="s">
        <v>111</v>
      </c>
      <c r="C242" s="2" t="s">
        <v>112</v>
      </c>
      <c r="D242" s="2" t="s">
        <v>32</v>
      </c>
      <c r="E242" s="2" t="s">
        <v>27</v>
      </c>
      <c r="F242" s="77">
        <f>'Final Output'!K33</f>
        <v>-3.2258064516129004E-2</v>
      </c>
    </row>
    <row r="243" spans="1:6" x14ac:dyDescent="0.45">
      <c r="A243" s="58" t="s">
        <v>44</v>
      </c>
      <c r="B243" s="2" t="s">
        <v>113</v>
      </c>
      <c r="C243" s="2" t="s">
        <v>114</v>
      </c>
      <c r="D243" s="2" t="s">
        <v>32</v>
      </c>
      <c r="E243" s="2" t="s">
        <v>27</v>
      </c>
      <c r="F243" s="77">
        <f>'Final Output'!K34</f>
        <v>-2.4310776942355925E-2</v>
      </c>
    </row>
    <row r="244" spans="1:6" x14ac:dyDescent="0.45">
      <c r="A244" s="58" t="s">
        <v>44</v>
      </c>
      <c r="B244" s="2" t="s">
        <v>115</v>
      </c>
      <c r="C244" s="2" t="s">
        <v>116</v>
      </c>
      <c r="D244" s="2" t="s">
        <v>32</v>
      </c>
      <c r="E244" s="2" t="s">
        <v>27</v>
      </c>
      <c r="F244" s="77">
        <f>'Final Output'!K35</f>
        <v>-5.2631578947368862E-3</v>
      </c>
    </row>
    <row r="245" spans="1:6" x14ac:dyDescent="0.45">
      <c r="A245" s="58" t="s">
        <v>44</v>
      </c>
      <c r="B245" s="2" t="s">
        <v>117</v>
      </c>
      <c r="C245" s="2" t="s">
        <v>118</v>
      </c>
      <c r="D245" s="2" t="s">
        <v>32</v>
      </c>
      <c r="E245" s="2" t="s">
        <v>27</v>
      </c>
      <c r="F245" s="77">
        <f>'Final Output'!K36</f>
        <v>0</v>
      </c>
    </row>
    <row r="246" spans="1:6" x14ac:dyDescent="0.45">
      <c r="A246" s="58" t="s">
        <v>44</v>
      </c>
      <c r="B246" s="2" t="s">
        <v>119</v>
      </c>
      <c r="C246" s="2" t="s">
        <v>120</v>
      </c>
      <c r="D246" s="2" t="s">
        <v>32</v>
      </c>
      <c r="E246" s="2" t="s">
        <v>27</v>
      </c>
      <c r="F246" s="77">
        <f>'Final Output'!K37</f>
        <v>0</v>
      </c>
    </row>
    <row r="247" spans="1:6" x14ac:dyDescent="0.45">
      <c r="A247" s="58" t="s">
        <v>44</v>
      </c>
      <c r="B247" s="2" t="s">
        <v>121</v>
      </c>
      <c r="C247" s="2" t="s">
        <v>122</v>
      </c>
      <c r="D247" s="2" t="s">
        <v>32</v>
      </c>
      <c r="E247" s="2" t="s">
        <v>27</v>
      </c>
      <c r="F247" s="77">
        <f>'Final Output'!K38</f>
        <v>0</v>
      </c>
    </row>
    <row r="248" spans="1:6" x14ac:dyDescent="0.45">
      <c r="A248" s="58" t="s">
        <v>44</v>
      </c>
      <c r="B248" s="2" t="s">
        <v>123</v>
      </c>
      <c r="C248" s="2" t="s">
        <v>124</v>
      </c>
      <c r="D248" s="2" t="s">
        <v>32</v>
      </c>
      <c r="E248" s="2" t="s">
        <v>27</v>
      </c>
      <c r="F248" s="77">
        <f>'Final Output'!K39</f>
        <v>0</v>
      </c>
    </row>
    <row r="249" spans="1:6" x14ac:dyDescent="0.45">
      <c r="A249" s="58" t="s">
        <v>44</v>
      </c>
      <c r="B249" s="2" t="s">
        <v>125</v>
      </c>
      <c r="C249" s="2" t="s">
        <v>126</v>
      </c>
      <c r="D249" s="2" t="s">
        <v>32</v>
      </c>
      <c r="E249" s="2" t="s">
        <v>27</v>
      </c>
      <c r="F249" s="77">
        <f>'Final Output'!K40</f>
        <v>0</v>
      </c>
    </row>
    <row r="250" spans="1:6" x14ac:dyDescent="0.45">
      <c r="A250" s="58" t="s">
        <v>44</v>
      </c>
      <c r="B250" s="2" t="s">
        <v>127</v>
      </c>
      <c r="C250" s="2" t="s">
        <v>128</v>
      </c>
      <c r="D250" s="2" t="s">
        <v>32</v>
      </c>
      <c r="E250" s="2" t="s">
        <v>27</v>
      </c>
      <c r="F250" s="77">
        <f>'Final Output'!K41</f>
        <v>0</v>
      </c>
    </row>
    <row r="251" spans="1:6" x14ac:dyDescent="0.45">
      <c r="A251" s="58" t="s">
        <v>44</v>
      </c>
      <c r="B251" s="2" t="s">
        <v>129</v>
      </c>
      <c r="C251" s="2" t="s">
        <v>130</v>
      </c>
      <c r="D251" s="2" t="s">
        <v>32</v>
      </c>
      <c r="E251" s="2" t="s">
        <v>27</v>
      </c>
      <c r="F251" s="77">
        <f>'Final Output'!K42</f>
        <v>0</v>
      </c>
    </row>
    <row r="252" spans="1:6" x14ac:dyDescent="0.45">
      <c r="A252" s="58" t="s">
        <v>44</v>
      </c>
      <c r="B252" s="2" t="s">
        <v>131</v>
      </c>
      <c r="C252" s="2" t="s">
        <v>132</v>
      </c>
      <c r="D252" s="2" t="s">
        <v>32</v>
      </c>
      <c r="E252" s="2" t="s">
        <v>27</v>
      </c>
      <c r="F252" s="77">
        <f>'Final Output'!K43</f>
        <v>0</v>
      </c>
    </row>
    <row r="253" spans="1:6" x14ac:dyDescent="0.45">
      <c r="A253" s="58" t="s">
        <v>44</v>
      </c>
      <c r="B253" s="2" t="s">
        <v>133</v>
      </c>
      <c r="C253" s="2" t="s">
        <v>134</v>
      </c>
      <c r="D253" s="2" t="s">
        <v>32</v>
      </c>
      <c r="E253" s="2" t="s">
        <v>27</v>
      </c>
      <c r="F253" s="77">
        <f>'Final Output'!K44</f>
        <v>0</v>
      </c>
    </row>
    <row r="254" spans="1:6" x14ac:dyDescent="0.45">
      <c r="A254" s="58" t="s">
        <v>44</v>
      </c>
      <c r="B254" s="2" t="s">
        <v>135</v>
      </c>
      <c r="C254" s="2" t="s">
        <v>136</v>
      </c>
      <c r="D254" s="2" t="s">
        <v>32</v>
      </c>
      <c r="E254" s="2" t="s">
        <v>27</v>
      </c>
      <c r="F254" s="77">
        <f>'Final Output'!K45</f>
        <v>0</v>
      </c>
    </row>
    <row r="255" spans="1:6" x14ac:dyDescent="0.45">
      <c r="A255" s="58" t="s">
        <v>44</v>
      </c>
      <c r="B255" s="2" t="s">
        <v>137</v>
      </c>
      <c r="C255" s="2" t="s">
        <v>138</v>
      </c>
      <c r="D255" s="2" t="s">
        <v>32</v>
      </c>
      <c r="E255" s="2" t="s">
        <v>27</v>
      </c>
      <c r="F255" s="77">
        <f>'Final Output'!K46</f>
        <v>0</v>
      </c>
    </row>
    <row r="256" spans="1:6" x14ac:dyDescent="0.45">
      <c r="A256" s="58" t="s">
        <v>45</v>
      </c>
      <c r="B256" s="14" t="s">
        <v>94</v>
      </c>
      <c r="C256" s="14" t="s">
        <v>95</v>
      </c>
      <c r="D256" s="14" t="s">
        <v>96</v>
      </c>
      <c r="E256" s="15" t="s">
        <v>27</v>
      </c>
      <c r="F256" s="75" t="str">
        <f ca="1">CONCATENATE("[…]", TEXT(NOW(),"dd/mm/yyy hh:mm:ss"))</f>
        <v>[…]12/12/2024 16:35:52</v>
      </c>
    </row>
    <row r="257" spans="1:6" x14ac:dyDescent="0.45">
      <c r="A257" s="58" t="s">
        <v>45</v>
      </c>
      <c r="B257" s="14" t="s">
        <v>97</v>
      </c>
      <c r="C257" s="14" t="s">
        <v>98</v>
      </c>
      <c r="D257" s="14" t="s">
        <v>96</v>
      </c>
      <c r="E257" s="15" t="s">
        <v>27</v>
      </c>
      <c r="F257" s="15" t="str">
        <f ca="1">MID(CELL("filename"),SEARCH("[",CELL("filename"))+1,SEARCH("]",CELL("filename"))-SEARCH("[",CELL("filename"))-1)</f>
        <v>PR24 FD OC11 ODI risk - Feeder Model (Discharge Permit Compliance).xlsx</v>
      </c>
    </row>
    <row r="258" spans="1:6" x14ac:dyDescent="0.45">
      <c r="A258" s="58" t="s">
        <v>45</v>
      </c>
      <c r="B258" s="14" t="s">
        <v>99</v>
      </c>
      <c r="C258" s="14" t="s">
        <v>100</v>
      </c>
      <c r="D258" s="14" t="s">
        <v>96</v>
      </c>
      <c r="E258" s="15" t="s">
        <v>27</v>
      </c>
      <c r="F258" s="15" t="str">
        <f>F_Inputs!$E$1</f>
        <v>Run on 12 Nov 2024 17:31</v>
      </c>
    </row>
    <row r="259" spans="1:6" x14ac:dyDescent="0.45">
      <c r="A259" s="58" t="s">
        <v>45</v>
      </c>
      <c r="B259" s="14" t="s">
        <v>101</v>
      </c>
      <c r="C259" s="14" t="s">
        <v>102</v>
      </c>
      <c r="D259" s="14" t="s">
        <v>103</v>
      </c>
      <c r="E259" s="15" t="s">
        <v>27</v>
      </c>
      <c r="F259" s="76" t="s">
        <v>104</v>
      </c>
    </row>
    <row r="260" spans="1:6" x14ac:dyDescent="0.45">
      <c r="A260" s="58" t="s">
        <v>45</v>
      </c>
      <c r="B260" s="2" t="s">
        <v>105</v>
      </c>
      <c r="C260" s="2" t="s">
        <v>106</v>
      </c>
      <c r="D260" s="2" t="s">
        <v>32</v>
      </c>
      <c r="E260" s="2" t="s">
        <v>27</v>
      </c>
      <c r="F260" s="77">
        <f>'Final Output'!K30</f>
        <v>-7.8947368421052655E-2</v>
      </c>
    </row>
    <row r="261" spans="1:6" x14ac:dyDescent="0.45">
      <c r="A261" s="58" t="s">
        <v>45</v>
      </c>
      <c r="B261" s="2" t="s">
        <v>107</v>
      </c>
      <c r="C261" s="2" t="s">
        <v>108</v>
      </c>
      <c r="D261" s="2" t="s">
        <v>32</v>
      </c>
      <c r="E261" s="2" t="s">
        <v>27</v>
      </c>
      <c r="F261" s="77">
        <f>'Final Output'!K31</f>
        <v>-6.0526315789473692E-2</v>
      </c>
    </row>
    <row r="262" spans="1:6" x14ac:dyDescent="0.45">
      <c r="A262" s="58" t="s">
        <v>45</v>
      </c>
      <c r="B262" s="2" t="s">
        <v>109</v>
      </c>
      <c r="C262" s="2" t="s">
        <v>110</v>
      </c>
      <c r="D262" s="2" t="s">
        <v>32</v>
      </c>
      <c r="E262" s="2" t="s">
        <v>27</v>
      </c>
      <c r="F262" s="77">
        <f>'Final Output'!K32</f>
        <v>-3.8475499092558998E-2</v>
      </c>
    </row>
    <row r="263" spans="1:6" x14ac:dyDescent="0.45">
      <c r="A263" s="58" t="s">
        <v>45</v>
      </c>
      <c r="B263" s="2" t="s">
        <v>111</v>
      </c>
      <c r="C263" s="2" t="s">
        <v>112</v>
      </c>
      <c r="D263" s="2" t="s">
        <v>32</v>
      </c>
      <c r="E263" s="2" t="s">
        <v>27</v>
      </c>
      <c r="F263" s="77">
        <f>'Final Output'!K33</f>
        <v>-3.2258064516129004E-2</v>
      </c>
    </row>
    <row r="264" spans="1:6" x14ac:dyDescent="0.45">
      <c r="A264" s="58" t="s">
        <v>45</v>
      </c>
      <c r="B264" s="2" t="s">
        <v>113</v>
      </c>
      <c r="C264" s="2" t="s">
        <v>114</v>
      </c>
      <c r="D264" s="2" t="s">
        <v>32</v>
      </c>
      <c r="E264" s="2" t="s">
        <v>27</v>
      </c>
      <c r="F264" s="77">
        <f>'Final Output'!K34</f>
        <v>-2.4310776942355925E-2</v>
      </c>
    </row>
    <row r="265" spans="1:6" x14ac:dyDescent="0.45">
      <c r="A265" s="58" t="s">
        <v>45</v>
      </c>
      <c r="B265" s="2" t="s">
        <v>115</v>
      </c>
      <c r="C265" s="2" t="s">
        <v>116</v>
      </c>
      <c r="D265" s="2" t="s">
        <v>32</v>
      </c>
      <c r="E265" s="2" t="s">
        <v>27</v>
      </c>
      <c r="F265" s="77">
        <f>'Final Output'!K35</f>
        <v>-5.2631578947368862E-3</v>
      </c>
    </row>
    <row r="266" spans="1:6" x14ac:dyDescent="0.45">
      <c r="A266" s="58" t="s">
        <v>45</v>
      </c>
      <c r="B266" s="2" t="s">
        <v>117</v>
      </c>
      <c r="C266" s="2" t="s">
        <v>118</v>
      </c>
      <c r="D266" s="2" t="s">
        <v>32</v>
      </c>
      <c r="E266" s="2" t="s">
        <v>27</v>
      </c>
      <c r="F266" s="77">
        <f>'Final Output'!K36</f>
        <v>0</v>
      </c>
    </row>
    <row r="267" spans="1:6" x14ac:dyDescent="0.45">
      <c r="A267" s="58" t="s">
        <v>45</v>
      </c>
      <c r="B267" s="2" t="s">
        <v>119</v>
      </c>
      <c r="C267" s="2" t="s">
        <v>120</v>
      </c>
      <c r="D267" s="2" t="s">
        <v>32</v>
      </c>
      <c r="E267" s="2" t="s">
        <v>27</v>
      </c>
      <c r="F267" s="77">
        <f>'Final Output'!K37</f>
        <v>0</v>
      </c>
    </row>
    <row r="268" spans="1:6" x14ac:dyDescent="0.45">
      <c r="A268" s="58" t="s">
        <v>45</v>
      </c>
      <c r="B268" s="2" t="s">
        <v>121</v>
      </c>
      <c r="C268" s="2" t="s">
        <v>122</v>
      </c>
      <c r="D268" s="2" t="s">
        <v>32</v>
      </c>
      <c r="E268" s="2" t="s">
        <v>27</v>
      </c>
      <c r="F268" s="77">
        <f>'Final Output'!K38</f>
        <v>0</v>
      </c>
    </row>
    <row r="269" spans="1:6" x14ac:dyDescent="0.45">
      <c r="A269" s="58" t="s">
        <v>45</v>
      </c>
      <c r="B269" s="2" t="s">
        <v>123</v>
      </c>
      <c r="C269" s="2" t="s">
        <v>124</v>
      </c>
      <c r="D269" s="2" t="s">
        <v>32</v>
      </c>
      <c r="E269" s="2" t="s">
        <v>27</v>
      </c>
      <c r="F269" s="77">
        <f>'Final Output'!K39</f>
        <v>0</v>
      </c>
    </row>
    <row r="270" spans="1:6" x14ac:dyDescent="0.45">
      <c r="A270" s="58" t="s">
        <v>45</v>
      </c>
      <c r="B270" s="2" t="s">
        <v>125</v>
      </c>
      <c r="C270" s="2" t="s">
        <v>126</v>
      </c>
      <c r="D270" s="2" t="s">
        <v>32</v>
      </c>
      <c r="E270" s="2" t="s">
        <v>27</v>
      </c>
      <c r="F270" s="77">
        <f>'Final Output'!K40</f>
        <v>0</v>
      </c>
    </row>
    <row r="271" spans="1:6" x14ac:dyDescent="0.45">
      <c r="A271" s="58" t="s">
        <v>45</v>
      </c>
      <c r="B271" s="2" t="s">
        <v>127</v>
      </c>
      <c r="C271" s="2" t="s">
        <v>128</v>
      </c>
      <c r="D271" s="2" t="s">
        <v>32</v>
      </c>
      <c r="E271" s="2" t="s">
        <v>27</v>
      </c>
      <c r="F271" s="77">
        <f>'Final Output'!K41</f>
        <v>0</v>
      </c>
    </row>
    <row r="272" spans="1:6" x14ac:dyDescent="0.45">
      <c r="A272" s="58" t="s">
        <v>45</v>
      </c>
      <c r="B272" s="2" t="s">
        <v>129</v>
      </c>
      <c r="C272" s="2" t="s">
        <v>130</v>
      </c>
      <c r="D272" s="2" t="s">
        <v>32</v>
      </c>
      <c r="E272" s="2" t="s">
        <v>27</v>
      </c>
      <c r="F272" s="77">
        <f>'Final Output'!K42</f>
        <v>0</v>
      </c>
    </row>
    <row r="273" spans="1:6" x14ac:dyDescent="0.45">
      <c r="A273" s="58" t="s">
        <v>45</v>
      </c>
      <c r="B273" s="2" t="s">
        <v>131</v>
      </c>
      <c r="C273" s="2" t="s">
        <v>132</v>
      </c>
      <c r="D273" s="2" t="s">
        <v>32</v>
      </c>
      <c r="E273" s="2" t="s">
        <v>27</v>
      </c>
      <c r="F273" s="77">
        <f>'Final Output'!K43</f>
        <v>0</v>
      </c>
    </row>
    <row r="274" spans="1:6" x14ac:dyDescent="0.45">
      <c r="A274" s="58" t="s">
        <v>45</v>
      </c>
      <c r="B274" s="2" t="s">
        <v>133</v>
      </c>
      <c r="C274" s="2" t="s">
        <v>134</v>
      </c>
      <c r="D274" s="2" t="s">
        <v>32</v>
      </c>
      <c r="E274" s="2" t="s">
        <v>27</v>
      </c>
      <c r="F274" s="77">
        <f>'Final Output'!K44</f>
        <v>0</v>
      </c>
    </row>
    <row r="275" spans="1:6" x14ac:dyDescent="0.45">
      <c r="A275" s="58" t="s">
        <v>45</v>
      </c>
      <c r="B275" s="2" t="s">
        <v>135</v>
      </c>
      <c r="C275" s="2" t="s">
        <v>136</v>
      </c>
      <c r="D275" s="2" t="s">
        <v>32</v>
      </c>
      <c r="E275" s="2" t="s">
        <v>27</v>
      </c>
      <c r="F275" s="77">
        <f>'Final Output'!K45</f>
        <v>0</v>
      </c>
    </row>
    <row r="276" spans="1:6" x14ac:dyDescent="0.45">
      <c r="A276" s="58" t="s">
        <v>45</v>
      </c>
      <c r="B276" s="2" t="s">
        <v>137</v>
      </c>
      <c r="C276" s="2" t="s">
        <v>138</v>
      </c>
      <c r="D276" s="2" t="s">
        <v>32</v>
      </c>
      <c r="E276" s="2" t="s">
        <v>27</v>
      </c>
      <c r="F276" s="77">
        <f>'Final Output'!K46</f>
        <v>0</v>
      </c>
    </row>
    <row r="277" spans="1:6" x14ac:dyDescent="0.45">
      <c r="A277" s="58" t="s">
        <v>46</v>
      </c>
      <c r="B277" s="14" t="s">
        <v>94</v>
      </c>
      <c r="C277" s="14" t="s">
        <v>95</v>
      </c>
      <c r="D277" s="14" t="s">
        <v>96</v>
      </c>
      <c r="E277" s="15" t="s">
        <v>27</v>
      </c>
      <c r="F277" s="75" t="str">
        <f ca="1">CONCATENATE("[…]", TEXT(NOW(),"dd/mm/yyy hh:mm:ss"))</f>
        <v>[…]12/12/2024 16:35:52</v>
      </c>
    </row>
    <row r="278" spans="1:6" x14ac:dyDescent="0.45">
      <c r="A278" s="58" t="s">
        <v>46</v>
      </c>
      <c r="B278" s="14" t="s">
        <v>97</v>
      </c>
      <c r="C278" s="14" t="s">
        <v>98</v>
      </c>
      <c r="D278" s="14" t="s">
        <v>96</v>
      </c>
      <c r="E278" s="15" t="s">
        <v>27</v>
      </c>
      <c r="F278" s="15" t="str">
        <f ca="1">MID(CELL("filename"),SEARCH("[",CELL("filename"))+1,SEARCH("]",CELL("filename"))-SEARCH("[",CELL("filename"))-1)</f>
        <v>PR24 FD OC11 ODI risk - Feeder Model (Discharge Permit Compliance).xlsx</v>
      </c>
    </row>
    <row r="279" spans="1:6" x14ac:dyDescent="0.45">
      <c r="A279" s="58" t="s">
        <v>46</v>
      </c>
      <c r="B279" s="14" t="s">
        <v>99</v>
      </c>
      <c r="C279" s="14" t="s">
        <v>100</v>
      </c>
      <c r="D279" s="14" t="s">
        <v>96</v>
      </c>
      <c r="E279" s="15" t="s">
        <v>27</v>
      </c>
      <c r="F279" s="15" t="str">
        <f>F_Inputs!$E$1</f>
        <v>Run on 12 Nov 2024 17:31</v>
      </c>
    </row>
    <row r="280" spans="1:6" x14ac:dyDescent="0.45">
      <c r="A280" s="58" t="s">
        <v>46</v>
      </c>
      <c r="B280" s="14" t="s">
        <v>101</v>
      </c>
      <c r="C280" s="14" t="s">
        <v>102</v>
      </c>
      <c r="D280" s="14" t="s">
        <v>103</v>
      </c>
      <c r="E280" s="15" t="s">
        <v>27</v>
      </c>
      <c r="F280" s="76" t="s">
        <v>104</v>
      </c>
    </row>
    <row r="281" spans="1:6" x14ac:dyDescent="0.45">
      <c r="A281" s="58" t="s">
        <v>46</v>
      </c>
      <c r="B281" s="2" t="s">
        <v>105</v>
      </c>
      <c r="C281" s="2" t="s">
        <v>106</v>
      </c>
      <c r="D281" s="2" t="s">
        <v>32</v>
      </c>
      <c r="E281" s="2" t="s">
        <v>27</v>
      </c>
      <c r="F281" s="77">
        <f>'Final Output'!K30</f>
        <v>-7.8947368421052655E-2</v>
      </c>
    </row>
    <row r="282" spans="1:6" x14ac:dyDescent="0.45">
      <c r="A282" s="58" t="s">
        <v>46</v>
      </c>
      <c r="B282" s="2" t="s">
        <v>107</v>
      </c>
      <c r="C282" s="2" t="s">
        <v>108</v>
      </c>
      <c r="D282" s="2" t="s">
        <v>32</v>
      </c>
      <c r="E282" s="2" t="s">
        <v>27</v>
      </c>
      <c r="F282" s="77">
        <f>'Final Output'!K31</f>
        <v>-6.0526315789473692E-2</v>
      </c>
    </row>
    <row r="283" spans="1:6" x14ac:dyDescent="0.45">
      <c r="A283" s="58" t="s">
        <v>46</v>
      </c>
      <c r="B283" s="2" t="s">
        <v>109</v>
      </c>
      <c r="C283" s="2" t="s">
        <v>110</v>
      </c>
      <c r="D283" s="2" t="s">
        <v>32</v>
      </c>
      <c r="E283" s="2" t="s">
        <v>27</v>
      </c>
      <c r="F283" s="77">
        <f>'Final Output'!K32</f>
        <v>-3.8475499092558998E-2</v>
      </c>
    </row>
    <row r="284" spans="1:6" x14ac:dyDescent="0.45">
      <c r="A284" s="58" t="s">
        <v>46</v>
      </c>
      <c r="B284" s="2" t="s">
        <v>111</v>
      </c>
      <c r="C284" s="2" t="s">
        <v>112</v>
      </c>
      <c r="D284" s="2" t="s">
        <v>32</v>
      </c>
      <c r="E284" s="2" t="s">
        <v>27</v>
      </c>
      <c r="F284" s="77">
        <f>'Final Output'!K33</f>
        <v>-3.2258064516129004E-2</v>
      </c>
    </row>
    <row r="285" spans="1:6" x14ac:dyDescent="0.45">
      <c r="A285" s="58" t="s">
        <v>46</v>
      </c>
      <c r="B285" s="2" t="s">
        <v>113</v>
      </c>
      <c r="C285" s="2" t="s">
        <v>114</v>
      </c>
      <c r="D285" s="2" t="s">
        <v>32</v>
      </c>
      <c r="E285" s="2" t="s">
        <v>27</v>
      </c>
      <c r="F285" s="77">
        <f>'Final Output'!K34</f>
        <v>-2.4310776942355925E-2</v>
      </c>
    </row>
    <row r="286" spans="1:6" x14ac:dyDescent="0.45">
      <c r="A286" s="58" t="s">
        <v>46</v>
      </c>
      <c r="B286" s="2" t="s">
        <v>115</v>
      </c>
      <c r="C286" s="2" t="s">
        <v>116</v>
      </c>
      <c r="D286" s="2" t="s">
        <v>32</v>
      </c>
      <c r="E286" s="2" t="s">
        <v>27</v>
      </c>
      <c r="F286" s="77">
        <f>'Final Output'!K35</f>
        <v>-5.2631578947368862E-3</v>
      </c>
    </row>
    <row r="287" spans="1:6" x14ac:dyDescent="0.45">
      <c r="A287" s="58" t="s">
        <v>46</v>
      </c>
      <c r="B287" s="2" t="s">
        <v>117</v>
      </c>
      <c r="C287" s="2" t="s">
        <v>118</v>
      </c>
      <c r="D287" s="2" t="s">
        <v>32</v>
      </c>
      <c r="E287" s="2" t="s">
        <v>27</v>
      </c>
      <c r="F287" s="77">
        <f>'Final Output'!K36</f>
        <v>0</v>
      </c>
    </row>
    <row r="288" spans="1:6" x14ac:dyDescent="0.45">
      <c r="A288" s="58" t="s">
        <v>46</v>
      </c>
      <c r="B288" s="2" t="s">
        <v>119</v>
      </c>
      <c r="C288" s="2" t="s">
        <v>120</v>
      </c>
      <c r="D288" s="2" t="s">
        <v>32</v>
      </c>
      <c r="E288" s="2" t="s">
        <v>27</v>
      </c>
      <c r="F288" s="77">
        <f>'Final Output'!K37</f>
        <v>0</v>
      </c>
    </row>
    <row r="289" spans="1:6" x14ac:dyDescent="0.45">
      <c r="A289" s="58" t="s">
        <v>46</v>
      </c>
      <c r="B289" s="2" t="s">
        <v>121</v>
      </c>
      <c r="C289" s="2" t="s">
        <v>122</v>
      </c>
      <c r="D289" s="2" t="s">
        <v>32</v>
      </c>
      <c r="E289" s="2" t="s">
        <v>27</v>
      </c>
      <c r="F289" s="77">
        <f>'Final Output'!K38</f>
        <v>0</v>
      </c>
    </row>
    <row r="290" spans="1:6" x14ac:dyDescent="0.45">
      <c r="A290" s="58" t="s">
        <v>46</v>
      </c>
      <c r="B290" s="2" t="s">
        <v>123</v>
      </c>
      <c r="C290" s="2" t="s">
        <v>124</v>
      </c>
      <c r="D290" s="2" t="s">
        <v>32</v>
      </c>
      <c r="E290" s="2" t="s">
        <v>27</v>
      </c>
      <c r="F290" s="77">
        <f>'Final Output'!K39</f>
        <v>0</v>
      </c>
    </row>
    <row r="291" spans="1:6" x14ac:dyDescent="0.45">
      <c r="A291" s="58" t="s">
        <v>46</v>
      </c>
      <c r="B291" s="2" t="s">
        <v>125</v>
      </c>
      <c r="C291" s="2" t="s">
        <v>126</v>
      </c>
      <c r="D291" s="2" t="s">
        <v>32</v>
      </c>
      <c r="E291" s="2" t="s">
        <v>27</v>
      </c>
      <c r="F291" s="77">
        <f>'Final Output'!K40</f>
        <v>0</v>
      </c>
    </row>
    <row r="292" spans="1:6" x14ac:dyDescent="0.45">
      <c r="A292" s="58" t="s">
        <v>46</v>
      </c>
      <c r="B292" s="2" t="s">
        <v>127</v>
      </c>
      <c r="C292" s="2" t="s">
        <v>128</v>
      </c>
      <c r="D292" s="2" t="s">
        <v>32</v>
      </c>
      <c r="E292" s="2" t="s">
        <v>27</v>
      </c>
      <c r="F292" s="77">
        <f>'Final Output'!K41</f>
        <v>0</v>
      </c>
    </row>
    <row r="293" spans="1:6" x14ac:dyDescent="0.45">
      <c r="A293" s="58" t="s">
        <v>46</v>
      </c>
      <c r="B293" s="2" t="s">
        <v>129</v>
      </c>
      <c r="C293" s="2" t="s">
        <v>130</v>
      </c>
      <c r="D293" s="2" t="s">
        <v>32</v>
      </c>
      <c r="E293" s="2" t="s">
        <v>27</v>
      </c>
      <c r="F293" s="77">
        <f>'Final Output'!K42</f>
        <v>0</v>
      </c>
    </row>
    <row r="294" spans="1:6" x14ac:dyDescent="0.45">
      <c r="A294" s="58" t="s">
        <v>46</v>
      </c>
      <c r="B294" s="2" t="s">
        <v>131</v>
      </c>
      <c r="C294" s="2" t="s">
        <v>132</v>
      </c>
      <c r="D294" s="2" t="s">
        <v>32</v>
      </c>
      <c r="E294" s="2" t="s">
        <v>27</v>
      </c>
      <c r="F294" s="77">
        <f>'Final Output'!K43</f>
        <v>0</v>
      </c>
    </row>
    <row r="295" spans="1:6" x14ac:dyDescent="0.45">
      <c r="A295" s="58" t="s">
        <v>46</v>
      </c>
      <c r="B295" s="2" t="s">
        <v>133</v>
      </c>
      <c r="C295" s="2" t="s">
        <v>134</v>
      </c>
      <c r="D295" s="2" t="s">
        <v>32</v>
      </c>
      <c r="E295" s="2" t="s">
        <v>27</v>
      </c>
      <c r="F295" s="77">
        <f>'Final Output'!K44</f>
        <v>0</v>
      </c>
    </row>
    <row r="296" spans="1:6" x14ac:dyDescent="0.45">
      <c r="A296" s="58" t="s">
        <v>46</v>
      </c>
      <c r="B296" s="2" t="s">
        <v>135</v>
      </c>
      <c r="C296" s="2" t="s">
        <v>136</v>
      </c>
      <c r="D296" s="2" t="s">
        <v>32</v>
      </c>
      <c r="E296" s="2" t="s">
        <v>27</v>
      </c>
      <c r="F296" s="77">
        <f>'Final Output'!K45</f>
        <v>0</v>
      </c>
    </row>
    <row r="297" spans="1:6" x14ac:dyDescent="0.45">
      <c r="A297" s="58" t="s">
        <v>46</v>
      </c>
      <c r="B297" s="2" t="s">
        <v>137</v>
      </c>
      <c r="C297" s="2" t="s">
        <v>138</v>
      </c>
      <c r="D297" s="2" t="s">
        <v>32</v>
      </c>
      <c r="E297" s="2" t="s">
        <v>27</v>
      </c>
      <c r="F297" s="77">
        <f>'Final Output'!K46</f>
        <v>0</v>
      </c>
    </row>
    <row r="298" spans="1:6" x14ac:dyDescent="0.45">
      <c r="A298" s="58" t="s">
        <v>47</v>
      </c>
      <c r="B298" s="14" t="s">
        <v>94</v>
      </c>
      <c r="C298" s="14" t="s">
        <v>95</v>
      </c>
      <c r="D298" s="14" t="s">
        <v>96</v>
      </c>
      <c r="E298" s="15" t="s">
        <v>27</v>
      </c>
      <c r="F298" s="75" t="str">
        <f ca="1">CONCATENATE("[…]", TEXT(NOW(),"dd/mm/yyy hh:mm:ss"))</f>
        <v>[…]12/12/2024 16:35:52</v>
      </c>
    </row>
    <row r="299" spans="1:6" x14ac:dyDescent="0.45">
      <c r="A299" s="58" t="s">
        <v>47</v>
      </c>
      <c r="B299" s="14" t="s">
        <v>97</v>
      </c>
      <c r="C299" s="14" t="s">
        <v>98</v>
      </c>
      <c r="D299" s="14" t="s">
        <v>96</v>
      </c>
      <c r="E299" s="15" t="s">
        <v>27</v>
      </c>
      <c r="F299" s="15" t="str">
        <f ca="1">MID(CELL("filename"),SEARCH("[",CELL("filename"))+1,SEARCH("]",CELL("filename"))-SEARCH("[",CELL("filename"))-1)</f>
        <v>PR24 FD OC11 ODI risk - Feeder Model (Discharge Permit Compliance).xlsx</v>
      </c>
    </row>
    <row r="300" spans="1:6" x14ac:dyDescent="0.45">
      <c r="A300" s="58" t="s">
        <v>47</v>
      </c>
      <c r="B300" s="14" t="s">
        <v>99</v>
      </c>
      <c r="C300" s="14" t="s">
        <v>100</v>
      </c>
      <c r="D300" s="14" t="s">
        <v>96</v>
      </c>
      <c r="E300" s="15" t="s">
        <v>27</v>
      </c>
      <c r="F300" s="15" t="str">
        <f>F_Inputs!$E$1</f>
        <v>Run on 12 Nov 2024 17:31</v>
      </c>
    </row>
    <row r="301" spans="1:6" x14ac:dyDescent="0.45">
      <c r="A301" s="58" t="s">
        <v>47</v>
      </c>
      <c r="B301" s="14" t="s">
        <v>101</v>
      </c>
      <c r="C301" s="14" t="s">
        <v>102</v>
      </c>
      <c r="D301" s="14" t="s">
        <v>103</v>
      </c>
      <c r="E301" s="15" t="s">
        <v>27</v>
      </c>
      <c r="F301" s="76" t="s">
        <v>104</v>
      </c>
    </row>
    <row r="302" spans="1:6" x14ac:dyDescent="0.45">
      <c r="A302" s="58" t="s">
        <v>47</v>
      </c>
      <c r="B302" s="2" t="s">
        <v>105</v>
      </c>
      <c r="C302" s="2" t="s">
        <v>106</v>
      </c>
      <c r="D302" s="2" t="s">
        <v>32</v>
      </c>
      <c r="E302" s="2" t="s">
        <v>27</v>
      </c>
      <c r="F302" s="77">
        <f>'Final Output'!K30</f>
        <v>-7.8947368421052655E-2</v>
      </c>
    </row>
    <row r="303" spans="1:6" x14ac:dyDescent="0.45">
      <c r="A303" s="58" t="s">
        <v>47</v>
      </c>
      <c r="B303" s="2" t="s">
        <v>107</v>
      </c>
      <c r="C303" s="2" t="s">
        <v>108</v>
      </c>
      <c r="D303" s="2" t="s">
        <v>32</v>
      </c>
      <c r="E303" s="2" t="s">
        <v>27</v>
      </c>
      <c r="F303" s="77">
        <f>'Final Output'!K31</f>
        <v>-6.0526315789473692E-2</v>
      </c>
    </row>
    <row r="304" spans="1:6" x14ac:dyDescent="0.45">
      <c r="A304" s="58" t="s">
        <v>47</v>
      </c>
      <c r="B304" s="2" t="s">
        <v>109</v>
      </c>
      <c r="C304" s="2" t="s">
        <v>110</v>
      </c>
      <c r="D304" s="2" t="s">
        <v>32</v>
      </c>
      <c r="E304" s="2" t="s">
        <v>27</v>
      </c>
      <c r="F304" s="77">
        <f>'Final Output'!K32</f>
        <v>-3.8475499092558998E-2</v>
      </c>
    </row>
    <row r="305" spans="1:6" x14ac:dyDescent="0.45">
      <c r="A305" s="58" t="s">
        <v>47</v>
      </c>
      <c r="B305" s="2" t="s">
        <v>111</v>
      </c>
      <c r="C305" s="2" t="s">
        <v>112</v>
      </c>
      <c r="D305" s="2" t="s">
        <v>32</v>
      </c>
      <c r="E305" s="2" t="s">
        <v>27</v>
      </c>
      <c r="F305" s="77">
        <f>'Final Output'!K33</f>
        <v>-3.2258064516129004E-2</v>
      </c>
    </row>
    <row r="306" spans="1:6" x14ac:dyDescent="0.45">
      <c r="A306" s="58" t="s">
        <v>47</v>
      </c>
      <c r="B306" s="2" t="s">
        <v>113</v>
      </c>
      <c r="C306" s="2" t="s">
        <v>114</v>
      </c>
      <c r="D306" s="2" t="s">
        <v>32</v>
      </c>
      <c r="E306" s="2" t="s">
        <v>27</v>
      </c>
      <c r="F306" s="77">
        <f>'Final Output'!K34</f>
        <v>-2.4310776942355925E-2</v>
      </c>
    </row>
    <row r="307" spans="1:6" x14ac:dyDescent="0.45">
      <c r="A307" s="58" t="s">
        <v>47</v>
      </c>
      <c r="B307" s="2" t="s">
        <v>115</v>
      </c>
      <c r="C307" s="2" t="s">
        <v>116</v>
      </c>
      <c r="D307" s="2" t="s">
        <v>32</v>
      </c>
      <c r="E307" s="2" t="s">
        <v>27</v>
      </c>
      <c r="F307" s="77">
        <f>'Final Output'!K35</f>
        <v>-5.2631578947368862E-3</v>
      </c>
    </row>
    <row r="308" spans="1:6" x14ac:dyDescent="0.45">
      <c r="A308" s="58" t="s">
        <v>47</v>
      </c>
      <c r="B308" s="2" t="s">
        <v>117</v>
      </c>
      <c r="C308" s="2" t="s">
        <v>118</v>
      </c>
      <c r="D308" s="2" t="s">
        <v>32</v>
      </c>
      <c r="E308" s="2" t="s">
        <v>27</v>
      </c>
      <c r="F308" s="77">
        <f>'Final Output'!K36</f>
        <v>0</v>
      </c>
    </row>
    <row r="309" spans="1:6" x14ac:dyDescent="0.45">
      <c r="A309" s="58" t="s">
        <v>47</v>
      </c>
      <c r="B309" s="2" t="s">
        <v>119</v>
      </c>
      <c r="C309" s="2" t="s">
        <v>120</v>
      </c>
      <c r="D309" s="2" t="s">
        <v>32</v>
      </c>
      <c r="E309" s="2" t="s">
        <v>27</v>
      </c>
      <c r="F309" s="77">
        <f>'Final Output'!K37</f>
        <v>0</v>
      </c>
    </row>
    <row r="310" spans="1:6" x14ac:dyDescent="0.45">
      <c r="A310" s="58" t="s">
        <v>47</v>
      </c>
      <c r="B310" s="2" t="s">
        <v>121</v>
      </c>
      <c r="C310" s="2" t="s">
        <v>122</v>
      </c>
      <c r="D310" s="2" t="s">
        <v>32</v>
      </c>
      <c r="E310" s="2" t="s">
        <v>27</v>
      </c>
      <c r="F310" s="77">
        <f>'Final Output'!K38</f>
        <v>0</v>
      </c>
    </row>
    <row r="311" spans="1:6" x14ac:dyDescent="0.45">
      <c r="A311" s="58" t="s">
        <v>47</v>
      </c>
      <c r="B311" s="2" t="s">
        <v>123</v>
      </c>
      <c r="C311" s="2" t="s">
        <v>124</v>
      </c>
      <c r="D311" s="2" t="s">
        <v>32</v>
      </c>
      <c r="E311" s="2" t="s">
        <v>27</v>
      </c>
      <c r="F311" s="77">
        <f>'Final Output'!K39</f>
        <v>0</v>
      </c>
    </row>
    <row r="312" spans="1:6" x14ac:dyDescent="0.45">
      <c r="A312" s="58" t="s">
        <v>47</v>
      </c>
      <c r="B312" s="2" t="s">
        <v>125</v>
      </c>
      <c r="C312" s="2" t="s">
        <v>126</v>
      </c>
      <c r="D312" s="2" t="s">
        <v>32</v>
      </c>
      <c r="E312" s="2" t="s">
        <v>27</v>
      </c>
      <c r="F312" s="77">
        <f>'Final Output'!K40</f>
        <v>0</v>
      </c>
    </row>
    <row r="313" spans="1:6" x14ac:dyDescent="0.45">
      <c r="A313" s="58" t="s">
        <v>47</v>
      </c>
      <c r="B313" s="2" t="s">
        <v>127</v>
      </c>
      <c r="C313" s="2" t="s">
        <v>128</v>
      </c>
      <c r="D313" s="2" t="s">
        <v>32</v>
      </c>
      <c r="E313" s="2" t="s">
        <v>27</v>
      </c>
      <c r="F313" s="77">
        <f>'Final Output'!K41</f>
        <v>0</v>
      </c>
    </row>
    <row r="314" spans="1:6" x14ac:dyDescent="0.45">
      <c r="A314" s="58" t="s">
        <v>47</v>
      </c>
      <c r="B314" s="2" t="s">
        <v>129</v>
      </c>
      <c r="C314" s="2" t="s">
        <v>130</v>
      </c>
      <c r="D314" s="2" t="s">
        <v>32</v>
      </c>
      <c r="E314" s="2" t="s">
        <v>27</v>
      </c>
      <c r="F314" s="77">
        <f>'Final Output'!K42</f>
        <v>0</v>
      </c>
    </row>
    <row r="315" spans="1:6" x14ac:dyDescent="0.45">
      <c r="A315" s="58" t="s">
        <v>47</v>
      </c>
      <c r="B315" s="2" t="s">
        <v>131</v>
      </c>
      <c r="C315" s="2" t="s">
        <v>132</v>
      </c>
      <c r="D315" s="2" t="s">
        <v>32</v>
      </c>
      <c r="E315" s="2" t="s">
        <v>27</v>
      </c>
      <c r="F315" s="77">
        <f>'Final Output'!K43</f>
        <v>0</v>
      </c>
    </row>
    <row r="316" spans="1:6" x14ac:dyDescent="0.45">
      <c r="A316" s="58" t="s">
        <v>47</v>
      </c>
      <c r="B316" s="2" t="s">
        <v>133</v>
      </c>
      <c r="C316" s="2" t="s">
        <v>134</v>
      </c>
      <c r="D316" s="2" t="s">
        <v>32</v>
      </c>
      <c r="E316" s="2" t="s">
        <v>27</v>
      </c>
      <c r="F316" s="77">
        <f>'Final Output'!K44</f>
        <v>0</v>
      </c>
    </row>
    <row r="317" spans="1:6" x14ac:dyDescent="0.45">
      <c r="A317" s="58" t="s">
        <v>47</v>
      </c>
      <c r="B317" s="2" t="s">
        <v>135</v>
      </c>
      <c r="C317" s="2" t="s">
        <v>136</v>
      </c>
      <c r="D317" s="2" t="s">
        <v>32</v>
      </c>
      <c r="E317" s="2" t="s">
        <v>27</v>
      </c>
      <c r="F317" s="77">
        <f>'Final Output'!K45</f>
        <v>0</v>
      </c>
    </row>
    <row r="318" spans="1:6" x14ac:dyDescent="0.45">
      <c r="A318" s="58" t="s">
        <v>47</v>
      </c>
      <c r="B318" s="2" t="s">
        <v>137</v>
      </c>
      <c r="C318" s="2" t="s">
        <v>138</v>
      </c>
      <c r="D318" s="2" t="s">
        <v>32</v>
      </c>
      <c r="E318" s="2" t="s">
        <v>27</v>
      </c>
      <c r="F318" s="77">
        <f>'Final Output'!K46</f>
        <v>0</v>
      </c>
    </row>
    <row r="319" spans="1:6" x14ac:dyDescent="0.45">
      <c r="A319" s="77" t="s">
        <v>48</v>
      </c>
      <c r="B319" s="14" t="s">
        <v>94</v>
      </c>
      <c r="C319" s="14" t="s">
        <v>95</v>
      </c>
      <c r="D319" s="14" t="s">
        <v>96</v>
      </c>
      <c r="E319" s="15" t="s">
        <v>27</v>
      </c>
      <c r="F319" s="75" t="str">
        <f ca="1">CONCATENATE("[…]", TEXT(NOW(),"dd/mm/yyy hh:mm:ss"))</f>
        <v>[…]12/12/2024 16:35:52</v>
      </c>
    </row>
    <row r="320" spans="1:6" x14ac:dyDescent="0.45">
      <c r="A320" s="77" t="s">
        <v>48</v>
      </c>
      <c r="B320" s="14" t="s">
        <v>97</v>
      </c>
      <c r="C320" s="14" t="s">
        <v>98</v>
      </c>
      <c r="D320" s="14" t="s">
        <v>96</v>
      </c>
      <c r="E320" s="15" t="s">
        <v>27</v>
      </c>
      <c r="F320" s="15" t="str">
        <f ca="1">MID(CELL("filename"),SEARCH("[",CELL("filename"))+1,SEARCH("]",CELL("filename"))-SEARCH("[",CELL("filename"))-1)</f>
        <v>PR24 FD OC11 ODI risk - Feeder Model (Discharge Permit Compliance).xlsx</v>
      </c>
    </row>
    <row r="321" spans="1:6" x14ac:dyDescent="0.45">
      <c r="A321" s="77" t="s">
        <v>48</v>
      </c>
      <c r="B321" s="14" t="s">
        <v>99</v>
      </c>
      <c r="C321" s="14" t="s">
        <v>100</v>
      </c>
      <c r="D321" s="14" t="s">
        <v>96</v>
      </c>
      <c r="E321" s="15" t="s">
        <v>27</v>
      </c>
      <c r="F321" s="15" t="str">
        <f>F_Inputs!$E$1</f>
        <v>Run on 12 Nov 2024 17:31</v>
      </c>
    </row>
    <row r="322" spans="1:6" x14ac:dyDescent="0.45">
      <c r="A322" s="77" t="s">
        <v>48</v>
      </c>
      <c r="B322" s="14" t="s">
        <v>101</v>
      </c>
      <c r="C322" s="14" t="s">
        <v>102</v>
      </c>
      <c r="D322" s="14" t="s">
        <v>103</v>
      </c>
      <c r="E322" s="15" t="s">
        <v>27</v>
      </c>
      <c r="F322" s="76" t="s">
        <v>104</v>
      </c>
    </row>
    <row r="323" spans="1:6" x14ac:dyDescent="0.45">
      <c r="A323" s="77" t="s">
        <v>48</v>
      </c>
      <c r="B323" s="2" t="s">
        <v>105</v>
      </c>
      <c r="C323" s="2" t="s">
        <v>106</v>
      </c>
      <c r="D323" s="2" t="s">
        <v>32</v>
      </c>
      <c r="E323" s="2" t="s">
        <v>27</v>
      </c>
      <c r="F323" s="77">
        <f>'Final Output'!K30</f>
        <v>-7.8947368421052655E-2</v>
      </c>
    </row>
    <row r="324" spans="1:6" x14ac:dyDescent="0.45">
      <c r="A324" s="77" t="s">
        <v>48</v>
      </c>
      <c r="B324" s="2" t="s">
        <v>107</v>
      </c>
      <c r="C324" s="2" t="s">
        <v>108</v>
      </c>
      <c r="D324" s="2" t="s">
        <v>32</v>
      </c>
      <c r="E324" s="2" t="s">
        <v>27</v>
      </c>
      <c r="F324" s="77">
        <f>'Final Output'!K31</f>
        <v>-6.0526315789473692E-2</v>
      </c>
    </row>
    <row r="325" spans="1:6" x14ac:dyDescent="0.45">
      <c r="A325" s="77" t="s">
        <v>48</v>
      </c>
      <c r="B325" s="2" t="s">
        <v>109</v>
      </c>
      <c r="C325" s="2" t="s">
        <v>110</v>
      </c>
      <c r="D325" s="2" t="s">
        <v>32</v>
      </c>
      <c r="E325" s="2" t="s">
        <v>27</v>
      </c>
      <c r="F325" s="77">
        <f>'Final Output'!K32</f>
        <v>-3.8475499092558998E-2</v>
      </c>
    </row>
    <row r="326" spans="1:6" x14ac:dyDescent="0.45">
      <c r="A326" s="77" t="s">
        <v>48</v>
      </c>
      <c r="B326" s="2" t="s">
        <v>111</v>
      </c>
      <c r="C326" s="2" t="s">
        <v>112</v>
      </c>
      <c r="D326" s="2" t="s">
        <v>32</v>
      </c>
      <c r="E326" s="2" t="s">
        <v>27</v>
      </c>
      <c r="F326" s="77">
        <f>'Final Output'!K33</f>
        <v>-3.2258064516129004E-2</v>
      </c>
    </row>
    <row r="327" spans="1:6" x14ac:dyDescent="0.45">
      <c r="A327" s="77" t="s">
        <v>48</v>
      </c>
      <c r="B327" s="2" t="s">
        <v>113</v>
      </c>
      <c r="C327" s="2" t="s">
        <v>114</v>
      </c>
      <c r="D327" s="2" t="s">
        <v>32</v>
      </c>
      <c r="E327" s="2" t="s">
        <v>27</v>
      </c>
      <c r="F327" s="77">
        <f>'Final Output'!K34</f>
        <v>-2.4310776942355925E-2</v>
      </c>
    </row>
    <row r="328" spans="1:6" x14ac:dyDescent="0.45">
      <c r="A328" s="77" t="s">
        <v>48</v>
      </c>
      <c r="B328" s="2" t="s">
        <v>115</v>
      </c>
      <c r="C328" s="2" t="s">
        <v>116</v>
      </c>
      <c r="D328" s="2" t="s">
        <v>32</v>
      </c>
      <c r="E328" s="2" t="s">
        <v>27</v>
      </c>
      <c r="F328" s="77">
        <f>'Final Output'!K35</f>
        <v>-5.2631578947368862E-3</v>
      </c>
    </row>
    <row r="329" spans="1:6" x14ac:dyDescent="0.45">
      <c r="A329" s="77" t="s">
        <v>48</v>
      </c>
      <c r="B329" s="2" t="s">
        <v>117</v>
      </c>
      <c r="C329" s="2" t="s">
        <v>118</v>
      </c>
      <c r="D329" s="2" t="s">
        <v>32</v>
      </c>
      <c r="E329" s="2" t="s">
        <v>27</v>
      </c>
      <c r="F329" s="77">
        <f>'Final Output'!K36</f>
        <v>0</v>
      </c>
    </row>
    <row r="330" spans="1:6" x14ac:dyDescent="0.45">
      <c r="A330" s="77" t="s">
        <v>48</v>
      </c>
      <c r="B330" s="2" t="s">
        <v>119</v>
      </c>
      <c r="C330" s="2" t="s">
        <v>120</v>
      </c>
      <c r="D330" s="2" t="s">
        <v>32</v>
      </c>
      <c r="E330" s="2" t="s">
        <v>27</v>
      </c>
      <c r="F330" s="77">
        <f>'Final Output'!K37</f>
        <v>0</v>
      </c>
    </row>
    <row r="331" spans="1:6" x14ac:dyDescent="0.45">
      <c r="A331" s="77" t="s">
        <v>48</v>
      </c>
      <c r="B331" s="2" t="s">
        <v>121</v>
      </c>
      <c r="C331" s="2" t="s">
        <v>122</v>
      </c>
      <c r="D331" s="2" t="s">
        <v>32</v>
      </c>
      <c r="E331" s="2" t="s">
        <v>27</v>
      </c>
      <c r="F331" s="77">
        <f>'Final Output'!K38</f>
        <v>0</v>
      </c>
    </row>
    <row r="332" spans="1:6" x14ac:dyDescent="0.45">
      <c r="A332" s="77" t="s">
        <v>48</v>
      </c>
      <c r="B332" s="2" t="s">
        <v>123</v>
      </c>
      <c r="C332" s="2" t="s">
        <v>124</v>
      </c>
      <c r="D332" s="2" t="s">
        <v>32</v>
      </c>
      <c r="E332" s="2" t="s">
        <v>27</v>
      </c>
      <c r="F332" s="77">
        <f>'Final Output'!K39</f>
        <v>0</v>
      </c>
    </row>
    <row r="333" spans="1:6" x14ac:dyDescent="0.45">
      <c r="A333" s="77" t="s">
        <v>48</v>
      </c>
      <c r="B333" s="2" t="s">
        <v>125</v>
      </c>
      <c r="C333" s="2" t="s">
        <v>126</v>
      </c>
      <c r="D333" s="2" t="s">
        <v>32</v>
      </c>
      <c r="E333" s="2" t="s">
        <v>27</v>
      </c>
      <c r="F333" s="77">
        <f>'Final Output'!K40</f>
        <v>0</v>
      </c>
    </row>
    <row r="334" spans="1:6" x14ac:dyDescent="0.45">
      <c r="A334" s="77" t="s">
        <v>48</v>
      </c>
      <c r="B334" s="2" t="s">
        <v>127</v>
      </c>
      <c r="C334" s="2" t="s">
        <v>128</v>
      </c>
      <c r="D334" s="2" t="s">
        <v>32</v>
      </c>
      <c r="E334" s="2" t="s">
        <v>27</v>
      </c>
      <c r="F334" s="77">
        <f>'Final Output'!K41</f>
        <v>0</v>
      </c>
    </row>
    <row r="335" spans="1:6" x14ac:dyDescent="0.45">
      <c r="A335" s="77" t="s">
        <v>48</v>
      </c>
      <c r="B335" s="2" t="s">
        <v>129</v>
      </c>
      <c r="C335" s="2" t="s">
        <v>130</v>
      </c>
      <c r="D335" s="2" t="s">
        <v>32</v>
      </c>
      <c r="E335" s="2" t="s">
        <v>27</v>
      </c>
      <c r="F335" s="77">
        <f>'Final Output'!K42</f>
        <v>0</v>
      </c>
    </row>
    <row r="336" spans="1:6" x14ac:dyDescent="0.45">
      <c r="A336" s="77" t="s">
        <v>48</v>
      </c>
      <c r="B336" s="2" t="s">
        <v>131</v>
      </c>
      <c r="C336" s="2" t="s">
        <v>132</v>
      </c>
      <c r="D336" s="2" t="s">
        <v>32</v>
      </c>
      <c r="E336" s="2" t="s">
        <v>27</v>
      </c>
      <c r="F336" s="77">
        <f>'Final Output'!K43</f>
        <v>0</v>
      </c>
    </row>
    <row r="337" spans="1:6" x14ac:dyDescent="0.45">
      <c r="A337" s="77" t="s">
        <v>48</v>
      </c>
      <c r="B337" s="2" t="s">
        <v>133</v>
      </c>
      <c r="C337" s="2" t="s">
        <v>134</v>
      </c>
      <c r="D337" s="2" t="s">
        <v>32</v>
      </c>
      <c r="E337" s="2" t="s">
        <v>27</v>
      </c>
      <c r="F337" s="77">
        <f>'Final Output'!K44</f>
        <v>0</v>
      </c>
    </row>
    <row r="338" spans="1:6" x14ac:dyDescent="0.45">
      <c r="A338" s="77" t="s">
        <v>48</v>
      </c>
      <c r="B338" s="2" t="s">
        <v>135</v>
      </c>
      <c r="C338" s="2" t="s">
        <v>136</v>
      </c>
      <c r="D338" s="2" t="s">
        <v>32</v>
      </c>
      <c r="E338" s="2" t="s">
        <v>27</v>
      </c>
      <c r="F338" s="77">
        <f>'Final Output'!K45</f>
        <v>0</v>
      </c>
    </row>
    <row r="339" spans="1:6" x14ac:dyDescent="0.45">
      <c r="A339" s="77" t="s">
        <v>48</v>
      </c>
      <c r="B339" s="2" t="s">
        <v>137</v>
      </c>
      <c r="C339" s="2" t="s">
        <v>138</v>
      </c>
      <c r="D339" s="2" t="s">
        <v>32</v>
      </c>
      <c r="E339" s="2" t="s">
        <v>27</v>
      </c>
      <c r="F339" s="77">
        <f>'Final Output'!K46</f>
        <v>0</v>
      </c>
    </row>
    <row r="340" spans="1:6" x14ac:dyDescent="0.45">
      <c r="A340" s="77" t="s">
        <v>49</v>
      </c>
      <c r="B340" s="14" t="s">
        <v>94</v>
      </c>
      <c r="C340" s="14" t="s">
        <v>95</v>
      </c>
      <c r="D340" s="14" t="s">
        <v>96</v>
      </c>
      <c r="E340" s="15" t="s">
        <v>27</v>
      </c>
      <c r="F340" s="75" t="str">
        <f ca="1">CONCATENATE("[…]", TEXT(NOW(),"dd/mm/yyy hh:mm:ss"))</f>
        <v>[…]12/12/2024 16:35:52</v>
      </c>
    </row>
    <row r="341" spans="1:6" x14ac:dyDescent="0.45">
      <c r="A341" s="77" t="s">
        <v>49</v>
      </c>
      <c r="B341" s="14" t="s">
        <v>97</v>
      </c>
      <c r="C341" s="14" t="s">
        <v>98</v>
      </c>
      <c r="D341" s="14" t="s">
        <v>96</v>
      </c>
      <c r="E341" s="15" t="s">
        <v>27</v>
      </c>
      <c r="F341" s="15" t="str">
        <f ca="1">MID(CELL("filename"),SEARCH("[",CELL("filename"))+1,SEARCH("]",CELL("filename"))-SEARCH("[",CELL("filename"))-1)</f>
        <v>PR24 FD OC11 ODI risk - Feeder Model (Discharge Permit Compliance).xlsx</v>
      </c>
    </row>
    <row r="342" spans="1:6" x14ac:dyDescent="0.45">
      <c r="A342" s="77" t="s">
        <v>49</v>
      </c>
      <c r="B342" s="14" t="s">
        <v>99</v>
      </c>
      <c r="C342" s="14" t="s">
        <v>100</v>
      </c>
      <c r="D342" s="14" t="s">
        <v>96</v>
      </c>
      <c r="E342" s="15" t="s">
        <v>27</v>
      </c>
      <c r="F342" s="15" t="str">
        <f>F_Inputs!$E$1</f>
        <v>Run on 12 Nov 2024 17:31</v>
      </c>
    </row>
    <row r="343" spans="1:6" x14ac:dyDescent="0.45">
      <c r="A343" s="77" t="s">
        <v>49</v>
      </c>
      <c r="B343" s="14" t="s">
        <v>101</v>
      </c>
      <c r="C343" s="14" t="s">
        <v>102</v>
      </c>
      <c r="D343" s="14" t="s">
        <v>103</v>
      </c>
      <c r="E343" s="15" t="s">
        <v>27</v>
      </c>
      <c r="F343" s="76" t="s">
        <v>104</v>
      </c>
    </row>
    <row r="344" spans="1:6" x14ac:dyDescent="0.45">
      <c r="A344" s="77" t="s">
        <v>49</v>
      </c>
      <c r="B344" s="2" t="s">
        <v>105</v>
      </c>
      <c r="C344" s="2" t="s">
        <v>106</v>
      </c>
      <c r="D344" s="2" t="s">
        <v>32</v>
      </c>
      <c r="E344" s="2" t="s">
        <v>27</v>
      </c>
      <c r="F344" s="77">
        <f>'Final Output'!K30</f>
        <v>-7.8947368421052655E-2</v>
      </c>
    </row>
    <row r="345" spans="1:6" x14ac:dyDescent="0.45">
      <c r="A345" s="77" t="s">
        <v>49</v>
      </c>
      <c r="B345" s="2" t="s">
        <v>107</v>
      </c>
      <c r="C345" s="2" t="s">
        <v>108</v>
      </c>
      <c r="D345" s="2" t="s">
        <v>32</v>
      </c>
      <c r="E345" s="2" t="s">
        <v>27</v>
      </c>
      <c r="F345" s="77">
        <f>'Final Output'!K31</f>
        <v>-6.0526315789473692E-2</v>
      </c>
    </row>
    <row r="346" spans="1:6" x14ac:dyDescent="0.45">
      <c r="A346" s="77" t="s">
        <v>49</v>
      </c>
      <c r="B346" s="2" t="s">
        <v>109</v>
      </c>
      <c r="C346" s="2" t="s">
        <v>110</v>
      </c>
      <c r="D346" s="2" t="s">
        <v>32</v>
      </c>
      <c r="E346" s="2" t="s">
        <v>27</v>
      </c>
      <c r="F346" s="77">
        <f>'Final Output'!K32</f>
        <v>-3.8475499092558998E-2</v>
      </c>
    </row>
    <row r="347" spans="1:6" x14ac:dyDescent="0.45">
      <c r="A347" s="77" t="s">
        <v>49</v>
      </c>
      <c r="B347" s="2" t="s">
        <v>111</v>
      </c>
      <c r="C347" s="2" t="s">
        <v>112</v>
      </c>
      <c r="D347" s="2" t="s">
        <v>32</v>
      </c>
      <c r="E347" s="2" t="s">
        <v>27</v>
      </c>
      <c r="F347" s="77">
        <f>'Final Output'!K33</f>
        <v>-3.2258064516129004E-2</v>
      </c>
    </row>
    <row r="348" spans="1:6" x14ac:dyDescent="0.45">
      <c r="A348" s="77" t="s">
        <v>49</v>
      </c>
      <c r="B348" s="2" t="s">
        <v>113</v>
      </c>
      <c r="C348" s="2" t="s">
        <v>114</v>
      </c>
      <c r="D348" s="2" t="s">
        <v>32</v>
      </c>
      <c r="E348" s="2" t="s">
        <v>27</v>
      </c>
      <c r="F348" s="77">
        <f>'Final Output'!K34</f>
        <v>-2.4310776942355925E-2</v>
      </c>
    </row>
    <row r="349" spans="1:6" x14ac:dyDescent="0.45">
      <c r="A349" s="77" t="s">
        <v>49</v>
      </c>
      <c r="B349" s="2" t="s">
        <v>115</v>
      </c>
      <c r="C349" s="2" t="s">
        <v>116</v>
      </c>
      <c r="D349" s="2" t="s">
        <v>32</v>
      </c>
      <c r="E349" s="2" t="s">
        <v>27</v>
      </c>
      <c r="F349" s="77">
        <f>'Final Output'!K35</f>
        <v>-5.2631578947368862E-3</v>
      </c>
    </row>
    <row r="350" spans="1:6" x14ac:dyDescent="0.45">
      <c r="A350" s="77" t="s">
        <v>49</v>
      </c>
      <c r="B350" s="2" t="s">
        <v>117</v>
      </c>
      <c r="C350" s="2" t="s">
        <v>118</v>
      </c>
      <c r="D350" s="2" t="s">
        <v>32</v>
      </c>
      <c r="E350" s="2" t="s">
        <v>27</v>
      </c>
      <c r="F350" s="77">
        <f>'Final Output'!K36</f>
        <v>0</v>
      </c>
    </row>
    <row r="351" spans="1:6" x14ac:dyDescent="0.45">
      <c r="A351" s="77" t="s">
        <v>49</v>
      </c>
      <c r="B351" s="2" t="s">
        <v>119</v>
      </c>
      <c r="C351" s="2" t="s">
        <v>120</v>
      </c>
      <c r="D351" s="2" t="s">
        <v>32</v>
      </c>
      <c r="E351" s="2" t="s">
        <v>27</v>
      </c>
      <c r="F351" s="77">
        <f>'Final Output'!K37</f>
        <v>0</v>
      </c>
    </row>
    <row r="352" spans="1:6" x14ac:dyDescent="0.45">
      <c r="A352" s="77" t="s">
        <v>49</v>
      </c>
      <c r="B352" s="2" t="s">
        <v>121</v>
      </c>
      <c r="C352" s="2" t="s">
        <v>122</v>
      </c>
      <c r="D352" s="2" t="s">
        <v>32</v>
      </c>
      <c r="E352" s="2" t="s">
        <v>27</v>
      </c>
      <c r="F352" s="77">
        <f>'Final Output'!K38</f>
        <v>0</v>
      </c>
    </row>
    <row r="353" spans="1:12" x14ac:dyDescent="0.45">
      <c r="A353" s="77" t="s">
        <v>49</v>
      </c>
      <c r="B353" s="2" t="s">
        <v>123</v>
      </c>
      <c r="C353" s="2" t="s">
        <v>124</v>
      </c>
      <c r="D353" s="2" t="s">
        <v>32</v>
      </c>
      <c r="E353" s="2" t="s">
        <v>27</v>
      </c>
      <c r="F353" s="77">
        <f>'Final Output'!K39</f>
        <v>0</v>
      </c>
    </row>
    <row r="354" spans="1:12" x14ac:dyDescent="0.45">
      <c r="A354" s="77" t="s">
        <v>49</v>
      </c>
      <c r="B354" s="2" t="s">
        <v>125</v>
      </c>
      <c r="C354" s="2" t="s">
        <v>126</v>
      </c>
      <c r="D354" s="2" t="s">
        <v>32</v>
      </c>
      <c r="E354" s="2" t="s">
        <v>27</v>
      </c>
      <c r="F354" s="77">
        <f>'Final Output'!K40</f>
        <v>0</v>
      </c>
    </row>
    <row r="355" spans="1:12" x14ac:dyDescent="0.45">
      <c r="A355" s="77" t="s">
        <v>49</v>
      </c>
      <c r="B355" s="2" t="s">
        <v>127</v>
      </c>
      <c r="C355" s="2" t="s">
        <v>128</v>
      </c>
      <c r="D355" s="2" t="s">
        <v>32</v>
      </c>
      <c r="E355" s="2" t="s">
        <v>27</v>
      </c>
      <c r="F355" s="77">
        <f>'Final Output'!K41</f>
        <v>0</v>
      </c>
    </row>
    <row r="356" spans="1:12" x14ac:dyDescent="0.45">
      <c r="A356" s="77" t="s">
        <v>49</v>
      </c>
      <c r="B356" s="2" t="s">
        <v>129</v>
      </c>
      <c r="C356" s="2" t="s">
        <v>130</v>
      </c>
      <c r="D356" s="2" t="s">
        <v>32</v>
      </c>
      <c r="E356" s="2" t="s">
        <v>27</v>
      </c>
      <c r="F356" s="77">
        <f>'Final Output'!K42</f>
        <v>0</v>
      </c>
    </row>
    <row r="357" spans="1:12" x14ac:dyDescent="0.45">
      <c r="A357" s="77" t="s">
        <v>49</v>
      </c>
      <c r="B357" s="2" t="s">
        <v>131</v>
      </c>
      <c r="C357" s="2" t="s">
        <v>132</v>
      </c>
      <c r="D357" s="2" t="s">
        <v>32</v>
      </c>
      <c r="E357" s="2" t="s">
        <v>27</v>
      </c>
      <c r="F357" s="77">
        <f>'Final Output'!K43</f>
        <v>0</v>
      </c>
    </row>
    <row r="358" spans="1:12" x14ac:dyDescent="0.45">
      <c r="A358" s="77" t="s">
        <v>49</v>
      </c>
      <c r="B358" s="2" t="s">
        <v>133</v>
      </c>
      <c r="C358" s="2" t="s">
        <v>134</v>
      </c>
      <c r="D358" s="2" t="s">
        <v>32</v>
      </c>
      <c r="E358" s="2" t="s">
        <v>27</v>
      </c>
      <c r="F358" s="77">
        <f>'Final Output'!K44</f>
        <v>0</v>
      </c>
    </row>
    <row r="359" spans="1:12" x14ac:dyDescent="0.45">
      <c r="A359" s="77" t="s">
        <v>49</v>
      </c>
      <c r="B359" s="2" t="s">
        <v>135</v>
      </c>
      <c r="C359" s="2" t="s">
        <v>136</v>
      </c>
      <c r="D359" s="2" t="s">
        <v>32</v>
      </c>
      <c r="E359" s="2" t="s">
        <v>27</v>
      </c>
      <c r="F359" s="77">
        <f>'Final Output'!K45</f>
        <v>0</v>
      </c>
    </row>
    <row r="360" spans="1:12" x14ac:dyDescent="0.45">
      <c r="A360" s="77" t="s">
        <v>49</v>
      </c>
      <c r="B360" s="2" t="s">
        <v>137</v>
      </c>
      <c r="C360" s="2" t="s">
        <v>138</v>
      </c>
      <c r="D360" s="2" t="s">
        <v>32</v>
      </c>
      <c r="E360" s="2" t="s">
        <v>27</v>
      </c>
      <c r="F360" s="77">
        <f>'Final Output'!K46</f>
        <v>0</v>
      </c>
    </row>
    <row r="361" spans="1:12" s="67" customFormat="1" x14ac:dyDescent="0.45">
      <c r="A361" s="66" t="s">
        <v>61</v>
      </c>
      <c r="B361" s="66"/>
      <c r="C361" s="66"/>
      <c r="D361" s="66"/>
      <c r="E361" s="66"/>
      <c r="F361" s="66"/>
      <c r="G361" s="66"/>
      <c r="H361" s="68"/>
      <c r="I361" s="68"/>
      <c r="J361" s="66"/>
      <c r="K361" s="66"/>
      <c r="L361" s="6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0F36128E44943B1120CACFDAE9F7B" ma:contentTypeVersion="18" ma:contentTypeDescription="Create a new document." ma:contentTypeScope="" ma:versionID="dda5e66041eeea5ffa9dd507a65eac01">
  <xsd:schema xmlns:xsd="http://www.w3.org/2001/XMLSchema" xmlns:xs="http://www.w3.org/2001/XMLSchema" xmlns:p="http://schemas.microsoft.com/office/2006/metadata/properties" xmlns:ns2="fadac89a-56fa-4a3d-a427-8ae1dcb95347" xmlns:ns3="71c95305-930c-4d63-9794-2d644343057c" targetNamespace="http://schemas.microsoft.com/office/2006/metadata/properties" ma:root="true" ma:fieldsID="07887bece720a3db8d95f18e05c1dc4e" ns2:_="" ns3:_="">
    <xsd:import namespace="fadac89a-56fa-4a3d-a427-8ae1dcb95347"/>
    <xsd:import namespace="71c95305-930c-4d63-9794-2d6443430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re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ac89a-56fa-4a3d-a427-8ae1dcb953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f" ma:index="12" nillable="true" ma:displayName="ref" ma:format="Dropdown" ma:internalName="ref">
      <xsd:simpleType>
        <xsd:restriction base="dms:Text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0e5cfab-624c-4e44-8ff4-7cd112c8ab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95305-930c-4d63-9794-2d644343057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fcfc185-b934-4070-b809-bad603feb5c3}" ma:internalName="TaxCatchAll" ma:showField="CatchAllData" ma:web="71c95305-930c-4d63-9794-2d6443430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dac89a-56fa-4a3d-a427-8ae1dcb95347">
      <Terms xmlns="http://schemas.microsoft.com/office/infopath/2007/PartnerControls"/>
    </lcf76f155ced4ddcb4097134ff3c332f>
    <ref xmlns="fadac89a-56fa-4a3d-a427-8ae1dcb95347" xsi:nil="true"/>
    <TaxCatchAll xmlns="71c95305-930c-4d63-9794-2d644343057c" xsi:nil="true"/>
  </documentManagement>
</p:properties>
</file>

<file path=customXml/itemProps1.xml><?xml version="1.0" encoding="utf-8"?>
<ds:datastoreItem xmlns:ds="http://schemas.openxmlformats.org/officeDocument/2006/customXml" ds:itemID="{C38F4CEA-E659-4B1F-A6C7-6F18C4065136}"/>
</file>

<file path=customXml/itemProps2.xml><?xml version="1.0" encoding="utf-8"?>
<ds:datastoreItem xmlns:ds="http://schemas.openxmlformats.org/officeDocument/2006/customXml" ds:itemID="{C70B829F-7C4D-4066-B5B3-17E499FFB5FF}"/>
</file>

<file path=customXml/itemProps3.xml><?xml version="1.0" encoding="utf-8"?>
<ds:datastoreItem xmlns:ds="http://schemas.openxmlformats.org/officeDocument/2006/customXml" ds:itemID="{92E8684D-F21E-4262-83D1-14C42A9CFE4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Conceptual Model</vt:lpstr>
      <vt:lpstr>F_Inputs</vt:lpstr>
      <vt:lpstr>Inputs_All</vt:lpstr>
      <vt:lpstr>Difference to PCL</vt:lpstr>
      <vt:lpstr>Percentiles</vt:lpstr>
      <vt:lpstr>Final Output</vt:lpstr>
      <vt:lpstr>F_Outputs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2024-12-12T09:23:27Z</dcterms:created>
  <dcterms:modified xsi:type="dcterms:W3CDTF">2024-12-12T16:35:59Z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0x0101004010F36128E44943B1120CACFDAE9F7B</vt:lpwstr>
  </property>
</Properties>
</file>