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filterPrivacy="1" codeName="ThisWorkbook" defaultThemeVersion="166925"/>
  <xr:revisionPtr revIDLastSave="77" documentId="8_{3B756817-C777-40AC-9177-67E75A8CCEEE}" xr6:coauthVersionLast="47" xr6:coauthVersionMax="47" xr10:uidLastSave="{8B4D08A2-DD4B-41FF-A1B5-CEC0AAFB6EA9}"/>
  <workbookProtection lockStructure="1"/>
  <bookViews>
    <workbookView xWindow="-98" yWindow="-98" windowWidth="21795" windowHeight="13875" tabRatio="846" xr2:uid="{658F2685-4DA9-4E8C-B004-273E83FB23AA}"/>
  </bookViews>
  <sheets>
    <sheet name="Cover" sheetId="55" r:id="rId1"/>
    <sheet name="Conceptual Model" sheetId="50" r:id="rId2"/>
    <sheet name="F_Inputs" sheetId="53" r:id="rId3"/>
    <sheet name="PCC.Inputs" sheetId="49" r:id="rId4"/>
    <sheet name="NHH.Inputs" sheetId="48" r:id="rId5"/>
    <sheet name="NHH.Performance" sheetId="24" r:id="rId6"/>
    <sheet name="NHH.WRMP" sheetId="5" r:id="rId7"/>
    <sheet name="NHH.P.Range" sheetId="13" r:id="rId8"/>
    <sheet name="NHH.Percentiles" sheetId="15" r:id="rId9"/>
    <sheet name="PCC.Performance" sheetId="28" r:id="rId10"/>
    <sheet name="PCC.PCL" sheetId="29" r:id="rId11"/>
    <sheet name="PCC.P.Range" sheetId="30" r:id="rId12"/>
    <sheet name="PCC.Percentiles" sheetId="31" r:id="rId13"/>
    <sheet name="Final Output" sheetId="2" r:id="rId14"/>
    <sheet name="F_Outputs" sheetId="9" r:id="rId15"/>
  </sheets>
  <definedNames>
    <definedName name="____net1" localSheetId="0" hidden="1">{"NET",#N/A,FALSE,"401C11"}</definedName>
    <definedName name="__123Graph_A" localSheetId="0" hidden="1">#REF!</definedName>
    <definedName name="__123Graph_B" localSheetId="0" hidden="1">#REF!</definedName>
    <definedName name="__123Graph_C" localSheetId="0" hidden="1">#REF!</definedName>
    <definedName name="__123Graph_X" localSheetId="0" hidden="1">#REF!</definedName>
    <definedName name="__net1" localSheetId="0" hidden="1">{"NET",#N/A,FALSE,"401C11"}</definedName>
    <definedName name="_1_0__123Grap" localSheetId="0" hidden="1">#REF!</definedName>
    <definedName name="_1_123Grap" localSheetId="0" hidden="1">#REF!</definedName>
    <definedName name="_123Graph_F" localSheetId="0" hidden="1">#REF!</definedName>
    <definedName name="_2_0__123Grap" localSheetId="0" hidden="1">#REF!</definedName>
    <definedName name="_2_123Grap" localSheetId="0" hidden="1">#REF!</definedName>
    <definedName name="_3_0_S" localSheetId="0" hidden="1">#REF!</definedName>
    <definedName name="_3_123Grap" localSheetId="0" hidden="1">#REF!</definedName>
    <definedName name="_34_123Grap" localSheetId="0" hidden="1">#REF!</definedName>
    <definedName name="_42S" localSheetId="0" hidden="1">#REF!</definedName>
    <definedName name="_4S" localSheetId="0" hidden="1">#REF!</definedName>
    <definedName name="_5_0__123Grap" localSheetId="0" hidden="1">#REF!</definedName>
    <definedName name="_6_0_S" localSheetId="0" hidden="1">#REF!</definedName>
    <definedName name="_6_123Grap" localSheetId="0" hidden="1">#REF!</definedName>
    <definedName name="_8_123Grap" localSheetId="0" hidden="1">#REF!</definedName>
    <definedName name="_8S" localSheetId="0" hidden="1">#REF!</definedName>
    <definedName name="_AtRisk_SimSetting_AutomaticallyGenerateReports">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LiveUpdatePeriod">-1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sCount">0</definedName>
    <definedName name="_AtRisk_SimSetting_ReportOptionDataMode">1</definedName>
    <definedName name="_AtRisk_SimSetting_ReportOptionReportMultiSimType">1</definedName>
    <definedName name="_AtRisk_SimSetting_ReportOptionReportPlacement">1</definedName>
    <definedName name="_AtRisk_SimSetting_ReportOptionReportSelection">257</definedName>
    <definedName name="_AtRisk_SimSetting_ReportOptionReportsFileType">1</definedName>
    <definedName name="_AtRisk_SimSetting_ReportOptionSelectiveQR">FALSE</definedName>
    <definedName name="_AtRisk_SimSetting_ReportsList">257</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localSheetId="0">0</definedName>
    <definedName name="_AtRisk_SimSetting_StdRecalcWithoutRiskStatic" hidden="1">1</definedName>
    <definedName name="_AtRisk_SimSetting_StdRecalcWithoutRiskStaticPercentile" hidden="1">0.5</definedName>
    <definedName name="_Dist_Values" hidden="1">#REF!</definedName>
    <definedName name="_Fill" localSheetId="0" hidden="1">#REF!</definedName>
    <definedName name="_xlnm._FilterDatabase" localSheetId="14" hidden="1">F_Outputs!$A$2:$F$649</definedName>
    <definedName name="_Key1" localSheetId="0" hidden="1">#REF!</definedName>
    <definedName name="_Key2" localSheetId="0" hidden="1">#REF!</definedName>
    <definedName name="_net1" localSheetId="0" hidden="1">{"NET",#N/A,FALSE,"401C11"}</definedName>
    <definedName name="_Order1">255</definedName>
    <definedName name="_Order2">255</definedName>
    <definedName name="_Sort" localSheetId="0" hidden="1">#REF!</definedName>
    <definedName name="a" localSheetId="0" hidden="1">{"CHARGE",#N/A,FALSE,"401C11"}</definedName>
    <definedName name="aa" localSheetId="0" hidden="1">{"CHARGE",#N/A,FALSE,"401C11"}</definedName>
    <definedName name="aaa" localSheetId="0" hidden="1">{"CHARGE",#N/A,FALSE,"401C11"}</definedName>
    <definedName name="aaaa" localSheetId="0" hidden="1">{"CHARGE",#N/A,FALSE,"401C11"}</definedName>
    <definedName name="abc" localSheetId="0" hidden="1">{"NET",#N/A,FALSE,"401C11"}</definedName>
    <definedName name="adbr" localSheetId="0" hidden="1">{"CHARGE",#N/A,FALSE,"401C11"}</definedName>
    <definedName name="b" localSheetId="0" hidden="1">{"CHARGE",#N/A,FALSE,"401C11"}</definedName>
    <definedName name="BMGHIndex" hidden="1">"O"</definedName>
    <definedName name="change1" localSheetId="0" hidden="1">{"CHARGE",#N/A,FALSE,"401C11"}</definedName>
    <definedName name="charge" localSheetId="0" hidden="1">{"CHARGE",#N/A,FALSE,"401C11"}</definedName>
    <definedName name="da" localSheetId="0" hidden="1">#REF!</definedName>
    <definedName name="dog" localSheetId="0" hidden="1">{"NET",#N/A,FALSE,"401C11"}</definedName>
    <definedName name="EV__LASTREFTIME__" hidden="1">40339.4799074074</definedName>
    <definedName name="Expired" hidden="1">FALSE</definedName>
    <definedName name="F">{"bal",#N/A,FALSE,"working papers";"income",#N/A,FALSE,"working papers"}</definedName>
    <definedName name="fdraf">{"bal",#N/A,FALSE,"working papers";"income",#N/A,FALSE,"working papers"}</definedName>
    <definedName name="Fdraft">{"bal",#N/A,FALSE,"working papers";"income",#N/A,FALSE,"working papers"}</definedName>
    <definedName name="Foutput" localSheetId="0" hidden="1">#REF!</definedName>
    <definedName name="fsdfffd" localSheetId="0" hidden="1">#REF!</definedName>
    <definedName name="fsdfsd" localSheetId="0" hidden="1">#REF!</definedName>
    <definedName name="fsfds" localSheetId="0" hidden="1">#REF!</definedName>
    <definedName name="fsfsd" localSheetId="0" hidden="1">#REF!</definedName>
    <definedName name="gfff" localSheetId="0" hidden="1">{"CHARGE",#N/A,FALSE,"401C11"}</definedName>
    <definedName name="gross" localSheetId="0" hidden="1">{"GROSS",#N/A,FALSE,"401C11"}</definedName>
    <definedName name="gross1" localSheetId="0" hidden="1">{"GROSS",#N/A,FALSE,"401C11"}</definedName>
    <definedName name="hasdfjklhklj" localSheetId="0" hidden="1">{"NET",#N/A,FALSE,"401C11"}</definedName>
    <definedName name="help" localSheetId="0" hidden="1">{"CHARGE",#N/A,FALSE,"401C11"}</definedName>
    <definedName name="hghghhj" localSheetId="0" hidden="1">{"CHARGE",#N/A,FALSE,"401C11"}</definedName>
    <definedName name="HTML_CodePage" hidden="1">1252</definedName>
    <definedName name="HTML_Control" localSheetId="0"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Q_CH">110000</definedName>
    <definedName name="IQ_CQ">5000</definedName>
    <definedName name="IQ_CY">10000</definedName>
    <definedName name="IQ_DAILY">500000</definedName>
    <definedName name="IQ_DNTM">700000</definedName>
    <definedName name="IQ_EXPENSE_CODE_">80019595006</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41366.3748958333</definedName>
    <definedName name="IQ_NTM">6000</definedName>
    <definedName name="IQ_QTD">750000</definedName>
    <definedName name="IQ_TODAY">0</definedName>
    <definedName name="IQ_WEEK">50000</definedName>
    <definedName name="IQ_YTD">3000</definedName>
    <definedName name="IQ_YTDMONTH">130000</definedName>
    <definedName name="JFELL" localSheetId="0" hidden="1">#REF!</definedName>
    <definedName name="new" localSheetId="0" hidden="1">{"bal",#N/A,FALSE,"working papers";"income",#N/A,FALSE,"working papers"}</definedName>
    <definedName name="OISIII" localSheetId="0" hidden="1">#REF!</definedName>
    <definedName name="qfx" localSheetId="0" hidden="1">{"NET",#N/A,FALSE,"401C11"}</definedName>
    <definedName name="qwefqefa" localSheetId="0" hidden="1">#REF!</definedName>
    <definedName name="real" localSheetId="0"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localSheetId="0">5</definedName>
    <definedName name="RiskHasSettings" hidden="1">8</definedName>
    <definedName name="RiskMinimizeOnStart" hidden="1">FALSE</definedName>
    <definedName name="RiskMonitorConvergence" hidden="1">FALSE</definedName>
    <definedName name="RiskMultipleCPUSupportEnabled" localSheetId="0">TRUE</definedName>
    <definedName name="RiskMultipleCPUSupportEnabled" hidden="1">FALSE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localSheetId="0">TRUE</definedName>
    <definedName name="RiskUseMultipleCPUs" hidden="1">FALSE</definedName>
    <definedName name="rytry" localSheetId="0" hidden="1">{"NET",#N/A,FALSE,"401C11"}</definedName>
    <definedName name="SAPBEXrevision">1</definedName>
    <definedName name="SAPBEXsysID">"BWB"</definedName>
    <definedName name="SAPBEXwbID">"49ZLUKBQR0WG29D9LLI3IBIIT"</definedName>
    <definedName name="sort" localSheetId="0" hidden="1">#REF!</definedName>
    <definedName name="Table3.4" localSheetId="0" hidden="1">{"CHARGE",#N/A,FALSE,"401C11"}</definedName>
    <definedName name="Test23" localSheetId="0" hidden="1">{"NET",#N/A,FALSE,"401C11"}</definedName>
    <definedName name="trdhtr" localSheetId="0" hidden="1">#REF!</definedName>
    <definedName name="wert" localSheetId="0" hidden="1">{"GROSS",#N/A,FALSE,"401C11"}</definedName>
    <definedName name="wombat" localSheetId="0" hidden="1">#REF!</definedName>
    <definedName name="wotsthis" localSheetId="0" hidden="1">{"P&amp;L phased",#N/A,FALSE,"P and L";"Interest phased",#N/A,FALSE,"Interest";"Cshf phased",#N/A,FALSE,"Cashflow";"BSheet phased",#N/A,FALSE,"B Sheet";"Capex phased",#N/A,FALSE,"Capex"}</definedName>
    <definedName name="wrn.CHARGE." localSheetId="0" hidden="1">{"CHARGE",#N/A,FALSE,"401C11"}</definedName>
    <definedName name="wrn.GROSS." localSheetId="0" hidden="1">{"GROSS",#N/A,FALSE,"401C11"}</definedName>
    <definedName name="wrn.NET." localSheetId="0" hidden="1">{"NET",#N/A,FALSE,"401C11"}</definedName>
    <definedName name="wrn.papersdraft">{"bal",#N/A,FALSE,"working papers";"income",#N/A,FALSE,"working papers"}</definedName>
    <definedName name="wrn.Print._.5._.and._.12." localSheetId="0"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Phased." localSheetId="0" hidden="1">{"P&amp;L phased",#N/A,FALSE,"P and L";"Interest phased",#N/A,FALSE,"Interest";"Cshf phased",#N/A,FALSE,"Cashflow";"BSheet phased",#N/A,FALSE,"B Sheet";"Capex phased",#N/A,FALSE,"Capex"}</definedName>
    <definedName name="wrn.wpapers.">{"bal",#N/A,FALSE,"working papers";"income",#N/A,FALSE,"working papers"}</definedName>
    <definedName name="xxx" localSheetId="0" hidden="1">{"CHARGE",#N/A,FALSE,"401C11"}</definedName>
    <definedName name="yyy" localSheetId="0" hidden="1">{"GROSS",#N/A,FALSE,"401C11"}</definedName>
    <definedName name="zzz" localSheetId="0" hidden="1">{"NET",#N/A,FALSE,"401C11"}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5" l="1"/>
  <c r="A1" i="55"/>
  <c r="F648" i="9"/>
  <c r="F647" i="9"/>
  <c r="F646" i="9"/>
  <c r="F610" i="9"/>
  <c r="F609" i="9"/>
  <c r="F608" i="9"/>
  <c r="F572" i="9"/>
  <c r="F571" i="9"/>
  <c r="F570" i="9"/>
  <c r="F534" i="9"/>
  <c r="F533" i="9"/>
  <c r="F532" i="9"/>
  <c r="F496" i="9"/>
  <c r="F495" i="9"/>
  <c r="F494" i="9"/>
  <c r="F458" i="9"/>
  <c r="F457" i="9"/>
  <c r="F456" i="9"/>
  <c r="F420" i="9"/>
  <c r="F419" i="9"/>
  <c r="F418" i="9"/>
  <c r="F382" i="9"/>
  <c r="F381" i="9"/>
  <c r="F380" i="9"/>
  <c r="F344" i="9"/>
  <c r="F343" i="9"/>
  <c r="F342" i="9"/>
  <c r="F306" i="9"/>
  <c r="F305" i="9"/>
  <c r="F304" i="9"/>
  <c r="F268" i="9"/>
  <c r="F267" i="9"/>
  <c r="F266" i="9"/>
  <c r="F230" i="9"/>
  <c r="F229" i="9"/>
  <c r="F228" i="9"/>
  <c r="F192" i="9"/>
  <c r="F191" i="9"/>
  <c r="F190" i="9"/>
  <c r="F154" i="9"/>
  <c r="F153" i="9"/>
  <c r="F152" i="9"/>
  <c r="F116" i="9"/>
  <c r="F115" i="9"/>
  <c r="F114" i="9"/>
  <c r="F78" i="9"/>
  <c r="F77" i="9"/>
  <c r="F76" i="9"/>
  <c r="F40" i="9"/>
  <c r="F39" i="9"/>
  <c r="F38" i="9"/>
  <c r="A1" i="2"/>
  <c r="O23" i="31"/>
  <c r="Q10" i="31"/>
  <c r="A1" i="31"/>
  <c r="J73" i="30"/>
  <c r="J97" i="30" s="1"/>
  <c r="M25" i="31" s="1"/>
  <c r="L67" i="30"/>
  <c r="L91" i="30" s="1"/>
  <c r="O19" i="31" s="1"/>
  <c r="K63" i="30"/>
  <c r="K87" i="30" s="1"/>
  <c r="N15" i="31" s="1"/>
  <c r="J63" i="30"/>
  <c r="J87" i="30" s="1"/>
  <c r="M15" i="31" s="1"/>
  <c r="N61" i="30"/>
  <c r="N85" i="30" s="1"/>
  <c r="Q13" i="31" s="1"/>
  <c r="Q53" i="30"/>
  <c r="N52" i="30"/>
  <c r="Q51" i="30"/>
  <c r="N51" i="30"/>
  <c r="L51" i="30"/>
  <c r="L75" i="30" s="1"/>
  <c r="L99" i="30" s="1"/>
  <c r="O27" i="31" s="1"/>
  <c r="R50" i="30"/>
  <c r="M49" i="30"/>
  <c r="L49" i="30"/>
  <c r="P48" i="30"/>
  <c r="K48" i="30"/>
  <c r="K72" i="30" s="1"/>
  <c r="K96" i="30" s="1"/>
  <c r="N24" i="31" s="1"/>
  <c r="J48" i="30"/>
  <c r="S47" i="30"/>
  <c r="O46" i="30"/>
  <c r="P45" i="30"/>
  <c r="N45" i="30"/>
  <c r="K45" i="30"/>
  <c r="P44" i="30"/>
  <c r="K44" i="30"/>
  <c r="S43" i="30"/>
  <c r="R43" i="30"/>
  <c r="P43" i="30"/>
  <c r="P42" i="30"/>
  <c r="M42" i="30"/>
  <c r="M66" i="30" s="1"/>
  <c r="M90" i="30" s="1"/>
  <c r="P18" i="31" s="1"/>
  <c r="L42" i="30"/>
  <c r="S41" i="30"/>
  <c r="J41" i="30"/>
  <c r="P40" i="30"/>
  <c r="M40" i="30"/>
  <c r="M64" i="30" s="1"/>
  <c r="M88" i="30" s="1"/>
  <c r="P16" i="31" s="1"/>
  <c r="L40" i="30"/>
  <c r="L64" i="30" s="1"/>
  <c r="L88" i="30" s="1"/>
  <c r="O16" i="31" s="1"/>
  <c r="J40" i="30"/>
  <c r="J64" i="30" s="1"/>
  <c r="J88" i="30" s="1"/>
  <c r="M16" i="31" s="1"/>
  <c r="S39" i="30"/>
  <c r="Q39" i="30"/>
  <c r="O38" i="30"/>
  <c r="M38" i="30"/>
  <c r="R37" i="30"/>
  <c r="O37" i="30"/>
  <c r="N37" i="30"/>
  <c r="M37" i="30"/>
  <c r="K37" i="30"/>
  <c r="J37" i="30"/>
  <c r="J61" i="30" s="1"/>
  <c r="J85" i="30" s="1"/>
  <c r="M13" i="31" s="1"/>
  <c r="J36" i="30"/>
  <c r="J60" i="30" s="1"/>
  <c r="J84" i="30" s="1"/>
  <c r="M12" i="31" s="1"/>
  <c r="S35" i="30"/>
  <c r="R35" i="30"/>
  <c r="Q35" i="30"/>
  <c r="O35" i="30"/>
  <c r="J35" i="30"/>
  <c r="N34" i="30"/>
  <c r="N58" i="30" s="1"/>
  <c r="N82" i="30" s="1"/>
  <c r="R33" i="30"/>
  <c r="P33" i="30"/>
  <c r="L29" i="30"/>
  <c r="K29" i="30"/>
  <c r="J29" i="30"/>
  <c r="K26" i="30"/>
  <c r="J26" i="30"/>
  <c r="N25" i="30"/>
  <c r="M24" i="30"/>
  <c r="L24" i="30"/>
  <c r="M23" i="30"/>
  <c r="L23" i="30"/>
  <c r="J23" i="30"/>
  <c r="J21" i="30"/>
  <c r="J19" i="30"/>
  <c r="N18" i="30"/>
  <c r="N17" i="30"/>
  <c r="M17" i="30"/>
  <c r="K17" i="30"/>
  <c r="J16" i="30"/>
  <c r="N14" i="30"/>
  <c r="N13" i="30"/>
  <c r="N12" i="30"/>
  <c r="M12" i="30"/>
  <c r="L12" i="30"/>
  <c r="M10" i="30"/>
  <c r="M58" i="30" s="1"/>
  <c r="M82" i="30" s="1"/>
  <c r="P10" i="31" s="1"/>
  <c r="K10" i="30"/>
  <c r="J10" i="30"/>
  <c r="L9" i="30"/>
  <c r="K9" i="30"/>
  <c r="A1" i="30"/>
  <c r="T77" i="29"/>
  <c r="Q77" i="29"/>
  <c r="N77" i="29"/>
  <c r="N53" i="30" s="1"/>
  <c r="M77" i="29"/>
  <c r="M53" i="30" s="1"/>
  <c r="M77" i="30" s="1"/>
  <c r="M101" i="30" s="1"/>
  <c r="P29" i="31" s="1"/>
  <c r="L77" i="29"/>
  <c r="L53" i="30" s="1"/>
  <c r="L77" i="30" s="1"/>
  <c r="L101" i="30" s="1"/>
  <c r="O29" i="31" s="1"/>
  <c r="K77" i="29"/>
  <c r="K53" i="30" s="1"/>
  <c r="K77" i="30" s="1"/>
  <c r="K101" i="30" s="1"/>
  <c r="N29" i="31" s="1"/>
  <c r="J77" i="29"/>
  <c r="J53" i="30" s="1"/>
  <c r="J77" i="30" s="1"/>
  <c r="J101" i="30" s="1"/>
  <c r="M29" i="31" s="1"/>
  <c r="P76" i="29"/>
  <c r="P52" i="30" s="1"/>
  <c r="O76" i="29"/>
  <c r="O52" i="30" s="1"/>
  <c r="M76" i="29"/>
  <c r="M52" i="30" s="1"/>
  <c r="L76" i="29"/>
  <c r="L52" i="30" s="1"/>
  <c r="J76" i="29"/>
  <c r="J52" i="30" s="1"/>
  <c r="T75" i="29"/>
  <c r="S75" i="29"/>
  <c r="S51" i="30" s="1"/>
  <c r="P75" i="29"/>
  <c r="P51" i="30" s="1"/>
  <c r="P75" i="30" s="1"/>
  <c r="P99" i="30" s="1"/>
  <c r="S27" i="31" s="1"/>
  <c r="O75" i="29"/>
  <c r="O51" i="30" s="1"/>
  <c r="M75" i="29"/>
  <c r="M51" i="30" s="1"/>
  <c r="L75" i="29"/>
  <c r="T74" i="29"/>
  <c r="M74" i="29"/>
  <c r="M50" i="30" s="1"/>
  <c r="M74" i="30" s="1"/>
  <c r="M98" i="30" s="1"/>
  <c r="P26" i="31" s="1"/>
  <c r="K74" i="29"/>
  <c r="K50" i="30" s="1"/>
  <c r="K74" i="30" s="1"/>
  <c r="K98" i="30" s="1"/>
  <c r="N26" i="31" s="1"/>
  <c r="J74" i="29"/>
  <c r="J50" i="30" s="1"/>
  <c r="J74" i="30" s="1"/>
  <c r="J98" i="30" s="1"/>
  <c r="M26" i="31" s="1"/>
  <c r="T73" i="29"/>
  <c r="S73" i="29"/>
  <c r="S49" i="30" s="1"/>
  <c r="R73" i="29"/>
  <c r="R49" i="30" s="1"/>
  <c r="Q73" i="29"/>
  <c r="Q49" i="30" s="1"/>
  <c r="K73" i="29"/>
  <c r="K49" i="30" s="1"/>
  <c r="T72" i="29"/>
  <c r="P72" i="29"/>
  <c r="O72" i="29"/>
  <c r="O48" i="30" s="1"/>
  <c r="K72" i="29"/>
  <c r="J72" i="29"/>
  <c r="T71" i="29"/>
  <c r="R71" i="29"/>
  <c r="R47" i="30" s="1"/>
  <c r="Q71" i="29"/>
  <c r="Q47" i="30" s="1"/>
  <c r="P71" i="29"/>
  <c r="P47" i="30" s="1"/>
  <c r="O71" i="29"/>
  <c r="O47" i="30" s="1"/>
  <c r="N71" i="29"/>
  <c r="N47" i="30" s="1"/>
  <c r="K71" i="29"/>
  <c r="K47" i="30" s="1"/>
  <c r="J71" i="29"/>
  <c r="J47" i="30" s="1"/>
  <c r="J71" i="30" s="1"/>
  <c r="J95" i="30" s="1"/>
  <c r="M23" i="31" s="1"/>
  <c r="P70" i="29"/>
  <c r="P46" i="30" s="1"/>
  <c r="N70" i="29"/>
  <c r="N46" i="30" s="1"/>
  <c r="N70" i="30" s="1"/>
  <c r="N94" i="30" s="1"/>
  <c r="Q22" i="31" s="1"/>
  <c r="M70" i="29"/>
  <c r="M46" i="30" s="1"/>
  <c r="M70" i="30" s="1"/>
  <c r="M94" i="30" s="1"/>
  <c r="P22" i="31" s="1"/>
  <c r="T69" i="29"/>
  <c r="S69" i="29"/>
  <c r="S45" i="30" s="1"/>
  <c r="Q69" i="29"/>
  <c r="Q45" i="30" s="1"/>
  <c r="N69" i="29"/>
  <c r="L69" i="29"/>
  <c r="L45" i="30" s="1"/>
  <c r="T68" i="29"/>
  <c r="P68" i="29"/>
  <c r="O68" i="29"/>
  <c r="O44" i="30" s="1"/>
  <c r="N68" i="29"/>
  <c r="N44" i="30" s="1"/>
  <c r="N68" i="30" s="1"/>
  <c r="N92" i="30" s="1"/>
  <c r="Q20" i="31" s="1"/>
  <c r="L68" i="29"/>
  <c r="L44" i="30" s="1"/>
  <c r="L68" i="30" s="1"/>
  <c r="L92" i="30" s="1"/>
  <c r="O20" i="31" s="1"/>
  <c r="K68" i="29"/>
  <c r="T67" i="29"/>
  <c r="S67" i="29"/>
  <c r="Q67" i="29"/>
  <c r="Q43" i="30" s="1"/>
  <c r="P67" i="29"/>
  <c r="O67" i="29"/>
  <c r="O43" i="30" s="1"/>
  <c r="L67" i="29"/>
  <c r="L43" i="30" s="1"/>
  <c r="J67" i="29"/>
  <c r="J43" i="30" s="1"/>
  <c r="J67" i="30" s="1"/>
  <c r="J91" i="30" s="1"/>
  <c r="M19" i="31" s="1"/>
  <c r="S66" i="29"/>
  <c r="S42" i="30" s="1"/>
  <c r="R66" i="29"/>
  <c r="R42" i="30" s="1"/>
  <c r="P66" i="29"/>
  <c r="J66" i="29"/>
  <c r="J42" i="30" s="1"/>
  <c r="J66" i="30" s="1"/>
  <c r="J90" i="30" s="1"/>
  <c r="M18" i="31" s="1"/>
  <c r="Q65" i="29"/>
  <c r="Q41" i="30" s="1"/>
  <c r="P65" i="29"/>
  <c r="P41" i="30" s="1"/>
  <c r="O65" i="29"/>
  <c r="O41" i="30" s="1"/>
  <c r="N65" i="29"/>
  <c r="N41" i="30" s="1"/>
  <c r="J65" i="29"/>
  <c r="T64" i="29"/>
  <c r="S64" i="29"/>
  <c r="S40" i="30" s="1"/>
  <c r="P64" i="29"/>
  <c r="M64" i="29"/>
  <c r="L64" i="29"/>
  <c r="J64" i="29"/>
  <c r="T63" i="29"/>
  <c r="R63" i="29"/>
  <c r="R39" i="30" s="1"/>
  <c r="R63" i="30" s="1"/>
  <c r="R87" i="30" s="1"/>
  <c r="U15" i="31" s="1"/>
  <c r="N63" i="29"/>
  <c r="N39" i="30" s="1"/>
  <c r="M63" i="29"/>
  <c r="M39" i="30" s="1"/>
  <c r="M63" i="30" s="1"/>
  <c r="M87" i="30" s="1"/>
  <c r="P15" i="31" s="1"/>
  <c r="L63" i="29"/>
  <c r="L39" i="30" s="1"/>
  <c r="L63" i="30" s="1"/>
  <c r="L87" i="30" s="1"/>
  <c r="O15" i="31" s="1"/>
  <c r="T62" i="29"/>
  <c r="S62" i="29"/>
  <c r="S38" i="30" s="1"/>
  <c r="M62" i="29"/>
  <c r="K62" i="29"/>
  <c r="K38" i="30" s="1"/>
  <c r="J62" i="29"/>
  <c r="J38" i="30" s="1"/>
  <c r="T61" i="29"/>
  <c r="S61" i="29"/>
  <c r="S37" i="30" s="1"/>
  <c r="R61" i="29"/>
  <c r="Q61" i="29"/>
  <c r="Q37" i="30" s="1"/>
  <c r="M61" i="29"/>
  <c r="J61" i="29"/>
  <c r="T60" i="29"/>
  <c r="R60" i="29"/>
  <c r="R36" i="30" s="1"/>
  <c r="P60" i="29"/>
  <c r="P36" i="30" s="1"/>
  <c r="O60" i="29"/>
  <c r="O36" i="30" s="1"/>
  <c r="K60" i="29"/>
  <c r="K36" i="30" s="1"/>
  <c r="K60" i="30" s="1"/>
  <c r="K84" i="30" s="1"/>
  <c r="N12" i="31" s="1"/>
  <c r="J60" i="29"/>
  <c r="S59" i="29"/>
  <c r="Q59" i="29"/>
  <c r="N59" i="29"/>
  <c r="N35" i="30" s="1"/>
  <c r="N59" i="30" s="1"/>
  <c r="N83" i="30" s="1"/>
  <c r="Q11" i="31" s="1"/>
  <c r="L59" i="29"/>
  <c r="L35" i="30" s="1"/>
  <c r="L59" i="30" s="1"/>
  <c r="L83" i="30" s="1"/>
  <c r="O11" i="31" s="1"/>
  <c r="K59" i="29"/>
  <c r="K35" i="30" s="1"/>
  <c r="T58" i="29"/>
  <c r="P58" i="29"/>
  <c r="P34" i="30" s="1"/>
  <c r="O58" i="29"/>
  <c r="O34" i="30" s="1"/>
  <c r="M58" i="29"/>
  <c r="M34" i="30" s="1"/>
  <c r="T57" i="29"/>
  <c r="Q57" i="29"/>
  <c r="Q33" i="30" s="1"/>
  <c r="O57" i="29"/>
  <c r="O33" i="30" s="1"/>
  <c r="N57" i="29"/>
  <c r="N33" i="30" s="1"/>
  <c r="N57" i="30" s="1"/>
  <c r="N81" i="30" s="1"/>
  <c r="Q9" i="31" s="1"/>
  <c r="M57" i="29"/>
  <c r="M33" i="30" s="1"/>
  <c r="M57" i="30" s="1"/>
  <c r="M81" i="30" s="1"/>
  <c r="P9" i="31" s="1"/>
  <c r="L57" i="29"/>
  <c r="L33" i="30" s="1"/>
  <c r="L57" i="30" s="1"/>
  <c r="L81" i="30" s="1"/>
  <c r="O9" i="31" s="1"/>
  <c r="T53" i="29"/>
  <c r="S53" i="29"/>
  <c r="S77" i="29" s="1"/>
  <c r="S53" i="30" s="1"/>
  <c r="R53" i="29"/>
  <c r="R77" i="29" s="1"/>
  <c r="R53" i="30" s="1"/>
  <c r="Q53" i="29"/>
  <c r="P53" i="29"/>
  <c r="P77" i="29" s="1"/>
  <c r="P53" i="30" s="1"/>
  <c r="O53" i="29"/>
  <c r="O77" i="29" s="1"/>
  <c r="O53" i="30" s="1"/>
  <c r="T52" i="29"/>
  <c r="T76" i="29" s="1"/>
  <c r="S52" i="29"/>
  <c r="S76" i="29" s="1"/>
  <c r="S52" i="30" s="1"/>
  <c r="R52" i="29"/>
  <c r="R76" i="29" s="1"/>
  <c r="R52" i="30" s="1"/>
  <c r="Q52" i="29"/>
  <c r="Q76" i="29" s="1"/>
  <c r="Q52" i="30" s="1"/>
  <c r="P52" i="29"/>
  <c r="O52" i="29"/>
  <c r="T51" i="29"/>
  <c r="S51" i="29"/>
  <c r="R51" i="29"/>
  <c r="R75" i="29" s="1"/>
  <c r="R51" i="30" s="1"/>
  <c r="Q51" i="29"/>
  <c r="Q75" i="29" s="1"/>
  <c r="P51" i="29"/>
  <c r="O51" i="29"/>
  <c r="T50" i="29"/>
  <c r="S50" i="29"/>
  <c r="S74" i="29" s="1"/>
  <c r="S50" i="30" s="1"/>
  <c r="R50" i="29"/>
  <c r="R74" i="29" s="1"/>
  <c r="Q50" i="29"/>
  <c r="Q74" i="29" s="1"/>
  <c r="Q50" i="30" s="1"/>
  <c r="P50" i="29"/>
  <c r="P74" i="29" s="1"/>
  <c r="P50" i="30" s="1"/>
  <c r="O50" i="29"/>
  <c r="O74" i="29" s="1"/>
  <c r="O50" i="30" s="1"/>
  <c r="T49" i="29"/>
  <c r="S49" i="29"/>
  <c r="R49" i="29"/>
  <c r="Q49" i="29"/>
  <c r="P49" i="29"/>
  <c r="P73" i="29" s="1"/>
  <c r="P49" i="30" s="1"/>
  <c r="O49" i="29"/>
  <c r="O73" i="29" s="1"/>
  <c r="O49" i="30" s="1"/>
  <c r="T48" i="29"/>
  <c r="S48" i="29"/>
  <c r="S72" i="29" s="1"/>
  <c r="S48" i="30" s="1"/>
  <c r="R48" i="29"/>
  <c r="R72" i="29" s="1"/>
  <c r="R48" i="30" s="1"/>
  <c r="Q48" i="29"/>
  <c r="Q72" i="29" s="1"/>
  <c r="Q48" i="30" s="1"/>
  <c r="P48" i="29"/>
  <c r="O48" i="29"/>
  <c r="T47" i="29"/>
  <c r="S47" i="29"/>
  <c r="S71" i="29" s="1"/>
  <c r="R47" i="29"/>
  <c r="Q47" i="29"/>
  <c r="P47" i="29"/>
  <c r="O47" i="29"/>
  <c r="T46" i="29"/>
  <c r="T70" i="29" s="1"/>
  <c r="S46" i="29"/>
  <c r="S70" i="29" s="1"/>
  <c r="S46" i="30" s="1"/>
  <c r="R46" i="29"/>
  <c r="R70" i="29" s="1"/>
  <c r="R46" i="30" s="1"/>
  <c r="Q46" i="29"/>
  <c r="Q70" i="29" s="1"/>
  <c r="Q46" i="30" s="1"/>
  <c r="Q70" i="30" s="1"/>
  <c r="Q94" i="30" s="1"/>
  <c r="T22" i="31" s="1"/>
  <c r="P46" i="29"/>
  <c r="O46" i="29"/>
  <c r="O70" i="29" s="1"/>
  <c r="T45" i="29"/>
  <c r="S45" i="29"/>
  <c r="R45" i="29"/>
  <c r="R69" i="29" s="1"/>
  <c r="R45" i="30" s="1"/>
  <c r="Q45" i="29"/>
  <c r="P45" i="29"/>
  <c r="P69" i="29" s="1"/>
  <c r="O45" i="29"/>
  <c r="O69" i="29" s="1"/>
  <c r="O45" i="30" s="1"/>
  <c r="T44" i="29"/>
  <c r="S44" i="29"/>
  <c r="S68" i="29" s="1"/>
  <c r="S44" i="30" s="1"/>
  <c r="R44" i="29"/>
  <c r="R68" i="29" s="1"/>
  <c r="R44" i="30" s="1"/>
  <c r="Q44" i="29"/>
  <c r="Q68" i="29" s="1"/>
  <c r="Q44" i="30" s="1"/>
  <c r="P44" i="29"/>
  <c r="O44" i="29"/>
  <c r="T43" i="29"/>
  <c r="S43" i="29"/>
  <c r="R43" i="29"/>
  <c r="R67" i="29" s="1"/>
  <c r="Q43" i="29"/>
  <c r="P43" i="29"/>
  <c r="O43" i="29"/>
  <c r="T42" i="29"/>
  <c r="T66" i="29" s="1"/>
  <c r="S42" i="29"/>
  <c r="R42" i="29"/>
  <c r="Q42" i="29"/>
  <c r="Q66" i="29" s="1"/>
  <c r="Q42" i="30" s="1"/>
  <c r="P42" i="29"/>
  <c r="O42" i="29"/>
  <c r="O66" i="29" s="1"/>
  <c r="O42" i="30" s="1"/>
  <c r="T41" i="29"/>
  <c r="T65" i="29" s="1"/>
  <c r="S41" i="29"/>
  <c r="S65" i="29" s="1"/>
  <c r="R41" i="29"/>
  <c r="R65" i="29" s="1"/>
  <c r="R41" i="30" s="1"/>
  <c r="Q41" i="29"/>
  <c r="P41" i="29"/>
  <c r="O41" i="29"/>
  <c r="T40" i="29"/>
  <c r="S40" i="29"/>
  <c r="R40" i="29"/>
  <c r="R64" i="29" s="1"/>
  <c r="R40" i="30" s="1"/>
  <c r="Q40" i="29"/>
  <c r="Q64" i="29" s="1"/>
  <c r="Q40" i="30" s="1"/>
  <c r="P40" i="29"/>
  <c r="O40" i="29"/>
  <c r="O64" i="29" s="1"/>
  <c r="O40" i="30" s="1"/>
  <c r="T39" i="29"/>
  <c r="S39" i="29"/>
  <c r="S63" i="29" s="1"/>
  <c r="R39" i="29"/>
  <c r="Q39" i="29"/>
  <c r="Q63" i="29" s="1"/>
  <c r="P39" i="29"/>
  <c r="P63" i="29" s="1"/>
  <c r="P39" i="30" s="1"/>
  <c r="O39" i="29"/>
  <c r="O63" i="29" s="1"/>
  <c r="O39" i="30" s="1"/>
  <c r="T38" i="29"/>
  <c r="S38" i="29"/>
  <c r="R38" i="29"/>
  <c r="R62" i="29" s="1"/>
  <c r="R38" i="30" s="1"/>
  <c r="Q38" i="29"/>
  <c r="Q62" i="29" s="1"/>
  <c r="Q38" i="30" s="1"/>
  <c r="P38" i="29"/>
  <c r="P62" i="29" s="1"/>
  <c r="P38" i="30" s="1"/>
  <c r="O38" i="29"/>
  <c r="O62" i="29" s="1"/>
  <c r="T37" i="29"/>
  <c r="S37" i="29"/>
  <c r="R37" i="29"/>
  <c r="Q37" i="29"/>
  <c r="P37" i="29"/>
  <c r="P61" i="29" s="1"/>
  <c r="P37" i="30" s="1"/>
  <c r="O37" i="29"/>
  <c r="O61" i="29" s="1"/>
  <c r="T36" i="29"/>
  <c r="S36" i="29"/>
  <c r="S60" i="29" s="1"/>
  <c r="S36" i="30" s="1"/>
  <c r="R36" i="29"/>
  <c r="Q36" i="29"/>
  <c r="Q60" i="29" s="1"/>
  <c r="Q36" i="30" s="1"/>
  <c r="P36" i="29"/>
  <c r="O36" i="29"/>
  <c r="T35" i="29"/>
  <c r="T59" i="29" s="1"/>
  <c r="S35" i="29"/>
  <c r="R35" i="29"/>
  <c r="R59" i="29" s="1"/>
  <c r="Q35" i="29"/>
  <c r="P35" i="29"/>
  <c r="P59" i="29" s="1"/>
  <c r="P35" i="30" s="1"/>
  <c r="O35" i="29"/>
  <c r="O59" i="29" s="1"/>
  <c r="T34" i="29"/>
  <c r="S34" i="29"/>
  <c r="S58" i="29" s="1"/>
  <c r="S34" i="30" s="1"/>
  <c r="R34" i="29"/>
  <c r="R58" i="29" s="1"/>
  <c r="R34" i="30" s="1"/>
  <c r="Q34" i="29"/>
  <c r="Q58" i="29" s="1"/>
  <c r="Q34" i="30" s="1"/>
  <c r="P34" i="29"/>
  <c r="O34" i="29"/>
  <c r="T33" i="29"/>
  <c r="S33" i="29"/>
  <c r="S57" i="29" s="1"/>
  <c r="S33" i="30" s="1"/>
  <c r="R33" i="29"/>
  <c r="R57" i="29" s="1"/>
  <c r="Q33" i="29"/>
  <c r="P33" i="29"/>
  <c r="P57" i="29" s="1"/>
  <c r="O33" i="29"/>
  <c r="N29" i="29"/>
  <c r="M29" i="29"/>
  <c r="L29" i="29"/>
  <c r="K29" i="29"/>
  <c r="J29" i="29"/>
  <c r="N28" i="29"/>
  <c r="N76" i="29" s="1"/>
  <c r="M28" i="29"/>
  <c r="L28" i="29"/>
  <c r="K28" i="29"/>
  <c r="K76" i="29" s="1"/>
  <c r="K52" i="30" s="1"/>
  <c r="K76" i="30" s="1"/>
  <c r="K100" i="30" s="1"/>
  <c r="N28" i="31" s="1"/>
  <c r="J28" i="29"/>
  <c r="N27" i="29"/>
  <c r="N75" i="29" s="1"/>
  <c r="M27" i="29"/>
  <c r="L27" i="29"/>
  <c r="K27" i="29"/>
  <c r="K75" i="29" s="1"/>
  <c r="K51" i="30" s="1"/>
  <c r="J27" i="29"/>
  <c r="J75" i="29" s="1"/>
  <c r="J51" i="30" s="1"/>
  <c r="N26" i="29"/>
  <c r="N74" i="29" s="1"/>
  <c r="N50" i="30" s="1"/>
  <c r="N74" i="30" s="1"/>
  <c r="N98" i="30" s="1"/>
  <c r="Q26" i="31" s="1"/>
  <c r="M26" i="29"/>
  <c r="L26" i="29"/>
  <c r="L74" i="29" s="1"/>
  <c r="L50" i="30" s="1"/>
  <c r="L74" i="30" s="1"/>
  <c r="L98" i="30" s="1"/>
  <c r="O26" i="31" s="1"/>
  <c r="K26" i="29"/>
  <c r="J26" i="29"/>
  <c r="N25" i="29"/>
  <c r="N73" i="29" s="1"/>
  <c r="N49" i="30" s="1"/>
  <c r="N73" i="30" s="1"/>
  <c r="N97" i="30" s="1"/>
  <c r="Q25" i="31" s="1"/>
  <c r="M25" i="29"/>
  <c r="M73" i="29" s="1"/>
  <c r="L25" i="29"/>
  <c r="L73" i="29" s="1"/>
  <c r="K25" i="29"/>
  <c r="J25" i="29"/>
  <c r="J73" i="29" s="1"/>
  <c r="J49" i="30" s="1"/>
  <c r="N24" i="29"/>
  <c r="N72" i="29" s="1"/>
  <c r="N48" i="30" s="1"/>
  <c r="N72" i="30" s="1"/>
  <c r="N96" i="30" s="1"/>
  <c r="Q24" i="31" s="1"/>
  <c r="M24" i="29"/>
  <c r="M72" i="29" s="1"/>
  <c r="M48" i="30" s="1"/>
  <c r="M72" i="30" s="1"/>
  <c r="M96" i="30" s="1"/>
  <c r="P24" i="31" s="1"/>
  <c r="L24" i="29"/>
  <c r="L72" i="29" s="1"/>
  <c r="L48" i="30" s="1"/>
  <c r="L72" i="30" s="1"/>
  <c r="L96" i="30" s="1"/>
  <c r="O24" i="31" s="1"/>
  <c r="K24" i="29"/>
  <c r="J24" i="29"/>
  <c r="N23" i="29"/>
  <c r="M23" i="29"/>
  <c r="M71" i="29" s="1"/>
  <c r="M47" i="30" s="1"/>
  <c r="L23" i="29"/>
  <c r="L71" i="29" s="1"/>
  <c r="L47" i="30" s="1"/>
  <c r="L71" i="30" s="1"/>
  <c r="L95" i="30" s="1"/>
  <c r="K23" i="29"/>
  <c r="J23" i="29"/>
  <c r="N22" i="29"/>
  <c r="M22" i="29"/>
  <c r="L22" i="29"/>
  <c r="L70" i="29" s="1"/>
  <c r="L46" i="30" s="1"/>
  <c r="L70" i="30" s="1"/>
  <c r="L94" i="30" s="1"/>
  <c r="O22" i="31" s="1"/>
  <c r="K22" i="29"/>
  <c r="K70" i="29" s="1"/>
  <c r="K46" i="30" s="1"/>
  <c r="K70" i="30" s="1"/>
  <c r="K94" i="30" s="1"/>
  <c r="N22" i="31" s="1"/>
  <c r="J22" i="29"/>
  <c r="J70" i="29" s="1"/>
  <c r="J46" i="30" s="1"/>
  <c r="J70" i="30" s="1"/>
  <c r="J94" i="30" s="1"/>
  <c r="M22" i="31" s="1"/>
  <c r="N21" i="29"/>
  <c r="M21" i="29"/>
  <c r="M69" i="29" s="1"/>
  <c r="M45" i="30" s="1"/>
  <c r="L21" i="29"/>
  <c r="K21" i="29"/>
  <c r="K69" i="29" s="1"/>
  <c r="J21" i="29"/>
  <c r="J69" i="29" s="1"/>
  <c r="J45" i="30" s="1"/>
  <c r="J69" i="30" s="1"/>
  <c r="J93" i="30" s="1"/>
  <c r="M21" i="31" s="1"/>
  <c r="N20" i="29"/>
  <c r="M20" i="29"/>
  <c r="M68" i="29" s="1"/>
  <c r="M44" i="30" s="1"/>
  <c r="L20" i="29"/>
  <c r="K20" i="29"/>
  <c r="J20" i="29"/>
  <c r="J68" i="29" s="1"/>
  <c r="J44" i="30" s="1"/>
  <c r="N19" i="29"/>
  <c r="N67" i="29" s="1"/>
  <c r="N43" i="30" s="1"/>
  <c r="N67" i="30" s="1"/>
  <c r="N91" i="30" s="1"/>
  <c r="Q19" i="31" s="1"/>
  <c r="M19" i="29"/>
  <c r="M67" i="29" s="1"/>
  <c r="M43" i="30" s="1"/>
  <c r="M67" i="30" s="1"/>
  <c r="M91" i="30" s="1"/>
  <c r="P19" i="31" s="1"/>
  <c r="L19" i="29"/>
  <c r="K19" i="29"/>
  <c r="K67" i="29" s="1"/>
  <c r="K43" i="30" s="1"/>
  <c r="J19" i="29"/>
  <c r="N18" i="29"/>
  <c r="N66" i="29" s="1"/>
  <c r="N42" i="30" s="1"/>
  <c r="N66" i="30" s="1"/>
  <c r="N90" i="30" s="1"/>
  <c r="Q18" i="31" s="1"/>
  <c r="M18" i="29"/>
  <c r="M66" i="29" s="1"/>
  <c r="L18" i="29"/>
  <c r="L66" i="29" s="1"/>
  <c r="K18" i="29"/>
  <c r="K66" i="29" s="1"/>
  <c r="K42" i="30" s="1"/>
  <c r="J18" i="29"/>
  <c r="N17" i="29"/>
  <c r="M17" i="29"/>
  <c r="M65" i="29" s="1"/>
  <c r="M41" i="30" s="1"/>
  <c r="M65" i="30" s="1"/>
  <c r="M89" i="30" s="1"/>
  <c r="P17" i="31" s="1"/>
  <c r="L17" i="29"/>
  <c r="L65" i="29" s="1"/>
  <c r="L41" i="30" s="1"/>
  <c r="L65" i="30" s="1"/>
  <c r="L89" i="30" s="1"/>
  <c r="O17" i="31" s="1"/>
  <c r="K17" i="29"/>
  <c r="K65" i="29" s="1"/>
  <c r="K41" i="30" s="1"/>
  <c r="K65" i="30" s="1"/>
  <c r="K89" i="30" s="1"/>
  <c r="N17" i="31" s="1"/>
  <c r="J17" i="29"/>
  <c r="N16" i="29"/>
  <c r="N64" i="29" s="1"/>
  <c r="N40" i="30" s="1"/>
  <c r="N64" i="30" s="1"/>
  <c r="N88" i="30" s="1"/>
  <c r="Q16" i="31" s="1"/>
  <c r="M16" i="29"/>
  <c r="L16" i="29"/>
  <c r="K16" i="29"/>
  <c r="K64" i="29" s="1"/>
  <c r="K40" i="30" s="1"/>
  <c r="K64" i="30" s="1"/>
  <c r="K88" i="30" s="1"/>
  <c r="N16" i="31" s="1"/>
  <c r="J16" i="29"/>
  <c r="N15" i="29"/>
  <c r="M15" i="29"/>
  <c r="L15" i="29"/>
  <c r="K15" i="29"/>
  <c r="K63" i="29" s="1"/>
  <c r="K39" i="30" s="1"/>
  <c r="J15" i="29"/>
  <c r="J63" i="29" s="1"/>
  <c r="J39" i="30" s="1"/>
  <c r="N14" i="29"/>
  <c r="N62" i="29" s="1"/>
  <c r="N38" i="30" s="1"/>
  <c r="N62" i="30" s="1"/>
  <c r="N86" i="30" s="1"/>
  <c r="Q14" i="31" s="1"/>
  <c r="M14" i="29"/>
  <c r="L14" i="29"/>
  <c r="L62" i="29" s="1"/>
  <c r="L38" i="30" s="1"/>
  <c r="K14" i="29"/>
  <c r="J14" i="29"/>
  <c r="N13" i="29"/>
  <c r="N61" i="29" s="1"/>
  <c r="M13" i="29"/>
  <c r="L13" i="29"/>
  <c r="L61" i="29" s="1"/>
  <c r="L37" i="30" s="1"/>
  <c r="L61" i="30" s="1"/>
  <c r="L85" i="30" s="1"/>
  <c r="O13" i="31" s="1"/>
  <c r="K13" i="29"/>
  <c r="K61" i="29" s="1"/>
  <c r="J13" i="29"/>
  <c r="N12" i="29"/>
  <c r="N60" i="29" s="1"/>
  <c r="N36" i="30" s="1"/>
  <c r="N60" i="30" s="1"/>
  <c r="N84" i="30" s="1"/>
  <c r="Q12" i="31" s="1"/>
  <c r="M12" i="29"/>
  <c r="M60" i="29" s="1"/>
  <c r="M36" i="30" s="1"/>
  <c r="M60" i="30" s="1"/>
  <c r="M84" i="30" s="1"/>
  <c r="P12" i="31" s="1"/>
  <c r="L12" i="29"/>
  <c r="L60" i="29" s="1"/>
  <c r="L36" i="30" s="1"/>
  <c r="L60" i="30" s="1"/>
  <c r="L84" i="30" s="1"/>
  <c r="O12" i="31" s="1"/>
  <c r="K12" i="29"/>
  <c r="J12" i="29"/>
  <c r="N11" i="29"/>
  <c r="M11" i="29"/>
  <c r="M59" i="29" s="1"/>
  <c r="M35" i="30" s="1"/>
  <c r="L11" i="29"/>
  <c r="K11" i="29"/>
  <c r="J11" i="29"/>
  <c r="J59" i="29" s="1"/>
  <c r="N10" i="29"/>
  <c r="N58" i="29" s="1"/>
  <c r="M10" i="29"/>
  <c r="L10" i="29"/>
  <c r="L58" i="29" s="1"/>
  <c r="L34" i="30" s="1"/>
  <c r="L58" i="30" s="1"/>
  <c r="L82" i="30" s="1"/>
  <c r="O10" i="31" s="1"/>
  <c r="K10" i="29"/>
  <c r="K58" i="29" s="1"/>
  <c r="K34" i="30" s="1"/>
  <c r="K58" i="30" s="1"/>
  <c r="K82" i="30" s="1"/>
  <c r="N10" i="31" s="1"/>
  <c r="J10" i="29"/>
  <c r="J58" i="29" s="1"/>
  <c r="J34" i="30" s="1"/>
  <c r="J58" i="30" s="1"/>
  <c r="J82" i="30" s="1"/>
  <c r="M10" i="31" s="1"/>
  <c r="N9" i="29"/>
  <c r="M9" i="29"/>
  <c r="L9" i="29"/>
  <c r="K9" i="29"/>
  <c r="K57" i="29" s="1"/>
  <c r="K33" i="30" s="1"/>
  <c r="J9" i="29"/>
  <c r="J57" i="29" s="1"/>
  <c r="J33" i="30" s="1"/>
  <c r="J57" i="30" s="1"/>
  <c r="J81" i="30" s="1"/>
  <c r="M9" i="31" s="1"/>
  <c r="A1" i="29"/>
  <c r="M77" i="28"/>
  <c r="M29" i="30" s="1"/>
  <c r="L77" i="28"/>
  <c r="K77" i="28"/>
  <c r="N76" i="28"/>
  <c r="N28" i="30" s="1"/>
  <c r="M76" i="28"/>
  <c r="M28" i="30" s="1"/>
  <c r="L76" i="28"/>
  <c r="L28" i="30" s="1"/>
  <c r="N75" i="28"/>
  <c r="N27" i="30" s="1"/>
  <c r="N74" i="28"/>
  <c r="N26" i="30" s="1"/>
  <c r="K74" i="28"/>
  <c r="J74" i="28"/>
  <c r="K73" i="28"/>
  <c r="K25" i="30" s="1"/>
  <c r="N72" i="28"/>
  <c r="N24" i="30" s="1"/>
  <c r="M72" i="28"/>
  <c r="L72" i="28"/>
  <c r="K72" i="28"/>
  <c r="K24" i="30" s="1"/>
  <c r="J72" i="28"/>
  <c r="J24" i="30" s="1"/>
  <c r="M71" i="28"/>
  <c r="L71" i="28"/>
  <c r="N70" i="28"/>
  <c r="N22" i="30" s="1"/>
  <c r="L70" i="28"/>
  <c r="L22" i="30" s="1"/>
  <c r="K70" i="28"/>
  <c r="K22" i="30" s="1"/>
  <c r="J70" i="28"/>
  <c r="J22" i="30" s="1"/>
  <c r="N69" i="28"/>
  <c r="N21" i="30" s="1"/>
  <c r="N69" i="30" s="1"/>
  <c r="N93" i="30" s="1"/>
  <c r="Q21" i="31" s="1"/>
  <c r="L69" i="28"/>
  <c r="L21" i="30" s="1"/>
  <c r="L69" i="30" s="1"/>
  <c r="L93" i="30" s="1"/>
  <c r="O21" i="31" s="1"/>
  <c r="K69" i="28"/>
  <c r="K21" i="30" s="1"/>
  <c r="M68" i="28"/>
  <c r="M20" i="30" s="1"/>
  <c r="M68" i="30" s="1"/>
  <c r="M92" i="30" s="1"/>
  <c r="P20" i="31" s="1"/>
  <c r="M67" i="28"/>
  <c r="M19" i="30" s="1"/>
  <c r="M66" i="28"/>
  <c r="M18" i="30" s="1"/>
  <c r="K66" i="28"/>
  <c r="K18" i="30" s="1"/>
  <c r="J66" i="28"/>
  <c r="J18" i="30" s="1"/>
  <c r="L65" i="28"/>
  <c r="L17" i="30" s="1"/>
  <c r="K65" i="28"/>
  <c r="M64" i="28"/>
  <c r="M16" i="30" s="1"/>
  <c r="L64" i="28"/>
  <c r="L16" i="30" s="1"/>
  <c r="Q63" i="28"/>
  <c r="Q15" i="30" s="1"/>
  <c r="Q63" i="30" s="1"/>
  <c r="Q87" i="30" s="1"/>
  <c r="T15" i="31" s="1"/>
  <c r="P63" i="28"/>
  <c r="P15" i="30" s="1"/>
  <c r="P63" i="30" s="1"/>
  <c r="P87" i="30" s="1"/>
  <c r="S15" i="31" s="1"/>
  <c r="N63" i="28"/>
  <c r="N15" i="30" s="1"/>
  <c r="N62" i="28"/>
  <c r="K62" i="28"/>
  <c r="K14" i="30" s="1"/>
  <c r="J62" i="28"/>
  <c r="J14" i="30" s="1"/>
  <c r="N61" i="28"/>
  <c r="M61" i="28"/>
  <c r="M13" i="30" s="1"/>
  <c r="N59" i="28"/>
  <c r="N11" i="30" s="1"/>
  <c r="M59" i="28"/>
  <c r="M11" i="30" s="1"/>
  <c r="L59" i="28"/>
  <c r="L11" i="30" s="1"/>
  <c r="J59" i="28"/>
  <c r="J11" i="30" s="1"/>
  <c r="M58" i="28"/>
  <c r="J58" i="28"/>
  <c r="M57" i="28"/>
  <c r="M9" i="30" s="1"/>
  <c r="L57" i="28"/>
  <c r="K57" i="28"/>
  <c r="N53" i="28"/>
  <c r="N77" i="28" s="1"/>
  <c r="N29" i="30" s="1"/>
  <c r="M53" i="28"/>
  <c r="L53" i="28"/>
  <c r="K53" i="28"/>
  <c r="J53" i="28"/>
  <c r="J77" i="28" s="1"/>
  <c r="N52" i="28"/>
  <c r="M52" i="28"/>
  <c r="L52" i="28"/>
  <c r="K52" i="28"/>
  <c r="K76" i="28" s="1"/>
  <c r="K28" i="30" s="1"/>
  <c r="J52" i="28"/>
  <c r="J76" i="28" s="1"/>
  <c r="J28" i="30" s="1"/>
  <c r="N51" i="28"/>
  <c r="M51" i="28"/>
  <c r="M75" i="28" s="1"/>
  <c r="M27" i="30" s="1"/>
  <c r="L51" i="28"/>
  <c r="L75" i="28" s="1"/>
  <c r="L27" i="30" s="1"/>
  <c r="K51" i="28"/>
  <c r="K75" i="28" s="1"/>
  <c r="K27" i="30" s="1"/>
  <c r="J51" i="28"/>
  <c r="J75" i="28" s="1"/>
  <c r="J27" i="30" s="1"/>
  <c r="N50" i="28"/>
  <c r="M50" i="28"/>
  <c r="M74" i="28" s="1"/>
  <c r="M26" i="30" s="1"/>
  <c r="L50" i="28"/>
  <c r="L74" i="28" s="1"/>
  <c r="L26" i="30" s="1"/>
  <c r="K50" i="28"/>
  <c r="J50" i="28"/>
  <c r="N49" i="28"/>
  <c r="N73" i="28" s="1"/>
  <c r="M49" i="28"/>
  <c r="M73" i="28" s="1"/>
  <c r="M25" i="30" s="1"/>
  <c r="L49" i="28"/>
  <c r="L73" i="28" s="1"/>
  <c r="L25" i="30" s="1"/>
  <c r="K49" i="28"/>
  <c r="J49" i="28"/>
  <c r="J73" i="28" s="1"/>
  <c r="J25" i="30" s="1"/>
  <c r="N48" i="28"/>
  <c r="M48" i="28"/>
  <c r="L48" i="28"/>
  <c r="K48" i="28"/>
  <c r="J48" i="28"/>
  <c r="N47" i="28"/>
  <c r="N71" i="28" s="1"/>
  <c r="N23" i="30" s="1"/>
  <c r="N71" i="30" s="1"/>
  <c r="N95" i="30" s="1"/>
  <c r="Q23" i="31" s="1"/>
  <c r="M47" i="28"/>
  <c r="L47" i="28"/>
  <c r="K47" i="28"/>
  <c r="K71" i="28" s="1"/>
  <c r="K23" i="30" s="1"/>
  <c r="J47" i="28"/>
  <c r="J71" i="28" s="1"/>
  <c r="N46" i="28"/>
  <c r="M46" i="28"/>
  <c r="M70" i="28" s="1"/>
  <c r="M22" i="30" s="1"/>
  <c r="L46" i="28"/>
  <c r="K46" i="28"/>
  <c r="J46" i="28"/>
  <c r="N45" i="28"/>
  <c r="M45" i="28"/>
  <c r="M69" i="28" s="1"/>
  <c r="M21" i="30" s="1"/>
  <c r="M69" i="30" s="1"/>
  <c r="M93" i="30" s="1"/>
  <c r="P21" i="31" s="1"/>
  <c r="L45" i="28"/>
  <c r="K45" i="28"/>
  <c r="J45" i="28"/>
  <c r="J69" i="28" s="1"/>
  <c r="N44" i="28"/>
  <c r="N68" i="28" s="1"/>
  <c r="N20" i="30" s="1"/>
  <c r="M44" i="28"/>
  <c r="L44" i="28"/>
  <c r="L68" i="28" s="1"/>
  <c r="L20" i="30" s="1"/>
  <c r="K44" i="28"/>
  <c r="K68" i="28" s="1"/>
  <c r="K20" i="30" s="1"/>
  <c r="J44" i="28"/>
  <c r="J68" i="28" s="1"/>
  <c r="J20" i="30" s="1"/>
  <c r="N43" i="28"/>
  <c r="N67" i="28" s="1"/>
  <c r="N19" i="30" s="1"/>
  <c r="M43" i="28"/>
  <c r="L43" i="28"/>
  <c r="L67" i="28" s="1"/>
  <c r="L19" i="30" s="1"/>
  <c r="K43" i="28"/>
  <c r="K67" i="28" s="1"/>
  <c r="K19" i="30" s="1"/>
  <c r="J43" i="28"/>
  <c r="J67" i="28" s="1"/>
  <c r="N42" i="28"/>
  <c r="N66" i="28" s="1"/>
  <c r="M42" i="28"/>
  <c r="L42" i="28"/>
  <c r="L66" i="28" s="1"/>
  <c r="L18" i="30" s="1"/>
  <c r="K42" i="28"/>
  <c r="J42" i="28"/>
  <c r="N41" i="28"/>
  <c r="N65" i="28" s="1"/>
  <c r="M41" i="28"/>
  <c r="M65" i="28" s="1"/>
  <c r="L41" i="28"/>
  <c r="K41" i="28"/>
  <c r="J41" i="28"/>
  <c r="J65" i="28" s="1"/>
  <c r="J17" i="30" s="1"/>
  <c r="N40" i="28"/>
  <c r="N64" i="28" s="1"/>
  <c r="N16" i="30" s="1"/>
  <c r="M40" i="28"/>
  <c r="L40" i="28"/>
  <c r="K40" i="28"/>
  <c r="K64" i="28" s="1"/>
  <c r="K16" i="30" s="1"/>
  <c r="J40" i="28"/>
  <c r="J64" i="28" s="1"/>
  <c r="N39" i="28"/>
  <c r="M39" i="28"/>
  <c r="M63" i="28" s="1"/>
  <c r="M15" i="30" s="1"/>
  <c r="L39" i="28"/>
  <c r="L63" i="28" s="1"/>
  <c r="L15" i="30" s="1"/>
  <c r="K39" i="28"/>
  <c r="K63" i="28" s="1"/>
  <c r="K15" i="30" s="1"/>
  <c r="J39" i="28"/>
  <c r="J63" i="28" s="1"/>
  <c r="J15" i="30" s="1"/>
  <c r="N38" i="28"/>
  <c r="M38" i="28"/>
  <c r="M62" i="28" s="1"/>
  <c r="M14" i="30" s="1"/>
  <c r="L38" i="28"/>
  <c r="L62" i="28" s="1"/>
  <c r="L14" i="30" s="1"/>
  <c r="K38" i="28"/>
  <c r="J38" i="28"/>
  <c r="N37" i="28"/>
  <c r="M37" i="28"/>
  <c r="L37" i="28"/>
  <c r="L61" i="28" s="1"/>
  <c r="L13" i="30" s="1"/>
  <c r="K37" i="28"/>
  <c r="K61" i="28" s="1"/>
  <c r="K13" i="30" s="1"/>
  <c r="J37" i="28"/>
  <c r="J61" i="28" s="1"/>
  <c r="J13" i="30" s="1"/>
  <c r="N36" i="28"/>
  <c r="N60" i="28" s="1"/>
  <c r="M36" i="28"/>
  <c r="M60" i="28" s="1"/>
  <c r="L36" i="28"/>
  <c r="L60" i="28" s="1"/>
  <c r="K36" i="28"/>
  <c r="K60" i="28" s="1"/>
  <c r="K12" i="30" s="1"/>
  <c r="J36" i="28"/>
  <c r="J60" i="28" s="1"/>
  <c r="J12" i="30" s="1"/>
  <c r="N35" i="28"/>
  <c r="M35" i="28"/>
  <c r="L35" i="28"/>
  <c r="K35" i="28"/>
  <c r="K59" i="28" s="1"/>
  <c r="K11" i="30" s="1"/>
  <c r="J35" i="28"/>
  <c r="N34" i="28"/>
  <c r="N58" i="28" s="1"/>
  <c r="N10" i="30" s="1"/>
  <c r="M34" i="28"/>
  <c r="L34" i="28"/>
  <c r="L58" i="28" s="1"/>
  <c r="L10" i="30" s="1"/>
  <c r="K34" i="28"/>
  <c r="K58" i="28" s="1"/>
  <c r="J34" i="28"/>
  <c r="N33" i="28"/>
  <c r="N57" i="28" s="1"/>
  <c r="N9" i="30" s="1"/>
  <c r="M33" i="28"/>
  <c r="L33" i="28"/>
  <c r="K33" i="28"/>
  <c r="J33" i="28"/>
  <c r="J57" i="28" s="1"/>
  <c r="J9" i="30" s="1"/>
  <c r="Q27" i="28"/>
  <c r="Q75" i="28" s="1"/>
  <c r="Q27" i="30" s="1"/>
  <c r="Q75" i="30" s="1"/>
  <c r="Q99" i="30" s="1"/>
  <c r="T27" i="31" s="1"/>
  <c r="R22" i="28"/>
  <c r="R70" i="28" s="1"/>
  <c r="R22" i="30" s="1"/>
  <c r="Q22" i="28"/>
  <c r="Q70" i="28" s="1"/>
  <c r="Q22" i="30" s="1"/>
  <c r="O15" i="28"/>
  <c r="O63" i="28" s="1"/>
  <c r="O15" i="30" s="1"/>
  <c r="O63" i="30" s="1"/>
  <c r="O87" i="30" s="1"/>
  <c r="R15" i="31" s="1"/>
  <c r="A1" i="28"/>
  <c r="M10" i="15"/>
  <c r="A1" i="15"/>
  <c r="N40" i="13"/>
  <c r="A1" i="13"/>
  <c r="Q51" i="5"/>
  <c r="O46" i="5"/>
  <c r="P45" i="5"/>
  <c r="M44" i="5"/>
  <c r="O44" i="13" s="1"/>
  <c r="L44" i="5"/>
  <c r="N44" i="13" s="1"/>
  <c r="N43" i="5"/>
  <c r="P43" i="13" s="1"/>
  <c r="L34" i="5"/>
  <c r="N34" i="13" s="1"/>
  <c r="N58" i="13" s="1"/>
  <c r="N82" i="13" s="1"/>
  <c r="Q29" i="5"/>
  <c r="P29" i="5"/>
  <c r="O29" i="5"/>
  <c r="N29" i="5"/>
  <c r="M29" i="5"/>
  <c r="N53" i="5" s="1"/>
  <c r="P53" i="13" s="1"/>
  <c r="L29" i="5"/>
  <c r="K29" i="5"/>
  <c r="J29" i="5"/>
  <c r="Q28" i="5"/>
  <c r="P28" i="5"/>
  <c r="O28" i="5"/>
  <c r="N28" i="5"/>
  <c r="M28" i="5"/>
  <c r="O52" i="5" s="1"/>
  <c r="L28" i="5"/>
  <c r="K28" i="5"/>
  <c r="J28" i="5"/>
  <c r="Q27" i="5"/>
  <c r="P27" i="5"/>
  <c r="O27" i="5"/>
  <c r="N27" i="5"/>
  <c r="M27" i="5"/>
  <c r="L27" i="5"/>
  <c r="K27" i="5"/>
  <c r="J27" i="5"/>
  <c r="Q26" i="5"/>
  <c r="P26" i="5"/>
  <c r="O26" i="5"/>
  <c r="N26" i="5"/>
  <c r="M26" i="5"/>
  <c r="L26" i="5"/>
  <c r="K26" i="5"/>
  <c r="J26" i="5"/>
  <c r="Q25" i="5"/>
  <c r="P25" i="5"/>
  <c r="O25" i="5"/>
  <c r="N25" i="5"/>
  <c r="M25" i="5"/>
  <c r="L25" i="5"/>
  <c r="K25" i="5"/>
  <c r="J25" i="5"/>
  <c r="Q23" i="5"/>
  <c r="Q47" i="5" s="1"/>
  <c r="P23" i="5"/>
  <c r="O23" i="5"/>
  <c r="N23" i="5"/>
  <c r="M23" i="5"/>
  <c r="L23" i="5"/>
  <c r="K23" i="5"/>
  <c r="J23" i="5"/>
  <c r="Q22" i="5"/>
  <c r="P22" i="5"/>
  <c r="P46" i="5" s="1"/>
  <c r="O22" i="5"/>
  <c r="N22" i="5"/>
  <c r="N46" i="5" s="1"/>
  <c r="P46" i="13" s="1"/>
  <c r="M22" i="5"/>
  <c r="M46" i="5" s="1"/>
  <c r="O46" i="13" s="1"/>
  <c r="L22" i="5"/>
  <c r="K22" i="5"/>
  <c r="J22" i="5"/>
  <c r="Q21" i="5"/>
  <c r="P21" i="5"/>
  <c r="O21" i="5"/>
  <c r="N21" i="5"/>
  <c r="M21" i="5"/>
  <c r="L21" i="5"/>
  <c r="K21" i="5"/>
  <c r="J21" i="5"/>
  <c r="Q20" i="5"/>
  <c r="Q44" i="5" s="1"/>
  <c r="P20" i="5"/>
  <c r="O20" i="5"/>
  <c r="N20" i="5"/>
  <c r="M20" i="5"/>
  <c r="L20" i="5"/>
  <c r="K20" i="5"/>
  <c r="J20" i="5"/>
  <c r="Q19" i="5"/>
  <c r="P19" i="5"/>
  <c r="P43" i="5" s="1"/>
  <c r="O19" i="5"/>
  <c r="N19" i="5"/>
  <c r="M19" i="5"/>
  <c r="L19" i="5"/>
  <c r="K19" i="5"/>
  <c r="J19" i="5"/>
  <c r="L43" i="5" s="1"/>
  <c r="N43" i="13" s="1"/>
  <c r="Q18" i="5"/>
  <c r="P18" i="5"/>
  <c r="P42" i="5" s="1"/>
  <c r="O18" i="5"/>
  <c r="N18" i="5"/>
  <c r="M18" i="5"/>
  <c r="L18" i="5"/>
  <c r="L42" i="5" s="1"/>
  <c r="N42" i="13" s="1"/>
  <c r="K18" i="5"/>
  <c r="J18" i="5"/>
  <c r="Q17" i="5"/>
  <c r="Q41" i="5" s="1"/>
  <c r="P17" i="5"/>
  <c r="O17" i="5"/>
  <c r="N17" i="5"/>
  <c r="N41" i="5" s="1"/>
  <c r="P41" i="13" s="1"/>
  <c r="M17" i="5"/>
  <c r="L17" i="5"/>
  <c r="K17" i="5"/>
  <c r="J17" i="5"/>
  <c r="Q16" i="5"/>
  <c r="P16" i="5"/>
  <c r="P40" i="5" s="1"/>
  <c r="O16" i="5"/>
  <c r="N16" i="5"/>
  <c r="M16" i="5"/>
  <c r="M40" i="5" s="1"/>
  <c r="O40" i="13" s="1"/>
  <c r="L16" i="5"/>
  <c r="K16" i="5"/>
  <c r="J16" i="5"/>
  <c r="L40" i="5" s="1"/>
  <c r="Q15" i="5"/>
  <c r="P15" i="5"/>
  <c r="O15" i="5"/>
  <c r="N15" i="5"/>
  <c r="M15" i="5"/>
  <c r="L15" i="5"/>
  <c r="L39" i="5" s="1"/>
  <c r="N39" i="13" s="1"/>
  <c r="K15" i="5"/>
  <c r="J15" i="5"/>
  <c r="Q14" i="5"/>
  <c r="Q38" i="5" s="1"/>
  <c r="P14" i="5"/>
  <c r="O14" i="5"/>
  <c r="N14" i="5"/>
  <c r="M14" i="5"/>
  <c r="L14" i="5"/>
  <c r="L38" i="5" s="1"/>
  <c r="N38" i="13" s="1"/>
  <c r="K14" i="5"/>
  <c r="M38" i="5" s="1"/>
  <c r="O38" i="13" s="1"/>
  <c r="J14" i="5"/>
  <c r="Q13" i="5"/>
  <c r="P13" i="5"/>
  <c r="P37" i="5" s="1"/>
  <c r="O13" i="5"/>
  <c r="N13" i="5"/>
  <c r="M13" i="5"/>
  <c r="M37" i="5" s="1"/>
  <c r="O37" i="13" s="1"/>
  <c r="L13" i="5"/>
  <c r="K13" i="5"/>
  <c r="J13" i="5"/>
  <c r="L37" i="5" s="1"/>
  <c r="N37" i="13" s="1"/>
  <c r="Q11" i="5"/>
  <c r="Q35" i="5" s="1"/>
  <c r="P11" i="5"/>
  <c r="P35" i="5" s="1"/>
  <c r="O11" i="5"/>
  <c r="O35" i="5" s="1"/>
  <c r="N11" i="5"/>
  <c r="N35" i="5" s="1"/>
  <c r="P35" i="13" s="1"/>
  <c r="P59" i="13" s="1"/>
  <c r="P83" i="13" s="1"/>
  <c r="O11" i="15" s="1"/>
  <c r="M11" i="5"/>
  <c r="M35" i="5" s="1"/>
  <c r="O35" i="13" s="1"/>
  <c r="O59" i="13" s="1"/>
  <c r="O83" i="13" s="1"/>
  <c r="N11" i="15" s="1"/>
  <c r="L11" i="5"/>
  <c r="L35" i="5" s="1"/>
  <c r="N35" i="13" s="1"/>
  <c r="N59" i="13" s="1"/>
  <c r="N83" i="13" s="1"/>
  <c r="M11" i="15" s="1"/>
  <c r="K11" i="5"/>
  <c r="J11" i="5"/>
  <c r="Q10" i="5"/>
  <c r="Q34" i="5" s="1"/>
  <c r="P10" i="5"/>
  <c r="P34" i="5" s="1"/>
  <c r="O10" i="5"/>
  <c r="O34" i="5" s="1"/>
  <c r="N10" i="5"/>
  <c r="N34" i="5" s="1"/>
  <c r="P34" i="13" s="1"/>
  <c r="P58" i="13" s="1"/>
  <c r="P82" i="13" s="1"/>
  <c r="O10" i="15" s="1"/>
  <c r="M10" i="5"/>
  <c r="M34" i="5" s="1"/>
  <c r="O34" i="13" s="1"/>
  <c r="O58" i="13" s="1"/>
  <c r="O82" i="13" s="1"/>
  <c r="N10" i="15" s="1"/>
  <c r="L10" i="5"/>
  <c r="K10" i="5"/>
  <c r="J10" i="5"/>
  <c r="Q9" i="5"/>
  <c r="Q33" i="5" s="1"/>
  <c r="P9" i="5"/>
  <c r="P33" i="5" s="1"/>
  <c r="O9" i="5"/>
  <c r="N9" i="5"/>
  <c r="M9" i="5"/>
  <c r="L9" i="5"/>
  <c r="K9" i="5"/>
  <c r="J9" i="5"/>
  <c r="A1" i="5"/>
  <c r="L77" i="24"/>
  <c r="O76" i="24"/>
  <c r="R74" i="24"/>
  <c r="P74" i="24"/>
  <c r="L73" i="24"/>
  <c r="L72" i="24"/>
  <c r="R71" i="24"/>
  <c r="M70" i="24"/>
  <c r="J70" i="24"/>
  <c r="Q69" i="24"/>
  <c r="L69" i="24"/>
  <c r="L68" i="24"/>
  <c r="O65" i="24"/>
  <c r="R63" i="24"/>
  <c r="M62" i="24"/>
  <c r="L61" i="24"/>
  <c r="L60" i="24"/>
  <c r="R58" i="24"/>
  <c r="L57" i="24"/>
  <c r="R53" i="24"/>
  <c r="Q53" i="24"/>
  <c r="P53" i="24"/>
  <c r="O53" i="24"/>
  <c r="O77" i="24" s="1"/>
  <c r="N53" i="24"/>
  <c r="N77" i="24" s="1"/>
  <c r="P101" i="24" s="1"/>
  <c r="N29" i="13" s="1"/>
  <c r="M53" i="24"/>
  <c r="L53" i="24"/>
  <c r="K53" i="24"/>
  <c r="J53" i="24"/>
  <c r="R52" i="24"/>
  <c r="Q52" i="24"/>
  <c r="P52" i="24"/>
  <c r="O52" i="24"/>
  <c r="N52" i="24"/>
  <c r="M52" i="24"/>
  <c r="L52" i="24"/>
  <c r="L76" i="24" s="1"/>
  <c r="K52" i="24"/>
  <c r="K76" i="24" s="1"/>
  <c r="J52" i="24"/>
  <c r="R51" i="24"/>
  <c r="Q51" i="24"/>
  <c r="P51" i="24"/>
  <c r="O51" i="24"/>
  <c r="N51" i="24"/>
  <c r="M51" i="24"/>
  <c r="L51" i="24"/>
  <c r="K51" i="24"/>
  <c r="J51" i="24"/>
  <c r="R50" i="24"/>
  <c r="Q50" i="24"/>
  <c r="Q74" i="24" s="1"/>
  <c r="P50" i="24"/>
  <c r="O50" i="24"/>
  <c r="N50" i="24"/>
  <c r="M50" i="24"/>
  <c r="L50" i="24"/>
  <c r="K50" i="24"/>
  <c r="J50" i="24"/>
  <c r="R49" i="24"/>
  <c r="Q49" i="24"/>
  <c r="P49" i="24"/>
  <c r="O49" i="24"/>
  <c r="O73" i="24" s="1"/>
  <c r="N49" i="24"/>
  <c r="N73" i="24" s="1"/>
  <c r="M49" i="24"/>
  <c r="L49" i="24"/>
  <c r="K49" i="24"/>
  <c r="J49" i="24"/>
  <c r="R48" i="24"/>
  <c r="Q48" i="24"/>
  <c r="P48" i="24"/>
  <c r="O48" i="24"/>
  <c r="N48" i="24"/>
  <c r="M48" i="24"/>
  <c r="L48" i="24"/>
  <c r="K48" i="24"/>
  <c r="K72" i="24" s="1"/>
  <c r="M96" i="24" s="1"/>
  <c r="K24" i="13" s="1"/>
  <c r="J48" i="24"/>
  <c r="J72" i="24" s="1"/>
  <c r="R47" i="24"/>
  <c r="Q47" i="24"/>
  <c r="P47" i="24"/>
  <c r="O47" i="24"/>
  <c r="N47" i="24"/>
  <c r="M47" i="24"/>
  <c r="L47" i="24"/>
  <c r="K47" i="24"/>
  <c r="J47" i="24"/>
  <c r="R46" i="24"/>
  <c r="R70" i="24" s="1"/>
  <c r="Q46" i="24"/>
  <c r="Q70" i="24" s="1"/>
  <c r="P46" i="24"/>
  <c r="O46" i="24"/>
  <c r="N46" i="24"/>
  <c r="M46" i="24"/>
  <c r="L46" i="24"/>
  <c r="K46" i="24"/>
  <c r="J46" i="24"/>
  <c r="R45" i="24"/>
  <c r="Q45" i="24"/>
  <c r="P45" i="24"/>
  <c r="O45" i="24"/>
  <c r="O69" i="24" s="1"/>
  <c r="N45" i="24"/>
  <c r="N69" i="24" s="1"/>
  <c r="M45" i="24"/>
  <c r="L45" i="24"/>
  <c r="K45" i="24"/>
  <c r="J45" i="24"/>
  <c r="R44" i="24"/>
  <c r="Q44" i="24"/>
  <c r="P44" i="24"/>
  <c r="O44" i="24"/>
  <c r="N44" i="24"/>
  <c r="M44" i="24"/>
  <c r="L44" i="24"/>
  <c r="K44" i="24"/>
  <c r="K68" i="24" s="1"/>
  <c r="J44" i="24"/>
  <c r="R43" i="24"/>
  <c r="Q43" i="24"/>
  <c r="P43" i="24"/>
  <c r="O43" i="24"/>
  <c r="N43" i="24"/>
  <c r="M43" i="24"/>
  <c r="L43" i="24"/>
  <c r="K43" i="24"/>
  <c r="J43" i="24"/>
  <c r="R42" i="24"/>
  <c r="R66" i="24" s="1"/>
  <c r="Q42" i="24"/>
  <c r="Q66" i="24" s="1"/>
  <c r="P42" i="24"/>
  <c r="O42" i="24"/>
  <c r="N42" i="24"/>
  <c r="M42" i="24"/>
  <c r="L42" i="24"/>
  <c r="K42" i="24"/>
  <c r="J42" i="24"/>
  <c r="R41" i="24"/>
  <c r="Q41" i="24"/>
  <c r="P41" i="24"/>
  <c r="O41" i="24"/>
  <c r="N41" i="24"/>
  <c r="N65" i="24" s="1"/>
  <c r="P89" i="24" s="1"/>
  <c r="N17" i="13" s="1"/>
  <c r="M41" i="24"/>
  <c r="L41" i="24"/>
  <c r="K41" i="24"/>
  <c r="J41" i="24"/>
  <c r="R40" i="24"/>
  <c r="Q40" i="24"/>
  <c r="P40" i="24"/>
  <c r="O40" i="24"/>
  <c r="N40" i="24"/>
  <c r="M40" i="24"/>
  <c r="L40" i="24"/>
  <c r="L64" i="24" s="1"/>
  <c r="K40" i="24"/>
  <c r="K64" i="24" s="1"/>
  <c r="J40" i="24"/>
  <c r="R39" i="24"/>
  <c r="Q39" i="24"/>
  <c r="P39" i="24"/>
  <c r="O39" i="24"/>
  <c r="N39" i="24"/>
  <c r="M39" i="24"/>
  <c r="M63" i="24" s="1"/>
  <c r="L39" i="24"/>
  <c r="K39" i="24"/>
  <c r="J39" i="24"/>
  <c r="R38" i="24"/>
  <c r="R62" i="24" s="1"/>
  <c r="Q38" i="24"/>
  <c r="Q62" i="24" s="1"/>
  <c r="P38" i="24"/>
  <c r="P62" i="24" s="1"/>
  <c r="O38" i="24"/>
  <c r="N38" i="24"/>
  <c r="M38" i="24"/>
  <c r="L38" i="24"/>
  <c r="K38" i="24"/>
  <c r="J38" i="24"/>
  <c r="R37" i="24"/>
  <c r="Q37" i="24"/>
  <c r="P37" i="24"/>
  <c r="O37" i="24"/>
  <c r="O61" i="24" s="1"/>
  <c r="N37" i="24"/>
  <c r="N61" i="24" s="1"/>
  <c r="P85" i="24" s="1"/>
  <c r="N13" i="13" s="1"/>
  <c r="M37" i="24"/>
  <c r="L37" i="24"/>
  <c r="K37" i="24"/>
  <c r="J37" i="24"/>
  <c r="R36" i="24"/>
  <c r="Q36" i="24"/>
  <c r="P36" i="24"/>
  <c r="O36" i="24"/>
  <c r="N36" i="24"/>
  <c r="M36" i="24"/>
  <c r="L36" i="24"/>
  <c r="K36" i="24"/>
  <c r="K60" i="24" s="1"/>
  <c r="J36" i="24"/>
  <c r="R35" i="24"/>
  <c r="Q35" i="24"/>
  <c r="P35" i="24"/>
  <c r="O35" i="24"/>
  <c r="N35" i="24"/>
  <c r="M35" i="24"/>
  <c r="L35" i="24"/>
  <c r="K35" i="24"/>
  <c r="J35" i="24"/>
  <c r="R34" i="24"/>
  <c r="Q34" i="24"/>
  <c r="Q58" i="24" s="1"/>
  <c r="P34" i="24"/>
  <c r="P58" i="24" s="1"/>
  <c r="R82" i="24" s="1"/>
  <c r="P10" i="13" s="1"/>
  <c r="O34" i="24"/>
  <c r="N34" i="24"/>
  <c r="M34" i="24"/>
  <c r="L34" i="24"/>
  <c r="K34" i="24"/>
  <c r="J34" i="24"/>
  <c r="R33" i="24"/>
  <c r="Q33" i="24"/>
  <c r="P33" i="24"/>
  <c r="O33" i="24"/>
  <c r="O57" i="24" s="1"/>
  <c r="N33" i="24"/>
  <c r="N57" i="24" s="1"/>
  <c r="M33" i="24"/>
  <c r="L33" i="24"/>
  <c r="K33" i="24"/>
  <c r="J33" i="24"/>
  <c r="R29" i="24"/>
  <c r="R77" i="24" s="1"/>
  <c r="Q29" i="24"/>
  <c r="Q77" i="24" s="1"/>
  <c r="P29" i="24"/>
  <c r="P77" i="24" s="1"/>
  <c r="R101" i="24" s="1"/>
  <c r="P29" i="13" s="1"/>
  <c r="O29" i="24"/>
  <c r="N29" i="24"/>
  <c r="M29" i="24"/>
  <c r="L29" i="24"/>
  <c r="K29" i="24"/>
  <c r="K77" i="24" s="1"/>
  <c r="J29" i="24"/>
  <c r="R28" i="24"/>
  <c r="Q28" i="24"/>
  <c r="P28" i="24"/>
  <c r="O28" i="24"/>
  <c r="N28" i="24"/>
  <c r="N76" i="24" s="1"/>
  <c r="M28" i="24"/>
  <c r="L28" i="24"/>
  <c r="K28" i="24"/>
  <c r="J28" i="24"/>
  <c r="R27" i="24"/>
  <c r="Q27" i="24"/>
  <c r="Q75" i="24" s="1"/>
  <c r="P27" i="24"/>
  <c r="O27" i="24"/>
  <c r="N27" i="24"/>
  <c r="M27" i="24"/>
  <c r="L27" i="24"/>
  <c r="L75" i="24" s="1"/>
  <c r="K27" i="24"/>
  <c r="K75" i="24" s="1"/>
  <c r="J27" i="24"/>
  <c r="J75" i="24" s="1"/>
  <c r="R26" i="24"/>
  <c r="Q26" i="24"/>
  <c r="P26" i="24"/>
  <c r="O26" i="24"/>
  <c r="N26" i="24"/>
  <c r="N74" i="24" s="1"/>
  <c r="M26" i="24"/>
  <c r="L26" i="24"/>
  <c r="K26" i="24"/>
  <c r="J26" i="24"/>
  <c r="R25" i="24"/>
  <c r="R73" i="24" s="1"/>
  <c r="Q25" i="24"/>
  <c r="Q73" i="24" s="1"/>
  <c r="P25" i="24"/>
  <c r="O25" i="24"/>
  <c r="N25" i="24"/>
  <c r="M25" i="24"/>
  <c r="L25" i="24"/>
  <c r="K25" i="24"/>
  <c r="K73" i="24" s="1"/>
  <c r="J25" i="24"/>
  <c r="R24" i="24"/>
  <c r="Q24" i="24"/>
  <c r="P24" i="24"/>
  <c r="O24" i="24"/>
  <c r="O72" i="24" s="1"/>
  <c r="N24" i="24"/>
  <c r="N72" i="24" s="1"/>
  <c r="M24" i="24"/>
  <c r="M72" i="24" s="1"/>
  <c r="O96" i="24" s="1"/>
  <c r="M24" i="13" s="1"/>
  <c r="L24" i="24"/>
  <c r="K24" i="24"/>
  <c r="J24" i="24"/>
  <c r="R23" i="24"/>
  <c r="Q23" i="24"/>
  <c r="Q71" i="24" s="1"/>
  <c r="P23" i="24"/>
  <c r="O23" i="24"/>
  <c r="N23" i="24"/>
  <c r="M23" i="24"/>
  <c r="L23" i="24"/>
  <c r="L71" i="24" s="1"/>
  <c r="K23" i="24"/>
  <c r="K71" i="24" s="1"/>
  <c r="J23" i="24"/>
  <c r="R22" i="24"/>
  <c r="Q22" i="24"/>
  <c r="P22" i="24"/>
  <c r="O22" i="24"/>
  <c r="O70" i="24" s="1"/>
  <c r="N22" i="24"/>
  <c r="N70" i="24" s="1"/>
  <c r="M22" i="24"/>
  <c r="L22" i="24"/>
  <c r="K22" i="24"/>
  <c r="J22" i="24"/>
  <c r="R21" i="24"/>
  <c r="R69" i="24" s="1"/>
  <c r="Q21" i="24"/>
  <c r="P21" i="24"/>
  <c r="P69" i="24" s="1"/>
  <c r="O21" i="24"/>
  <c r="N21" i="24"/>
  <c r="M21" i="24"/>
  <c r="L21" i="24"/>
  <c r="K21" i="24"/>
  <c r="K69" i="24" s="1"/>
  <c r="J21" i="24"/>
  <c r="R20" i="24"/>
  <c r="Q20" i="24"/>
  <c r="P20" i="24"/>
  <c r="O20" i="24"/>
  <c r="O68" i="24" s="1"/>
  <c r="N20" i="24"/>
  <c r="N68" i="24" s="1"/>
  <c r="M20" i="24"/>
  <c r="L20" i="24"/>
  <c r="K20" i="24"/>
  <c r="J20" i="24"/>
  <c r="R19" i="24"/>
  <c r="Q19" i="24"/>
  <c r="Q67" i="24" s="1"/>
  <c r="P19" i="24"/>
  <c r="O19" i="24"/>
  <c r="N19" i="24"/>
  <c r="M19" i="24"/>
  <c r="L19" i="24"/>
  <c r="L67" i="24" s="1"/>
  <c r="K19" i="24"/>
  <c r="K67" i="24" s="1"/>
  <c r="J19" i="24"/>
  <c r="J67" i="24" s="1"/>
  <c r="R18" i="24"/>
  <c r="Q18" i="24"/>
  <c r="P18" i="24"/>
  <c r="O18" i="24"/>
  <c r="N18" i="24"/>
  <c r="N66" i="24" s="1"/>
  <c r="M18" i="24"/>
  <c r="L18" i="24"/>
  <c r="K18" i="24"/>
  <c r="J18" i="24"/>
  <c r="R17" i="24"/>
  <c r="R65" i="24" s="1"/>
  <c r="Q17" i="24"/>
  <c r="Q65" i="24" s="1"/>
  <c r="P17" i="24"/>
  <c r="P65" i="24" s="1"/>
  <c r="O17" i="24"/>
  <c r="N17" i="24"/>
  <c r="M17" i="24"/>
  <c r="L17" i="24"/>
  <c r="K17" i="24"/>
  <c r="K65" i="24" s="1"/>
  <c r="J17" i="24"/>
  <c r="R16" i="24"/>
  <c r="Q16" i="24"/>
  <c r="P16" i="24"/>
  <c r="O16" i="24"/>
  <c r="O64" i="24" s="1"/>
  <c r="N16" i="24"/>
  <c r="N64" i="24" s="1"/>
  <c r="M16" i="24"/>
  <c r="L16" i="24"/>
  <c r="K16" i="24"/>
  <c r="J16" i="24"/>
  <c r="R15" i="24"/>
  <c r="Q15" i="24"/>
  <c r="Q63" i="24" s="1"/>
  <c r="P15" i="24"/>
  <c r="O15" i="24"/>
  <c r="N15" i="24"/>
  <c r="M15" i="24"/>
  <c r="L15" i="24"/>
  <c r="L63" i="24" s="1"/>
  <c r="K15" i="24"/>
  <c r="K63" i="24" s="1"/>
  <c r="J15" i="24"/>
  <c r="R14" i="24"/>
  <c r="Q14" i="24"/>
  <c r="P14" i="24"/>
  <c r="O14" i="24"/>
  <c r="N14" i="24"/>
  <c r="N62" i="24" s="1"/>
  <c r="M14" i="24"/>
  <c r="L14" i="24"/>
  <c r="K14" i="24"/>
  <c r="J14" i="24"/>
  <c r="R13" i="24"/>
  <c r="R61" i="24" s="1"/>
  <c r="Q13" i="24"/>
  <c r="Q61" i="24" s="1"/>
  <c r="P13" i="24"/>
  <c r="P61" i="24" s="1"/>
  <c r="R85" i="24" s="1"/>
  <c r="P13" i="13" s="1"/>
  <c r="O13" i="24"/>
  <c r="N13" i="24"/>
  <c r="M13" i="24"/>
  <c r="L13" i="24"/>
  <c r="K13" i="24"/>
  <c r="K61" i="24" s="1"/>
  <c r="J13" i="24"/>
  <c r="R12" i="24"/>
  <c r="Q12" i="24"/>
  <c r="P12" i="24"/>
  <c r="O12" i="24"/>
  <c r="O60" i="24" s="1"/>
  <c r="N12" i="24"/>
  <c r="N60" i="24" s="1"/>
  <c r="M12" i="24"/>
  <c r="L12" i="24"/>
  <c r="K12" i="24"/>
  <c r="J12" i="24"/>
  <c r="R11" i="24"/>
  <c r="Q11" i="24"/>
  <c r="Q59" i="24" s="1"/>
  <c r="P11" i="24"/>
  <c r="O11" i="24"/>
  <c r="N11" i="24"/>
  <c r="M11" i="24"/>
  <c r="L11" i="24"/>
  <c r="L59" i="24" s="1"/>
  <c r="K11" i="24"/>
  <c r="K59" i="24" s="1"/>
  <c r="J11" i="24"/>
  <c r="J59" i="24" s="1"/>
  <c r="R10" i="24"/>
  <c r="Q10" i="24"/>
  <c r="P10" i="24"/>
  <c r="O10" i="24"/>
  <c r="N10" i="24"/>
  <c r="N58" i="24" s="1"/>
  <c r="M10" i="24"/>
  <c r="L10" i="24"/>
  <c r="K10" i="24"/>
  <c r="J10" i="24"/>
  <c r="J58" i="24" s="1"/>
  <c r="R9" i="24"/>
  <c r="R57" i="24" s="1"/>
  <c r="Q9" i="24"/>
  <c r="Q57" i="24" s="1"/>
  <c r="P9" i="24"/>
  <c r="O9" i="24"/>
  <c r="N9" i="24"/>
  <c r="M9" i="24"/>
  <c r="L9" i="24"/>
  <c r="K9" i="24"/>
  <c r="K57" i="24" s="1"/>
  <c r="J9" i="24"/>
  <c r="A1" i="24"/>
  <c r="I78" i="48"/>
  <c r="I77" i="48"/>
  <c r="I75" i="48"/>
  <c r="I74" i="48"/>
  <c r="I73" i="48"/>
  <c r="I72" i="48"/>
  <c r="I71" i="48"/>
  <c r="I70" i="48"/>
  <c r="I69" i="48"/>
  <c r="I68" i="48"/>
  <c r="U77" i="48" s="1"/>
  <c r="P12" i="5" s="1"/>
  <c r="I67" i="48"/>
  <c r="I66" i="48"/>
  <c r="I65" i="48"/>
  <c r="I64" i="48"/>
  <c r="I63" i="48"/>
  <c r="I62" i="48"/>
  <c r="I61" i="48"/>
  <c r="I60" i="48"/>
  <c r="I59" i="48"/>
  <c r="I58" i="48"/>
  <c r="I57" i="48"/>
  <c r="A1" i="48"/>
  <c r="I29" i="49" a="1"/>
  <c r="I29" i="49"/>
  <c r="U29" i="49" s="1"/>
  <c r="S29" i="28" s="1"/>
  <c r="S77" i="28" s="1"/>
  <c r="S29" i="30" s="1"/>
  <c r="S77" i="30" s="1"/>
  <c r="S101" i="30" s="1"/>
  <c r="V29" i="31" s="1"/>
  <c r="I28" i="49" a="1"/>
  <c r="I28" i="49"/>
  <c r="S28" i="49" s="1"/>
  <c r="Q28" i="28" s="1"/>
  <c r="Q76" i="28" s="1"/>
  <c r="Q28" i="30" s="1"/>
  <c r="U27" i="49"/>
  <c r="S27" i="28" s="1"/>
  <c r="S75" i="28" s="1"/>
  <c r="S27" i="30" s="1"/>
  <c r="S75" i="30" s="1"/>
  <c r="S99" i="30" s="1"/>
  <c r="V27" i="31" s="1"/>
  <c r="T27" i="49"/>
  <c r="R27" i="28" s="1"/>
  <c r="R75" i="28" s="1"/>
  <c r="R27" i="30" s="1"/>
  <c r="R75" i="30" s="1"/>
  <c r="R99" i="30" s="1"/>
  <c r="U27" i="31" s="1"/>
  <c r="S27" i="49"/>
  <c r="R27" i="49"/>
  <c r="P27" i="28" s="1"/>
  <c r="P75" i="28" s="1"/>
  <c r="P27" i="30" s="1"/>
  <c r="Q27" i="49"/>
  <c r="O27" i="28" s="1"/>
  <c r="O75" i="28" s="1"/>
  <c r="O27" i="30" s="1"/>
  <c r="I27" i="49" a="1"/>
  <c r="I27" i="49"/>
  <c r="I26" i="49" a="1"/>
  <c r="I26" i="49"/>
  <c r="U26" i="49" s="1"/>
  <c r="S26" i="28" s="1"/>
  <c r="S74" i="28" s="1"/>
  <c r="S26" i="30" s="1"/>
  <c r="U25" i="49"/>
  <c r="S25" i="28" s="1"/>
  <c r="S73" i="28" s="1"/>
  <c r="S25" i="30" s="1"/>
  <c r="S73" i="30" s="1"/>
  <c r="S97" i="30" s="1"/>
  <c r="V25" i="31" s="1"/>
  <c r="T25" i="49"/>
  <c r="R25" i="28" s="1"/>
  <c r="R73" i="28" s="1"/>
  <c r="R25" i="30" s="1"/>
  <c r="S25" i="49"/>
  <c r="Q25" i="28" s="1"/>
  <c r="Q73" i="28" s="1"/>
  <c r="Q25" i="30" s="1"/>
  <c r="Q73" i="30" s="1"/>
  <c r="Q97" i="30" s="1"/>
  <c r="T25" i="31" s="1"/>
  <c r="I25" i="49" a="1"/>
  <c r="I25" i="49" s="1"/>
  <c r="I24" i="49" a="1"/>
  <c r="I24" i="49"/>
  <c r="Q24" i="49" s="1"/>
  <c r="O24" i="28" s="1"/>
  <c r="O72" i="28" s="1"/>
  <c r="O24" i="30" s="1"/>
  <c r="O72" i="30" s="1"/>
  <c r="O96" i="30" s="1"/>
  <c r="R24" i="31" s="1"/>
  <c r="I23" i="49" a="1"/>
  <c r="I23" i="49"/>
  <c r="R23" i="49" s="1"/>
  <c r="P23" i="28" s="1"/>
  <c r="P71" i="28" s="1"/>
  <c r="P23" i="30" s="1"/>
  <c r="P71" i="30" s="1"/>
  <c r="P95" i="30" s="1"/>
  <c r="S23" i="31" s="1"/>
  <c r="U22" i="49"/>
  <c r="S22" i="28" s="1"/>
  <c r="S70" i="28" s="1"/>
  <c r="S22" i="30" s="1"/>
  <c r="T22" i="49"/>
  <c r="S22" i="49"/>
  <c r="R22" i="49"/>
  <c r="P22" i="28" s="1"/>
  <c r="P70" i="28" s="1"/>
  <c r="P22" i="30" s="1"/>
  <c r="Q22" i="49"/>
  <c r="O22" i="28" s="1"/>
  <c r="O70" i="28" s="1"/>
  <c r="O22" i="30" s="1"/>
  <c r="I22" i="49" a="1"/>
  <c r="I22" i="49" s="1"/>
  <c r="I21" i="49" a="1"/>
  <c r="I21" i="49"/>
  <c r="Q21" i="49" s="1"/>
  <c r="O21" i="28" s="1"/>
  <c r="O69" i="28" s="1"/>
  <c r="O21" i="30" s="1"/>
  <c r="O69" i="30" s="1"/>
  <c r="O93" i="30" s="1"/>
  <c r="R21" i="31" s="1"/>
  <c r="U20" i="49"/>
  <c r="S20" i="28" s="1"/>
  <c r="S68" i="28" s="1"/>
  <c r="S20" i="30" s="1"/>
  <c r="T20" i="49"/>
  <c r="R20" i="28" s="1"/>
  <c r="R68" i="28" s="1"/>
  <c r="R20" i="30" s="1"/>
  <c r="S20" i="49"/>
  <c r="Q20" i="28" s="1"/>
  <c r="Q68" i="28" s="1"/>
  <c r="Q20" i="30" s="1"/>
  <c r="I20" i="49" a="1"/>
  <c r="I20" i="49"/>
  <c r="Q20" i="49" s="1"/>
  <c r="O20" i="28" s="1"/>
  <c r="O68" i="28" s="1"/>
  <c r="O20" i="30" s="1"/>
  <c r="I19" i="49" a="1"/>
  <c r="I19" i="49"/>
  <c r="I18" i="49" a="1"/>
  <c r="I18" i="49"/>
  <c r="U18" i="49" s="1"/>
  <c r="S18" i="28" s="1"/>
  <c r="S66" i="28" s="1"/>
  <c r="S18" i="30" s="1"/>
  <c r="I17" i="49" a="1"/>
  <c r="I17" i="49"/>
  <c r="I16" i="49" a="1"/>
  <c r="I16" i="49"/>
  <c r="S16" i="49" s="1"/>
  <c r="Q16" i="28" s="1"/>
  <c r="Q64" i="28" s="1"/>
  <c r="Q16" i="30" s="1"/>
  <c r="Q64" i="30" s="1"/>
  <c r="Q88" i="30" s="1"/>
  <c r="T16" i="31" s="1"/>
  <c r="U15" i="49"/>
  <c r="S15" i="28" s="1"/>
  <c r="S63" i="28" s="1"/>
  <c r="S15" i="30" s="1"/>
  <c r="S63" i="30" s="1"/>
  <c r="S87" i="30" s="1"/>
  <c r="V15" i="31" s="1"/>
  <c r="T15" i="49"/>
  <c r="R15" i="28" s="1"/>
  <c r="R63" i="28" s="1"/>
  <c r="R15" i="30" s="1"/>
  <c r="S15" i="49"/>
  <c r="Q15" i="28" s="1"/>
  <c r="R15" i="49"/>
  <c r="P15" i="28" s="1"/>
  <c r="Q15" i="49"/>
  <c r="I15" i="49" a="1"/>
  <c r="I15" i="49"/>
  <c r="I14" i="49" a="1"/>
  <c r="I14" i="49"/>
  <c r="T14" i="49" s="1"/>
  <c r="R14" i="28" s="1"/>
  <c r="R62" i="28" s="1"/>
  <c r="R14" i="30" s="1"/>
  <c r="I13" i="49" a="1"/>
  <c r="I13" i="49" s="1"/>
  <c r="U13" i="49" s="1"/>
  <c r="S13" i="28" s="1"/>
  <c r="S61" i="28" s="1"/>
  <c r="S13" i="30" s="1"/>
  <c r="S61" i="30" s="1"/>
  <c r="S85" i="30" s="1"/>
  <c r="V13" i="31" s="1"/>
  <c r="I12" i="49" a="1"/>
  <c r="I12" i="49"/>
  <c r="U12" i="49" s="1"/>
  <c r="S12" i="28" s="1"/>
  <c r="S60" i="28" s="1"/>
  <c r="S12" i="30" s="1"/>
  <c r="S60" i="30" s="1"/>
  <c r="S84" i="30" s="1"/>
  <c r="V12" i="31" s="1"/>
  <c r="U11" i="49"/>
  <c r="S11" i="28" s="1"/>
  <c r="S59" i="28" s="1"/>
  <c r="S11" i="30" s="1"/>
  <c r="S59" i="30" s="1"/>
  <c r="S83" i="30" s="1"/>
  <c r="V11" i="31" s="1"/>
  <c r="R11" i="49"/>
  <c r="P11" i="28" s="1"/>
  <c r="P59" i="28" s="1"/>
  <c r="P11" i="30" s="1"/>
  <c r="P59" i="30" s="1"/>
  <c r="P83" i="30" s="1"/>
  <c r="S11" i="31" s="1"/>
  <c r="I11" i="49" a="1"/>
  <c r="I11" i="49"/>
  <c r="U10" i="49"/>
  <c r="S10" i="28" s="1"/>
  <c r="S58" i="28" s="1"/>
  <c r="S10" i="30" s="1"/>
  <c r="I10" i="49" a="1"/>
  <c r="I10" i="49" s="1"/>
  <c r="T10" i="49" s="1"/>
  <c r="R10" i="28" s="1"/>
  <c r="R58" i="28" s="1"/>
  <c r="R10" i="30" s="1"/>
  <c r="R58" i="30" s="1"/>
  <c r="R82" i="30" s="1"/>
  <c r="U10" i="31" s="1"/>
  <c r="I9" i="49" a="1"/>
  <c r="I9" i="49" s="1"/>
  <c r="T9" i="49" s="1"/>
  <c r="R9" i="28" s="1"/>
  <c r="R57" i="28" s="1"/>
  <c r="R9" i="30" s="1"/>
  <c r="R57" i="30" s="1"/>
  <c r="R81" i="30" s="1"/>
  <c r="U9" i="31" s="1"/>
  <c r="A1" i="49"/>
  <c r="A1" i="50"/>
  <c r="Q76" i="30" l="1"/>
  <c r="Q100" i="30" s="1"/>
  <c r="T28" i="31" s="1"/>
  <c r="J75" i="30"/>
  <c r="J99" i="30" s="1"/>
  <c r="M27" i="31" s="1"/>
  <c r="K75" i="30"/>
  <c r="K99" i="30" s="1"/>
  <c r="N27" i="31" s="1"/>
  <c r="S74" i="30"/>
  <c r="S98" i="30" s="1"/>
  <c r="V26" i="31" s="1"/>
  <c r="N75" i="30"/>
  <c r="N99" i="30" s="1"/>
  <c r="Q27" i="31" s="1"/>
  <c r="S66" i="30"/>
  <c r="S90" i="30" s="1"/>
  <c r="V18" i="31" s="1"/>
  <c r="S58" i="30"/>
  <c r="S82" i="30" s="1"/>
  <c r="V10" i="31" s="1"/>
  <c r="R68" i="30"/>
  <c r="R92" i="30" s="1"/>
  <c r="U20" i="31" s="1"/>
  <c r="K67" i="30"/>
  <c r="K91" i="30" s="1"/>
  <c r="N19" i="31" s="1"/>
  <c r="J72" i="30"/>
  <c r="J96" i="30" s="1"/>
  <c r="M24" i="31" s="1"/>
  <c r="S70" i="30"/>
  <c r="S94" i="30" s="1"/>
  <c r="V22" i="31" s="1"/>
  <c r="R62" i="30"/>
  <c r="R86" i="30" s="1"/>
  <c r="U14" i="31" s="1"/>
  <c r="M39" i="5"/>
  <c r="O39" i="13" s="1"/>
  <c r="M45" i="5"/>
  <c r="O45" i="13" s="1"/>
  <c r="Q14" i="49"/>
  <c r="O14" i="28" s="1"/>
  <c r="O62" i="28" s="1"/>
  <c r="O14" i="30" s="1"/>
  <c r="O62" i="30" s="1"/>
  <c r="O86" i="30" s="1"/>
  <c r="R14" i="31" s="1"/>
  <c r="O94" i="24"/>
  <c r="M22" i="13" s="1"/>
  <c r="N49" i="5"/>
  <c r="P49" i="13" s="1"/>
  <c r="R9" i="49"/>
  <c r="P9" i="28" s="1"/>
  <c r="P57" i="28" s="1"/>
  <c r="P9" i="30" s="1"/>
  <c r="P57" i="30" s="1"/>
  <c r="P81" i="30" s="1"/>
  <c r="S9" i="31" s="1"/>
  <c r="R14" i="49"/>
  <c r="P14" i="28" s="1"/>
  <c r="P62" i="28" s="1"/>
  <c r="P14" i="30" s="1"/>
  <c r="P62" i="30" s="1"/>
  <c r="P86" i="30" s="1"/>
  <c r="S14" i="31" s="1"/>
  <c r="Q16" i="49"/>
  <c r="O16" i="28" s="1"/>
  <c r="O64" i="28" s="1"/>
  <c r="O16" i="30" s="1"/>
  <c r="O64" i="30" s="1"/>
  <c r="O88" i="30" s="1"/>
  <c r="R16" i="31" s="1"/>
  <c r="U19" i="49"/>
  <c r="S19" i="28" s="1"/>
  <c r="S67" i="28" s="1"/>
  <c r="S19" i="30" s="1"/>
  <c r="S67" i="30" s="1"/>
  <c r="S91" i="30" s="1"/>
  <c r="V19" i="31" s="1"/>
  <c r="T19" i="49"/>
  <c r="R19" i="28" s="1"/>
  <c r="R67" i="28" s="1"/>
  <c r="R19" i="30" s="1"/>
  <c r="R67" i="30" s="1"/>
  <c r="R91" i="30" s="1"/>
  <c r="U19" i="31" s="1"/>
  <c r="S19" i="49"/>
  <c r="Q19" i="28" s="1"/>
  <c r="Q67" i="28" s="1"/>
  <c r="Q19" i="30" s="1"/>
  <c r="Q67" i="30" s="1"/>
  <c r="Q91" i="30" s="1"/>
  <c r="T19" i="31" s="1"/>
  <c r="S26" i="49"/>
  <c r="Q26" i="28" s="1"/>
  <c r="Q74" i="28" s="1"/>
  <c r="Q26" i="30" s="1"/>
  <c r="Q74" i="30" s="1"/>
  <c r="Q98" i="30" s="1"/>
  <c r="T26" i="31" s="1"/>
  <c r="L99" i="24"/>
  <c r="J27" i="13" s="1"/>
  <c r="N65" i="30"/>
  <c r="N89" i="30" s="1"/>
  <c r="Q17" i="31" s="1"/>
  <c r="S14" i="49"/>
  <c r="Q14" i="28" s="1"/>
  <c r="Q62" i="28" s="1"/>
  <c r="Q14" i="30" s="1"/>
  <c r="Q62" i="30" s="1"/>
  <c r="Q86" i="30" s="1"/>
  <c r="T14" i="31" s="1"/>
  <c r="P100" i="24"/>
  <c r="N28" i="13" s="1"/>
  <c r="L51" i="5"/>
  <c r="N51" i="13" s="1"/>
  <c r="M76" i="30"/>
  <c r="M100" i="30" s="1"/>
  <c r="P28" i="31" s="1"/>
  <c r="K71" i="30"/>
  <c r="K95" i="30" s="1"/>
  <c r="N23" i="31" s="1"/>
  <c r="K68" i="30"/>
  <c r="K92" i="30" s="1"/>
  <c r="N20" i="31" s="1"/>
  <c r="M73" i="30"/>
  <c r="M97" i="30" s="1"/>
  <c r="P25" i="31" s="1"/>
  <c r="Q10" i="49"/>
  <c r="O10" i="28" s="1"/>
  <c r="O58" i="28" s="1"/>
  <c r="O10" i="30" s="1"/>
  <c r="O58" i="30" s="1"/>
  <c r="O82" i="30" s="1"/>
  <c r="R10" i="31" s="1"/>
  <c r="R12" i="49"/>
  <c r="P12" i="28" s="1"/>
  <c r="P60" i="28" s="1"/>
  <c r="P12" i="30" s="1"/>
  <c r="P60" i="30" s="1"/>
  <c r="P84" i="30" s="1"/>
  <c r="S12" i="31" s="1"/>
  <c r="R19" i="49"/>
  <c r="P19" i="28" s="1"/>
  <c r="P67" i="28" s="1"/>
  <c r="P19" i="30" s="1"/>
  <c r="P67" i="30" s="1"/>
  <c r="P91" i="30" s="1"/>
  <c r="S19" i="31" s="1"/>
  <c r="S24" i="49"/>
  <c r="Q24" i="28" s="1"/>
  <c r="Q72" i="28" s="1"/>
  <c r="Q24" i="30" s="1"/>
  <c r="Q72" i="30" s="1"/>
  <c r="Q96" i="30" s="1"/>
  <c r="T24" i="31" s="1"/>
  <c r="M67" i="24"/>
  <c r="M91" i="24" s="1"/>
  <c r="K19" i="13" s="1"/>
  <c r="P38" i="5"/>
  <c r="N38" i="5"/>
  <c r="P38" i="13" s="1"/>
  <c r="P62" i="13" s="1"/>
  <c r="P86" i="13" s="1"/>
  <c r="O14" i="15" s="1"/>
  <c r="O38" i="5"/>
  <c r="P51" i="5"/>
  <c r="N51" i="5"/>
  <c r="P51" i="13" s="1"/>
  <c r="P75" i="13" s="1"/>
  <c r="P99" i="13" s="1"/>
  <c r="O27" i="15" s="1"/>
  <c r="P70" i="30"/>
  <c r="P94" i="30" s="1"/>
  <c r="S22" i="31" s="1"/>
  <c r="T24" i="49"/>
  <c r="R24" i="28" s="1"/>
  <c r="R72" i="28" s="1"/>
  <c r="R24" i="30" s="1"/>
  <c r="R72" i="30" s="1"/>
  <c r="R96" i="30" s="1"/>
  <c r="U24" i="31" s="1"/>
  <c r="K57" i="30"/>
  <c r="K81" i="30" s="1"/>
  <c r="N9" i="31" s="1"/>
  <c r="K33" i="31" s="1"/>
  <c r="M59" i="30"/>
  <c r="M83" i="30" s="1"/>
  <c r="P11" i="31" s="1"/>
  <c r="K73" i="30"/>
  <c r="K97" i="30" s="1"/>
  <c r="N25" i="31" s="1"/>
  <c r="S10" i="49"/>
  <c r="Q10" i="28" s="1"/>
  <c r="Q58" i="28" s="1"/>
  <c r="Q10" i="30" s="1"/>
  <c r="Q58" i="30" s="1"/>
  <c r="Q82" i="30" s="1"/>
  <c r="T10" i="31" s="1"/>
  <c r="T12" i="49"/>
  <c r="R12" i="28" s="1"/>
  <c r="R60" i="28" s="1"/>
  <c r="R12" i="30" s="1"/>
  <c r="R60" i="30" s="1"/>
  <c r="R84" i="30" s="1"/>
  <c r="U12" i="31" s="1"/>
  <c r="T29" i="49"/>
  <c r="R29" i="28" s="1"/>
  <c r="R77" i="28" s="1"/>
  <c r="R29" i="30" s="1"/>
  <c r="R77" i="30" s="1"/>
  <c r="R101" i="30" s="1"/>
  <c r="U29" i="31" s="1"/>
  <c r="K61" i="30"/>
  <c r="K85" i="30" s="1"/>
  <c r="N13" i="31" s="1"/>
  <c r="R13" i="49"/>
  <c r="P13" i="28" s="1"/>
  <c r="P61" i="28" s="1"/>
  <c r="P13" i="30" s="1"/>
  <c r="P61" i="30" s="1"/>
  <c r="P85" i="30" s="1"/>
  <c r="S13" i="31" s="1"/>
  <c r="Q13" i="49"/>
  <c r="O13" i="28" s="1"/>
  <c r="O61" i="28" s="1"/>
  <c r="O13" i="30" s="1"/>
  <c r="O61" i="30" s="1"/>
  <c r="O85" i="30" s="1"/>
  <c r="R13" i="31" s="1"/>
  <c r="T13" i="49"/>
  <c r="R13" i="28" s="1"/>
  <c r="R61" i="28" s="1"/>
  <c r="R13" i="30" s="1"/>
  <c r="R61" i="30" s="1"/>
  <c r="R85" i="30" s="1"/>
  <c r="U13" i="31" s="1"/>
  <c r="S13" i="49"/>
  <c r="Q13" i="28" s="1"/>
  <c r="Q61" i="28" s="1"/>
  <c r="Q13" i="30" s="1"/>
  <c r="S18" i="49"/>
  <c r="Q18" i="28" s="1"/>
  <c r="Q66" i="28" s="1"/>
  <c r="Q18" i="30" s="1"/>
  <c r="Q66" i="30" s="1"/>
  <c r="Q90" i="30" s="1"/>
  <c r="T18" i="31" s="1"/>
  <c r="K34" i="31" s="1"/>
  <c r="R18" i="49"/>
  <c r="P18" i="28" s="1"/>
  <c r="P66" i="28" s="1"/>
  <c r="P18" i="30" s="1"/>
  <c r="P66" i="30" s="1"/>
  <c r="P90" i="30" s="1"/>
  <c r="S18" i="31" s="1"/>
  <c r="Q68" i="30"/>
  <c r="Q92" i="30" s="1"/>
  <c r="T20" i="31" s="1"/>
  <c r="P97" i="24"/>
  <c r="N25" i="13" s="1"/>
  <c r="M100" i="24"/>
  <c r="K28" i="13" s="1"/>
  <c r="R73" i="30"/>
  <c r="R97" i="30" s="1"/>
  <c r="U25" i="31" s="1"/>
  <c r="K69" i="30"/>
  <c r="K93" i="30" s="1"/>
  <c r="N21" i="31" s="1"/>
  <c r="T23" i="49"/>
  <c r="R23" i="28" s="1"/>
  <c r="R71" i="28" s="1"/>
  <c r="R23" i="30" s="1"/>
  <c r="R71" i="30" s="1"/>
  <c r="R95" i="30" s="1"/>
  <c r="U23" i="31" s="1"/>
  <c r="S23" i="49"/>
  <c r="Q23" i="28" s="1"/>
  <c r="Q71" i="28" s="1"/>
  <c r="Q23" i="30" s="1"/>
  <c r="Q71" i="30" s="1"/>
  <c r="Q95" i="30" s="1"/>
  <c r="T23" i="31" s="1"/>
  <c r="Q23" i="49"/>
  <c r="O23" i="28" s="1"/>
  <c r="O71" i="28" s="1"/>
  <c r="O23" i="30" s="1"/>
  <c r="O71" i="30" s="1"/>
  <c r="O95" i="30" s="1"/>
  <c r="R23" i="31" s="1"/>
  <c r="K59" i="30"/>
  <c r="K83" i="30" s="1"/>
  <c r="N11" i="31" s="1"/>
  <c r="Q18" i="49"/>
  <c r="O18" i="28" s="1"/>
  <c r="O66" i="28" s="1"/>
  <c r="O18" i="30" s="1"/>
  <c r="O66" i="30" s="1"/>
  <c r="O90" i="30" s="1"/>
  <c r="R18" i="31" s="1"/>
  <c r="S68" i="30"/>
  <c r="S92" i="30" s="1"/>
  <c r="V20" i="31" s="1"/>
  <c r="U28" i="49"/>
  <c r="S28" i="28" s="1"/>
  <c r="S76" i="28" s="1"/>
  <c r="S28" i="30" s="1"/>
  <c r="S76" i="30" s="1"/>
  <c r="S100" i="30" s="1"/>
  <c r="V28" i="31" s="1"/>
  <c r="T28" i="49"/>
  <c r="R28" i="28" s="1"/>
  <c r="R76" i="28" s="1"/>
  <c r="R28" i="30" s="1"/>
  <c r="R76" i="30" s="1"/>
  <c r="R100" i="30" s="1"/>
  <c r="U28" i="31" s="1"/>
  <c r="R28" i="49"/>
  <c r="P28" i="28" s="1"/>
  <c r="P76" i="28" s="1"/>
  <c r="P28" i="30" s="1"/>
  <c r="P76" i="30" s="1"/>
  <c r="P100" i="30" s="1"/>
  <c r="S28" i="31" s="1"/>
  <c r="Q28" i="49"/>
  <c r="O28" i="28" s="1"/>
  <c r="O76" i="28" s="1"/>
  <c r="O28" i="30" s="1"/>
  <c r="O76" i="30" s="1"/>
  <c r="O100" i="30" s="1"/>
  <c r="R28" i="31" s="1"/>
  <c r="U9" i="49"/>
  <c r="S9" i="28" s="1"/>
  <c r="S57" i="28" s="1"/>
  <c r="S9" i="30" s="1"/>
  <c r="S57" i="30" s="1"/>
  <c r="S81" i="30" s="1"/>
  <c r="V9" i="31" s="1"/>
  <c r="S9" i="49"/>
  <c r="Q9" i="28" s="1"/>
  <c r="Q57" i="28" s="1"/>
  <c r="Q9" i="30" s="1"/>
  <c r="Q57" i="30" s="1"/>
  <c r="Q81" i="30" s="1"/>
  <c r="T9" i="31" s="1"/>
  <c r="U16" i="49"/>
  <c r="S16" i="28" s="1"/>
  <c r="S64" i="28" s="1"/>
  <c r="S16" i="30" s="1"/>
  <c r="S64" i="30" s="1"/>
  <c r="S88" i="30" s="1"/>
  <c r="V16" i="31" s="1"/>
  <c r="T16" i="49"/>
  <c r="R16" i="28" s="1"/>
  <c r="R64" i="28" s="1"/>
  <c r="R16" i="30" s="1"/>
  <c r="R64" i="30" s="1"/>
  <c r="R88" i="30" s="1"/>
  <c r="U16" i="31" s="1"/>
  <c r="R16" i="49"/>
  <c r="P16" i="28" s="1"/>
  <c r="P64" i="28" s="1"/>
  <c r="P16" i="30" s="1"/>
  <c r="P64" i="30" s="1"/>
  <c r="P88" i="30" s="1"/>
  <c r="S16" i="31" s="1"/>
  <c r="T18" i="49"/>
  <c r="R18" i="28" s="1"/>
  <c r="R66" i="28" s="1"/>
  <c r="R18" i="30" s="1"/>
  <c r="R66" i="30" s="1"/>
  <c r="R90" i="30" s="1"/>
  <c r="U18" i="31" s="1"/>
  <c r="U21" i="49"/>
  <c r="S21" i="28" s="1"/>
  <c r="S69" i="28" s="1"/>
  <c r="S21" i="30" s="1"/>
  <c r="S69" i="30" s="1"/>
  <c r="S93" i="30" s="1"/>
  <c r="V21" i="31" s="1"/>
  <c r="S21" i="49"/>
  <c r="Q21" i="28" s="1"/>
  <c r="Q69" i="28" s="1"/>
  <c r="Q21" i="30" s="1"/>
  <c r="Q69" i="30" s="1"/>
  <c r="Q93" i="30" s="1"/>
  <c r="T21" i="31" s="1"/>
  <c r="T21" i="49"/>
  <c r="R21" i="28" s="1"/>
  <c r="R69" i="28" s="1"/>
  <c r="R21" i="30" s="1"/>
  <c r="R69" i="30" s="1"/>
  <c r="R93" i="30" s="1"/>
  <c r="U21" i="31" s="1"/>
  <c r="T26" i="49"/>
  <c r="R26" i="28" s="1"/>
  <c r="R74" i="28" s="1"/>
  <c r="R26" i="30" s="1"/>
  <c r="R74" i="30" s="1"/>
  <c r="R98" i="30" s="1"/>
  <c r="U26" i="31" s="1"/>
  <c r="R26" i="49"/>
  <c r="P26" i="28" s="1"/>
  <c r="P74" i="28" s="1"/>
  <c r="P26" i="30" s="1"/>
  <c r="P74" i="30" s="1"/>
  <c r="P98" i="30" s="1"/>
  <c r="S26" i="31" s="1"/>
  <c r="Q26" i="49"/>
  <c r="O26" i="28" s="1"/>
  <c r="O74" i="28" s="1"/>
  <c r="O26" i="30" s="1"/>
  <c r="O74" i="30" s="1"/>
  <c r="O98" i="30" s="1"/>
  <c r="R26" i="31" s="1"/>
  <c r="Q37" i="5"/>
  <c r="Q40" i="5"/>
  <c r="M42" i="5"/>
  <c r="O42" i="13" s="1"/>
  <c r="Q43" i="5"/>
  <c r="Q46" i="5"/>
  <c r="O45" i="5"/>
  <c r="J68" i="30"/>
  <c r="J92" i="30" s="1"/>
  <c r="M20" i="31" s="1"/>
  <c r="M62" i="30"/>
  <c r="M86" i="30" s="1"/>
  <c r="P14" i="31" s="1"/>
  <c r="Q9" i="49"/>
  <c r="O9" i="28" s="1"/>
  <c r="O57" i="28" s="1"/>
  <c r="O9" i="30" s="1"/>
  <c r="O57" i="30" s="1"/>
  <c r="O81" i="30" s="1"/>
  <c r="R9" i="31" s="1"/>
  <c r="K43" i="31" s="1"/>
  <c r="U23" i="49"/>
  <c r="S23" i="28" s="1"/>
  <c r="S71" i="28" s="1"/>
  <c r="S23" i="30" s="1"/>
  <c r="S71" i="30" s="1"/>
  <c r="S95" i="30" s="1"/>
  <c r="V23" i="31" s="1"/>
  <c r="Q61" i="30"/>
  <c r="Q85" i="30" s="1"/>
  <c r="T13" i="31" s="1"/>
  <c r="N63" i="30"/>
  <c r="N87" i="30" s="1"/>
  <c r="Q15" i="31" s="1"/>
  <c r="O49" i="5"/>
  <c r="R21" i="49"/>
  <c r="P21" i="28" s="1"/>
  <c r="P69" i="28" s="1"/>
  <c r="P21" i="30" s="1"/>
  <c r="P69" i="30" s="1"/>
  <c r="P93" i="30" s="1"/>
  <c r="S21" i="31" s="1"/>
  <c r="P84" i="24"/>
  <c r="N12" i="13" s="1"/>
  <c r="L41" i="5"/>
  <c r="N41" i="13" s="1"/>
  <c r="R70" i="30"/>
  <c r="R94" i="30" s="1"/>
  <c r="U22" i="31" s="1"/>
  <c r="K66" i="30"/>
  <c r="K90" i="30" s="1"/>
  <c r="N18" i="31" s="1"/>
  <c r="L73" i="30"/>
  <c r="L97" i="30" s="1"/>
  <c r="O25" i="31" s="1"/>
  <c r="N76" i="30"/>
  <c r="N100" i="30" s="1"/>
  <c r="Q28" i="31" s="1"/>
  <c r="Q12" i="49"/>
  <c r="O12" i="28" s="1"/>
  <c r="O60" i="28" s="1"/>
  <c r="O12" i="30" s="1"/>
  <c r="O60" i="30" s="1"/>
  <c r="O84" i="30" s="1"/>
  <c r="R12" i="31" s="1"/>
  <c r="U14" i="49"/>
  <c r="S14" i="28" s="1"/>
  <c r="S62" i="28" s="1"/>
  <c r="S14" i="30" s="1"/>
  <c r="S62" i="30" s="1"/>
  <c r="S86" i="30" s="1"/>
  <c r="V14" i="31" s="1"/>
  <c r="T17" i="49"/>
  <c r="R17" i="28" s="1"/>
  <c r="R65" i="28" s="1"/>
  <c r="R17" i="30" s="1"/>
  <c r="R65" i="30" s="1"/>
  <c r="R89" i="30" s="1"/>
  <c r="U17" i="31" s="1"/>
  <c r="S17" i="49"/>
  <c r="Q17" i="28" s="1"/>
  <c r="Q65" i="28" s="1"/>
  <c r="Q17" i="30" s="1"/>
  <c r="Q65" i="30" s="1"/>
  <c r="Q89" i="30" s="1"/>
  <c r="T17" i="31" s="1"/>
  <c r="Q19" i="49"/>
  <c r="O19" i="28" s="1"/>
  <c r="O67" i="28" s="1"/>
  <c r="O19" i="30" s="1"/>
  <c r="O67" i="30" s="1"/>
  <c r="O91" i="30" s="1"/>
  <c r="R19" i="31" s="1"/>
  <c r="R24" i="49"/>
  <c r="P24" i="28" s="1"/>
  <c r="P72" i="28" s="1"/>
  <c r="P24" i="30" s="1"/>
  <c r="P72" i="30" s="1"/>
  <c r="P96" i="30" s="1"/>
  <c r="S24" i="31" s="1"/>
  <c r="Q29" i="49"/>
  <c r="O29" i="28" s="1"/>
  <c r="O77" i="28" s="1"/>
  <c r="O29" i="30" s="1"/>
  <c r="O77" i="30" s="1"/>
  <c r="O101" i="30" s="1"/>
  <c r="R29" i="31" s="1"/>
  <c r="Q42" i="5"/>
  <c r="O70" i="30"/>
  <c r="O94" i="30" s="1"/>
  <c r="R22" i="31" s="1"/>
  <c r="R29" i="49"/>
  <c r="P29" i="28" s="1"/>
  <c r="P77" i="28" s="1"/>
  <c r="P29" i="30" s="1"/>
  <c r="P77" i="30" s="1"/>
  <c r="P101" i="30" s="1"/>
  <c r="S29" i="31" s="1"/>
  <c r="M59" i="24"/>
  <c r="M83" i="24" s="1"/>
  <c r="K11" i="13" s="1"/>
  <c r="P60" i="24"/>
  <c r="J62" i="24"/>
  <c r="P64" i="24"/>
  <c r="P88" i="24" s="1"/>
  <c r="N16" i="13" s="1"/>
  <c r="N64" i="13" s="1"/>
  <c r="N88" i="13" s="1"/>
  <c r="M16" i="15" s="1"/>
  <c r="J66" i="24"/>
  <c r="P68" i="24"/>
  <c r="P92" i="24" s="1"/>
  <c r="N20" i="13" s="1"/>
  <c r="N68" i="13" s="1"/>
  <c r="N92" i="13" s="1"/>
  <c r="M20" i="15" s="1"/>
  <c r="M71" i="24"/>
  <c r="P72" i="24"/>
  <c r="P96" i="24" s="1"/>
  <c r="N24" i="13" s="1"/>
  <c r="J74" i="24"/>
  <c r="M75" i="24"/>
  <c r="N99" i="24" s="1"/>
  <c r="L27" i="13" s="1"/>
  <c r="P76" i="24"/>
  <c r="Q100" i="24" s="1"/>
  <c r="O28" i="13" s="1"/>
  <c r="J62" i="30"/>
  <c r="J86" i="30" s="1"/>
  <c r="M14" i="31" s="1"/>
  <c r="R10" i="49"/>
  <c r="P10" i="28" s="1"/>
  <c r="P58" i="28" s="1"/>
  <c r="P10" i="30" s="1"/>
  <c r="P58" i="30" s="1"/>
  <c r="P82" i="30" s="1"/>
  <c r="S10" i="31" s="1"/>
  <c r="S12" i="49"/>
  <c r="Q12" i="28" s="1"/>
  <c r="Q60" i="28" s="1"/>
  <c r="Q12" i="30" s="1"/>
  <c r="Q60" i="30" s="1"/>
  <c r="Q84" i="30" s="1"/>
  <c r="T12" i="31" s="1"/>
  <c r="Q17" i="49"/>
  <c r="O17" i="28" s="1"/>
  <c r="O65" i="28" s="1"/>
  <c r="O17" i="30" s="1"/>
  <c r="O65" i="30" s="1"/>
  <c r="O89" i="30" s="1"/>
  <c r="R17" i="31" s="1"/>
  <c r="O68" i="30"/>
  <c r="O92" i="30" s="1"/>
  <c r="R20" i="31" s="1"/>
  <c r="O75" i="30"/>
  <c r="O99" i="30" s="1"/>
  <c r="R27" i="31" s="1"/>
  <c r="S29" i="49"/>
  <c r="Q29" i="28" s="1"/>
  <c r="Q77" i="28" s="1"/>
  <c r="Q29" i="30" s="1"/>
  <c r="Q77" i="30" s="1"/>
  <c r="Q101" i="30" s="1"/>
  <c r="T29" i="31" s="1"/>
  <c r="K62" i="30"/>
  <c r="K86" i="30" s="1"/>
  <c r="N14" i="31" s="1"/>
  <c r="R17" i="49"/>
  <c r="P17" i="28" s="1"/>
  <c r="P65" i="28" s="1"/>
  <c r="P17" i="30" s="1"/>
  <c r="P65" i="30" s="1"/>
  <c r="P89" i="30" s="1"/>
  <c r="S17" i="31" s="1"/>
  <c r="U24" i="49"/>
  <c r="S24" i="28" s="1"/>
  <c r="S72" i="28" s="1"/>
  <c r="S24" i="30" s="1"/>
  <c r="S72" i="30" s="1"/>
  <c r="S96" i="30" s="1"/>
  <c r="V24" i="31" s="1"/>
  <c r="U17" i="49"/>
  <c r="S17" i="28" s="1"/>
  <c r="S65" i="28" s="1"/>
  <c r="S17" i="30" s="1"/>
  <c r="S65" i="30" s="1"/>
  <c r="S89" i="30" s="1"/>
  <c r="V17" i="31" s="1"/>
  <c r="R20" i="49"/>
  <c r="P20" i="28" s="1"/>
  <c r="P68" i="28" s="1"/>
  <c r="P20" i="30" s="1"/>
  <c r="P68" i="30" s="1"/>
  <c r="P92" i="30" s="1"/>
  <c r="S20" i="31" s="1"/>
  <c r="R25" i="49"/>
  <c r="P25" i="28" s="1"/>
  <c r="P73" i="28" s="1"/>
  <c r="P25" i="30" s="1"/>
  <c r="P73" i="30" s="1"/>
  <c r="P97" i="30" s="1"/>
  <c r="S25" i="31" s="1"/>
  <c r="Q25" i="49"/>
  <c r="O25" i="28" s="1"/>
  <c r="O73" i="28" s="1"/>
  <c r="O25" i="30" s="1"/>
  <c r="O73" i="30" s="1"/>
  <c r="O97" i="30" s="1"/>
  <c r="R25" i="31" s="1"/>
  <c r="J57" i="24"/>
  <c r="L81" i="24" s="1"/>
  <c r="J9" i="13" s="1"/>
  <c r="M58" i="24"/>
  <c r="P59" i="24"/>
  <c r="J61" i="24"/>
  <c r="L85" i="24" s="1"/>
  <c r="J13" i="13" s="1"/>
  <c r="P63" i="24"/>
  <c r="R87" i="24" s="1"/>
  <c r="P15" i="13" s="1"/>
  <c r="J65" i="24"/>
  <c r="L89" i="24" s="1"/>
  <c r="J17" i="13" s="1"/>
  <c r="M66" i="24"/>
  <c r="O90" i="24" s="1"/>
  <c r="M18" i="13" s="1"/>
  <c r="P67" i="24"/>
  <c r="J69" i="24"/>
  <c r="L93" i="24" s="1"/>
  <c r="J21" i="13" s="1"/>
  <c r="P71" i="24"/>
  <c r="R95" i="24" s="1"/>
  <c r="P23" i="13" s="1"/>
  <c r="J73" i="24"/>
  <c r="L97" i="24" s="1"/>
  <c r="J25" i="13" s="1"/>
  <c r="M74" i="24"/>
  <c r="O98" i="24" s="1"/>
  <c r="M26" i="13" s="1"/>
  <c r="P75" i="24"/>
  <c r="R99" i="24" s="1"/>
  <c r="P27" i="13" s="1"/>
  <c r="J77" i="24"/>
  <c r="L101" i="24" s="1"/>
  <c r="J29" i="13" s="1"/>
  <c r="R86" i="24"/>
  <c r="P14" i="13" s="1"/>
  <c r="L96" i="24"/>
  <c r="J24" i="13" s="1"/>
  <c r="L62" i="30"/>
  <c r="L86" i="30" s="1"/>
  <c r="O14" i="31" s="1"/>
  <c r="M75" i="30"/>
  <c r="M99" i="30" s="1"/>
  <c r="P27" i="31" s="1"/>
  <c r="M61" i="30"/>
  <c r="M85" i="30" s="1"/>
  <c r="P13" i="31" s="1"/>
  <c r="L66" i="30"/>
  <c r="L90" i="30" s="1"/>
  <c r="O18" i="31" s="1"/>
  <c r="J59" i="30"/>
  <c r="J83" i="30" s="1"/>
  <c r="M11" i="31" s="1"/>
  <c r="J65" i="30"/>
  <c r="J89" i="30" s="1"/>
  <c r="M17" i="31" s="1"/>
  <c r="M65" i="24"/>
  <c r="O89" i="24" s="1"/>
  <c r="M17" i="13" s="1"/>
  <c r="P57" i="24"/>
  <c r="P81" i="24" s="1"/>
  <c r="N9" i="13" s="1"/>
  <c r="M60" i="24"/>
  <c r="O84" i="24" s="1"/>
  <c r="M12" i="13" s="1"/>
  <c r="J63" i="24"/>
  <c r="L87" i="24" s="1"/>
  <c r="J15" i="13" s="1"/>
  <c r="M64" i="24"/>
  <c r="M88" i="24" s="1"/>
  <c r="K16" i="13" s="1"/>
  <c r="M68" i="24"/>
  <c r="O92" i="24" s="1"/>
  <c r="M20" i="13" s="1"/>
  <c r="J71" i="24"/>
  <c r="L95" i="24" s="1"/>
  <c r="J23" i="13" s="1"/>
  <c r="P73" i="24"/>
  <c r="Q97" i="24" s="1"/>
  <c r="O25" i="13" s="1"/>
  <c r="M76" i="24"/>
  <c r="J76" i="30"/>
  <c r="J100" i="30" s="1"/>
  <c r="M28" i="31" s="1"/>
  <c r="N77" i="30"/>
  <c r="N101" i="30" s="1"/>
  <c r="Q29" i="31" s="1"/>
  <c r="T11" i="49"/>
  <c r="R11" i="28" s="1"/>
  <c r="R59" i="28" s="1"/>
  <c r="R11" i="30" s="1"/>
  <c r="R59" i="30" s="1"/>
  <c r="R83" i="30" s="1"/>
  <c r="U11" i="31" s="1"/>
  <c r="S11" i="49"/>
  <c r="Q11" i="28" s="1"/>
  <c r="Q59" i="28" s="1"/>
  <c r="Q11" i="30" s="1"/>
  <c r="Q59" i="30" s="1"/>
  <c r="Q83" i="30" s="1"/>
  <c r="T11" i="31" s="1"/>
  <c r="Q11" i="49"/>
  <c r="O11" i="28" s="1"/>
  <c r="O59" i="28" s="1"/>
  <c r="O11" i="30" s="1"/>
  <c r="O59" i="30" s="1"/>
  <c r="O83" i="30" s="1"/>
  <c r="R11" i="31" s="1"/>
  <c r="L76" i="30"/>
  <c r="L100" i="30" s="1"/>
  <c r="O28" i="31" s="1"/>
  <c r="O58" i="24"/>
  <c r="Q82" i="24" s="1"/>
  <c r="O10" i="13" s="1"/>
  <c r="R59" i="24"/>
  <c r="O62" i="24"/>
  <c r="P86" i="24" s="1"/>
  <c r="N14" i="13" s="1"/>
  <c r="N62" i="13" s="1"/>
  <c r="N86" i="13" s="1"/>
  <c r="M14" i="15" s="1"/>
  <c r="L65" i="24"/>
  <c r="O66" i="24"/>
  <c r="R67" i="24"/>
  <c r="O74" i="24"/>
  <c r="P98" i="24" s="1"/>
  <c r="N26" i="13" s="1"/>
  <c r="R75" i="24"/>
  <c r="Q89" i="24"/>
  <c r="O17" i="13" s="1"/>
  <c r="N96" i="24"/>
  <c r="L24" i="13" s="1"/>
  <c r="M71" i="30"/>
  <c r="M95" i="30" s="1"/>
  <c r="P23" i="31" s="1"/>
  <c r="L49" i="5"/>
  <c r="N49" i="13" s="1"/>
  <c r="N73" i="13" s="1"/>
  <c r="N97" i="13" s="1"/>
  <c r="M25" i="15" s="1"/>
  <c r="L47" i="5"/>
  <c r="N47" i="13" s="1"/>
  <c r="N52" i="5"/>
  <c r="P52" i="13" s="1"/>
  <c r="Q49" i="5"/>
  <c r="Q52" i="5"/>
  <c r="O50" i="5"/>
  <c r="P50" i="5"/>
  <c r="Q53" i="5"/>
  <c r="P53" i="5"/>
  <c r="O53" i="5"/>
  <c r="O69" i="13"/>
  <c r="O93" i="13" s="1"/>
  <c r="N21" i="15" s="1"/>
  <c r="N42" i="5"/>
  <c r="P42" i="13" s="1"/>
  <c r="P66" i="13" s="1"/>
  <c r="P90" i="13" s="1"/>
  <c r="O18" i="15" s="1"/>
  <c r="O42" i="5"/>
  <c r="T77" i="48"/>
  <c r="O12" i="5" s="1"/>
  <c r="R97" i="24"/>
  <c r="P25" i="13" s="1"/>
  <c r="M85" i="24"/>
  <c r="K13" i="13" s="1"/>
  <c r="Q50" i="5"/>
  <c r="N91" i="24"/>
  <c r="L19" i="13" s="1"/>
  <c r="Q92" i="24"/>
  <c r="O20" i="13" s="1"/>
  <c r="N85" i="24"/>
  <c r="L13" i="13" s="1"/>
  <c r="M97" i="24"/>
  <c r="K25" i="13" s="1"/>
  <c r="M101" i="24"/>
  <c r="K29" i="13" s="1"/>
  <c r="M52" i="5"/>
  <c r="O52" i="13" s="1"/>
  <c r="L52" i="5"/>
  <c r="N52" i="13" s="1"/>
  <c r="R77" i="48"/>
  <c r="M12" i="5" s="1"/>
  <c r="V77" i="48"/>
  <c r="Q12" i="5" s="1"/>
  <c r="R92" i="24"/>
  <c r="P20" i="13" s="1"/>
  <c r="L33" i="5"/>
  <c r="N33" i="13" s="1"/>
  <c r="P90" i="24"/>
  <c r="N18" i="13" s="1"/>
  <c r="N66" i="13" s="1"/>
  <c r="N90" i="13" s="1"/>
  <c r="M18" i="15" s="1"/>
  <c r="M93" i="24"/>
  <c r="K21" i="13" s="1"/>
  <c r="N65" i="13"/>
  <c r="N89" i="13" s="1"/>
  <c r="M17" i="15" s="1"/>
  <c r="Q81" i="24"/>
  <c r="O9" i="13" s="1"/>
  <c r="M61" i="24"/>
  <c r="O85" i="24" s="1"/>
  <c r="M13" i="13" s="1"/>
  <c r="P66" i="24"/>
  <c r="R90" i="24" s="1"/>
  <c r="P18" i="13" s="1"/>
  <c r="M69" i="24"/>
  <c r="O93" i="24" s="1"/>
  <c r="M21" i="13" s="1"/>
  <c r="J76" i="24"/>
  <c r="L100" i="24" s="1"/>
  <c r="J28" i="13" s="1"/>
  <c r="M43" i="5"/>
  <c r="O43" i="13" s="1"/>
  <c r="O67" i="13" s="1"/>
  <c r="O91" i="13" s="1"/>
  <c r="N19" i="15" s="1"/>
  <c r="O43" i="5"/>
  <c r="N40" i="5"/>
  <c r="P40" i="13" s="1"/>
  <c r="T78" i="48"/>
  <c r="O24" i="5" s="1"/>
  <c r="S78" i="48"/>
  <c r="N24" i="5" s="1"/>
  <c r="R89" i="24"/>
  <c r="P17" i="13" s="1"/>
  <c r="P65" i="13" s="1"/>
  <c r="P89" i="13" s="1"/>
  <c r="O17" i="15" s="1"/>
  <c r="L91" i="24"/>
  <c r="J19" i="13" s="1"/>
  <c r="P93" i="24"/>
  <c r="N21" i="13" s="1"/>
  <c r="Q85" i="24"/>
  <c r="O13" i="13" s="1"/>
  <c r="O61" i="13" s="1"/>
  <c r="O85" i="13" s="1"/>
  <c r="N13" i="15" s="1"/>
  <c r="N100" i="24"/>
  <c r="L28" i="13" s="1"/>
  <c r="L83" i="24"/>
  <c r="J11" i="13" s="1"/>
  <c r="M51" i="5"/>
  <c r="O51" i="13" s="1"/>
  <c r="O51" i="5"/>
  <c r="M57" i="24"/>
  <c r="O81" i="24" s="1"/>
  <c r="M9" i="13" s="1"/>
  <c r="J60" i="24"/>
  <c r="L84" i="24" s="1"/>
  <c r="J12" i="13" s="1"/>
  <c r="J64" i="24"/>
  <c r="L88" i="24" s="1"/>
  <c r="J16" i="13" s="1"/>
  <c r="J68" i="24"/>
  <c r="L92" i="24" s="1"/>
  <c r="J20" i="13" s="1"/>
  <c r="P70" i="24"/>
  <c r="R94" i="24" s="1"/>
  <c r="P22" i="13" s="1"/>
  <c r="P70" i="13" s="1"/>
  <c r="P94" i="13" s="1"/>
  <c r="O22" i="15" s="1"/>
  <c r="M73" i="24"/>
  <c r="O97" i="24" s="1"/>
  <c r="M25" i="13" s="1"/>
  <c r="M77" i="24"/>
  <c r="O100" i="24"/>
  <c r="M28" i="13" s="1"/>
  <c r="N37" i="5"/>
  <c r="P37" i="13" s="1"/>
  <c r="P61" i="13" s="1"/>
  <c r="P85" i="13" s="1"/>
  <c r="O13" i="15" s="1"/>
  <c r="P73" i="13"/>
  <c r="P97" i="13" s="1"/>
  <c r="O25" i="15" s="1"/>
  <c r="Q77" i="48"/>
  <c r="L12" i="5" s="1"/>
  <c r="M87" i="24"/>
  <c r="K15" i="13" s="1"/>
  <c r="O40" i="5"/>
  <c r="L50" i="5"/>
  <c r="N50" i="13" s="1"/>
  <c r="L53" i="5"/>
  <c r="N53" i="13" s="1"/>
  <c r="N77" i="13" s="1"/>
  <c r="N101" i="13" s="1"/>
  <c r="M29" i="15" s="1"/>
  <c r="R93" i="24"/>
  <c r="P21" i="13" s="1"/>
  <c r="Q93" i="24"/>
  <c r="O21" i="13" s="1"/>
  <c r="M89" i="24"/>
  <c r="K17" i="13" s="1"/>
  <c r="R98" i="24"/>
  <c r="P26" i="13" s="1"/>
  <c r="L45" i="5"/>
  <c r="N45" i="13" s="1"/>
  <c r="N45" i="5"/>
  <c r="P45" i="13" s="1"/>
  <c r="P69" i="13" s="1"/>
  <c r="P93" i="13" s="1"/>
  <c r="O21" i="15" s="1"/>
  <c r="Q78" i="48"/>
  <c r="L24" i="5" s="1"/>
  <c r="P78" i="48"/>
  <c r="K24" i="5" s="1"/>
  <c r="R78" i="48"/>
  <c r="M24" i="5" s="1"/>
  <c r="O78" i="48"/>
  <c r="J24" i="5" s="1"/>
  <c r="S77" i="48"/>
  <c r="N12" i="5" s="1"/>
  <c r="P36" i="5" s="1"/>
  <c r="Q90" i="24"/>
  <c r="O18" i="13" s="1"/>
  <c r="Q98" i="24"/>
  <c r="O26" i="13" s="1"/>
  <c r="Q101" i="24"/>
  <c r="O29" i="13" s="1"/>
  <c r="O37" i="5"/>
  <c r="Q88" i="24"/>
  <c r="O16" i="13" s="1"/>
  <c r="O64" i="13" s="1"/>
  <c r="O88" i="13" s="1"/>
  <c r="N16" i="15" s="1"/>
  <c r="M33" i="5"/>
  <c r="O33" i="13" s="1"/>
  <c r="U78" i="48"/>
  <c r="P24" i="5" s="1"/>
  <c r="N61" i="13"/>
  <c r="N85" i="13" s="1"/>
  <c r="M13" i="15" s="1"/>
  <c r="P47" i="5"/>
  <c r="O47" i="5"/>
  <c r="N47" i="5"/>
  <c r="P47" i="13" s="1"/>
  <c r="P71" i="13" s="1"/>
  <c r="P95" i="13" s="1"/>
  <c r="O23" i="15" s="1"/>
  <c r="O68" i="13"/>
  <c r="O92" i="13" s="1"/>
  <c r="N20" i="15" s="1"/>
  <c r="V78" i="48"/>
  <c r="Q24" i="5" s="1"/>
  <c r="K58" i="24"/>
  <c r="Q60" i="24"/>
  <c r="R84" i="24" s="1"/>
  <c r="P12" i="13" s="1"/>
  <c r="K62" i="24"/>
  <c r="M86" i="24" s="1"/>
  <c r="K14" i="13" s="1"/>
  <c r="Q64" i="24"/>
  <c r="K66" i="24"/>
  <c r="N67" i="24"/>
  <c r="Q68" i="24"/>
  <c r="N71" i="24"/>
  <c r="Q72" i="24"/>
  <c r="Q96" i="24" s="1"/>
  <c r="O24" i="13" s="1"/>
  <c r="N75" i="24"/>
  <c r="N33" i="5"/>
  <c r="P33" i="13" s="1"/>
  <c r="M95" i="24"/>
  <c r="K23" i="13" s="1"/>
  <c r="N81" i="24"/>
  <c r="L9" i="13" s="1"/>
  <c r="R88" i="24"/>
  <c r="P16" i="13" s="1"/>
  <c r="O44" i="5"/>
  <c r="P44" i="5"/>
  <c r="O77" i="48"/>
  <c r="J12" i="5" s="1"/>
  <c r="N59" i="24"/>
  <c r="N63" i="24"/>
  <c r="K70" i="24"/>
  <c r="K74" i="24"/>
  <c r="Q76" i="24"/>
  <c r="R100" i="24" s="1"/>
  <c r="P28" i="13" s="1"/>
  <c r="O41" i="5"/>
  <c r="N44" i="5"/>
  <c r="P44" i="13" s="1"/>
  <c r="P77" i="48"/>
  <c r="K12" i="5" s="1"/>
  <c r="L58" i="24"/>
  <c r="N82" i="24" s="1"/>
  <c r="L10" i="13" s="1"/>
  <c r="O59" i="24"/>
  <c r="Q83" i="24" s="1"/>
  <c r="O11" i="13" s="1"/>
  <c r="R60" i="24"/>
  <c r="L62" i="24"/>
  <c r="N86" i="24" s="1"/>
  <c r="L14" i="13" s="1"/>
  <c r="O63" i="24"/>
  <c r="Q87" i="24" s="1"/>
  <c r="O15" i="13" s="1"/>
  <c r="O63" i="13" s="1"/>
  <c r="O87" i="13" s="1"/>
  <c r="N15" i="15" s="1"/>
  <c r="R64" i="24"/>
  <c r="L66" i="24"/>
  <c r="N90" i="24" s="1"/>
  <c r="L18" i="13" s="1"/>
  <c r="O67" i="24"/>
  <c r="Q91" i="24" s="1"/>
  <c r="O19" i="13" s="1"/>
  <c r="R68" i="24"/>
  <c r="L70" i="24"/>
  <c r="N94" i="24" s="1"/>
  <c r="L22" i="13" s="1"/>
  <c r="O71" i="24"/>
  <c r="Q95" i="24" s="1"/>
  <c r="O23" i="13" s="1"/>
  <c r="R72" i="24"/>
  <c r="L74" i="24"/>
  <c r="N98" i="24" s="1"/>
  <c r="L26" i="13" s="1"/>
  <c r="O75" i="24"/>
  <c r="Q99" i="24" s="1"/>
  <c r="O27" i="13" s="1"/>
  <c r="R76" i="24"/>
  <c r="P41" i="5"/>
  <c r="L46" i="5"/>
  <c r="N46" i="13" s="1"/>
  <c r="P49" i="5"/>
  <c r="P52" i="5"/>
  <c r="O33" i="5"/>
  <c r="P77" i="13"/>
  <c r="P101" i="13" s="1"/>
  <c r="O29" i="15" s="1"/>
  <c r="N39" i="5"/>
  <c r="P39" i="13" s="1"/>
  <c r="P63" i="13" s="1"/>
  <c r="P87" i="13" s="1"/>
  <c r="O15" i="15" s="1"/>
  <c r="O39" i="5"/>
  <c r="P39" i="5"/>
  <c r="M50" i="5"/>
  <c r="O50" i="13" s="1"/>
  <c r="M53" i="5"/>
  <c r="O53" i="13" s="1"/>
  <c r="O77" i="13" s="1"/>
  <c r="O101" i="13" s="1"/>
  <c r="N29" i="15" s="1"/>
  <c r="Q39" i="5"/>
  <c r="M41" i="5"/>
  <c r="O41" i="13" s="1"/>
  <c r="Q45" i="5"/>
  <c r="M47" i="5"/>
  <c r="O47" i="13" s="1"/>
  <c r="N50" i="5"/>
  <c r="P50" i="13" s="1"/>
  <c r="M49" i="5"/>
  <c r="O49" i="13" s="1"/>
  <c r="K35" i="31" l="1"/>
  <c r="K37" i="31"/>
  <c r="K45" i="31"/>
  <c r="K44" i="31"/>
  <c r="N84" i="24"/>
  <c r="L12" i="13" s="1"/>
  <c r="M84" i="24"/>
  <c r="K12" i="13" s="1"/>
  <c r="N88" i="24"/>
  <c r="L16" i="13" s="1"/>
  <c r="K42" i="31"/>
  <c r="M92" i="24"/>
  <c r="K20" i="13" s="1"/>
  <c r="P87" i="24"/>
  <c r="N15" i="13" s="1"/>
  <c r="N63" i="13" s="1"/>
  <c r="N87" i="13" s="1"/>
  <c r="M15" i="15" s="1"/>
  <c r="N74" i="13"/>
  <c r="N98" i="13" s="1"/>
  <c r="M26" i="15" s="1"/>
  <c r="K36" i="31"/>
  <c r="K41" i="31"/>
  <c r="R91" i="24"/>
  <c r="P19" i="13" s="1"/>
  <c r="P67" i="13" s="1"/>
  <c r="P91" i="13" s="1"/>
  <c r="O19" i="15" s="1"/>
  <c r="R83" i="24"/>
  <c r="P11" i="13" s="1"/>
  <c r="K46" i="31"/>
  <c r="K66" i="31" s="1"/>
  <c r="O88" i="24"/>
  <c r="M16" i="13" s="1"/>
  <c r="K39" i="31"/>
  <c r="K59" i="31" s="1"/>
  <c r="O95" i="24"/>
  <c r="M23" i="13" s="1"/>
  <c r="N57" i="13"/>
  <c r="N81" i="13" s="1"/>
  <c r="M9" i="15" s="1"/>
  <c r="K40" i="31"/>
  <c r="K60" i="31" s="1"/>
  <c r="K49" i="31"/>
  <c r="M99" i="24"/>
  <c r="K27" i="13" s="1"/>
  <c r="K48" i="31"/>
  <c r="L86" i="24"/>
  <c r="J14" i="13" s="1"/>
  <c r="O82" i="24"/>
  <c r="M10" i="13" s="1"/>
  <c r="Q48" i="5"/>
  <c r="O86" i="24"/>
  <c r="M14" i="13" s="1"/>
  <c r="P76" i="13"/>
  <c r="P100" i="13" s="1"/>
  <c r="O28" i="15" s="1"/>
  <c r="O66" i="13"/>
  <c r="O90" i="13" s="1"/>
  <c r="N18" i="15" s="1"/>
  <c r="Q86" i="24"/>
  <c r="O14" i="13" s="1"/>
  <c r="O62" i="13" s="1"/>
  <c r="O86" i="13" s="1"/>
  <c r="N14" i="15" s="1"/>
  <c r="K47" i="31"/>
  <c r="K67" i="31" s="1"/>
  <c r="O73" i="13"/>
  <c r="O97" i="13" s="1"/>
  <c r="N25" i="15" s="1"/>
  <c r="P82" i="24"/>
  <c r="N10" i="13" s="1"/>
  <c r="K38" i="31"/>
  <c r="R81" i="24"/>
  <c r="P9" i="13" s="1"/>
  <c r="P57" i="13" s="1"/>
  <c r="P81" i="13" s="1"/>
  <c r="O9" i="15" s="1"/>
  <c r="N76" i="13"/>
  <c r="N100" i="13" s="1"/>
  <c r="M28" i="15" s="1"/>
  <c r="O65" i="13"/>
  <c r="O89" i="13" s="1"/>
  <c r="N17" i="15" s="1"/>
  <c r="Q94" i="24"/>
  <c r="O22" i="13" s="1"/>
  <c r="O70" i="13" s="1"/>
  <c r="O94" i="13" s="1"/>
  <c r="N22" i="15" s="1"/>
  <c r="O36" i="5"/>
  <c r="O57" i="13"/>
  <c r="O81" i="13" s="1"/>
  <c r="N9" i="15" s="1"/>
  <c r="N93" i="24"/>
  <c r="L21" i="13" s="1"/>
  <c r="N92" i="24"/>
  <c r="L20" i="13" s="1"/>
  <c r="N89" i="24"/>
  <c r="L17" i="13" s="1"/>
  <c r="M90" i="24"/>
  <c r="K18" i="13" s="1"/>
  <c r="L90" i="24"/>
  <c r="J18" i="13" s="1"/>
  <c r="O101" i="24"/>
  <c r="M29" i="13" s="1"/>
  <c r="N101" i="24"/>
  <c r="L29" i="13" s="1"/>
  <c r="L48" i="5"/>
  <c r="N48" i="13" s="1"/>
  <c r="N72" i="13" s="1"/>
  <c r="N96" i="13" s="1"/>
  <c r="M24" i="15" s="1"/>
  <c r="P64" i="13"/>
  <c r="P88" i="13" s="1"/>
  <c r="O16" i="15" s="1"/>
  <c r="O76" i="13"/>
  <c r="O100" i="13" s="1"/>
  <c r="N28" i="15" s="1"/>
  <c r="O74" i="13"/>
  <c r="O98" i="13" s="1"/>
  <c r="N26" i="15" s="1"/>
  <c r="R96" i="24"/>
  <c r="P24" i="13" s="1"/>
  <c r="N97" i="24"/>
  <c r="L25" i="13" s="1"/>
  <c r="O91" i="24"/>
  <c r="M19" i="13" s="1"/>
  <c r="P94" i="24"/>
  <c r="N22" i="13" s="1"/>
  <c r="N70" i="13" s="1"/>
  <c r="N94" i="13" s="1"/>
  <c r="M22" i="15" s="1"/>
  <c r="M36" i="5"/>
  <c r="O36" i="13" s="1"/>
  <c r="O60" i="13" s="1"/>
  <c r="O84" i="13" s="1"/>
  <c r="N12" i="15" s="1"/>
  <c r="K62" i="31"/>
  <c r="P68" i="13"/>
  <c r="P92" i="13" s="1"/>
  <c r="O20" i="15" s="1"/>
  <c r="M82" i="24"/>
  <c r="K10" i="13" s="1"/>
  <c r="L82" i="24"/>
  <c r="J10" i="13" s="1"/>
  <c r="N69" i="13"/>
  <c r="N93" i="13" s="1"/>
  <c r="M21" i="15" s="1"/>
  <c r="Q84" i="24"/>
  <c r="O12" i="13" s="1"/>
  <c r="Q36" i="5"/>
  <c r="L36" i="5"/>
  <c r="N36" i="13" s="1"/>
  <c r="N60" i="13" s="1"/>
  <c r="N84" i="13" s="1"/>
  <c r="M12" i="15" s="1"/>
  <c r="K64" i="31"/>
  <c r="L98" i="24"/>
  <c r="J26" i="13" s="1"/>
  <c r="M98" i="24"/>
  <c r="K26" i="13" s="1"/>
  <c r="P99" i="24"/>
  <c r="N27" i="13" s="1"/>
  <c r="N75" i="13" s="1"/>
  <c r="N99" i="13" s="1"/>
  <c r="M27" i="15" s="1"/>
  <c r="O99" i="24"/>
  <c r="M27" i="13" s="1"/>
  <c r="L94" i="24"/>
  <c r="J22" i="13" s="1"/>
  <c r="P74" i="13"/>
  <c r="P98" i="13" s="1"/>
  <c r="O26" i="15" s="1"/>
  <c r="M94" i="24"/>
  <c r="K22" i="13" s="1"/>
  <c r="O75" i="13"/>
  <c r="O99" i="13" s="1"/>
  <c r="N27" i="15" s="1"/>
  <c r="K57" i="31"/>
  <c r="O71" i="13"/>
  <c r="O95" i="13" s="1"/>
  <c r="N23" i="15" s="1"/>
  <c r="P95" i="24"/>
  <c r="N23" i="13" s="1"/>
  <c r="N71" i="13" s="1"/>
  <c r="N95" i="13" s="1"/>
  <c r="M23" i="15" s="1"/>
  <c r="N95" i="24"/>
  <c r="L23" i="13" s="1"/>
  <c r="N36" i="5"/>
  <c r="P36" i="13" s="1"/>
  <c r="P60" i="13" s="1"/>
  <c r="P84" i="13" s="1"/>
  <c r="O12" i="15" s="1"/>
  <c r="M81" i="24"/>
  <c r="K9" i="13" s="1"/>
  <c r="O87" i="24"/>
  <c r="M15" i="13" s="1"/>
  <c r="P83" i="24"/>
  <c r="N11" i="13" s="1"/>
  <c r="O83" i="24"/>
  <c r="M11" i="13" s="1"/>
  <c r="N87" i="24"/>
  <c r="L15" i="13" s="1"/>
  <c r="N48" i="5"/>
  <c r="P48" i="13" s="1"/>
  <c r="K63" i="31"/>
  <c r="P91" i="24"/>
  <c r="N19" i="13" s="1"/>
  <c r="N67" i="13" s="1"/>
  <c r="N91" i="13" s="1"/>
  <c r="M19" i="15" s="1"/>
  <c r="P48" i="5"/>
  <c r="M48" i="5"/>
  <c r="O48" i="13" s="1"/>
  <c r="O72" i="13" s="1"/>
  <c r="O96" i="13" s="1"/>
  <c r="N24" i="15" s="1"/>
  <c r="O48" i="5"/>
  <c r="M52" i="31"/>
  <c r="K54" i="31" s="1"/>
  <c r="N83" i="24"/>
  <c r="L11" i="13" s="1"/>
  <c r="K68" i="31" l="1"/>
  <c r="K87" i="31"/>
  <c r="K23" i="2" s="1"/>
  <c r="K75" i="31"/>
  <c r="K11" i="2" s="1"/>
  <c r="K82" i="31"/>
  <c r="K18" i="2" s="1"/>
  <c r="K80" i="31"/>
  <c r="K16" i="2" s="1"/>
  <c r="K61" i="31"/>
  <c r="K81" i="31" s="1"/>
  <c r="K17" i="2" s="1"/>
  <c r="K58" i="31"/>
  <c r="K43" i="15"/>
  <c r="K47" i="15"/>
  <c r="K65" i="31"/>
  <c r="K56" i="31"/>
  <c r="K86" i="31"/>
  <c r="K22" i="2" s="1"/>
  <c r="K76" i="31"/>
  <c r="K12" i="2" s="1"/>
  <c r="K83" i="31"/>
  <c r="K19" i="2" s="1"/>
  <c r="K79" i="31"/>
  <c r="K15" i="2" s="1"/>
  <c r="P72" i="13"/>
  <c r="P96" i="13" s="1"/>
  <c r="O24" i="15" s="1"/>
  <c r="K42" i="15" s="1"/>
  <c r="K49" i="15"/>
  <c r="K37" i="15"/>
  <c r="K88" i="31"/>
  <c r="K24" i="2" s="1"/>
  <c r="K74" i="31"/>
  <c r="K10" i="2" s="1"/>
  <c r="K84" i="31"/>
  <c r="K20" i="2" s="1"/>
  <c r="K78" i="31"/>
  <c r="K14" i="2" s="1"/>
  <c r="K69" i="31"/>
  <c r="K55" i="31"/>
  <c r="K45" i="15"/>
  <c r="K33" i="15"/>
  <c r="K34" i="15"/>
  <c r="K44" i="15"/>
  <c r="K53" i="31"/>
  <c r="F563" i="9" l="1"/>
  <c r="F107" i="9"/>
  <c r="F525" i="9"/>
  <c r="F69" i="9"/>
  <c r="F487" i="9"/>
  <c r="F297" i="9"/>
  <c r="F601" i="9"/>
  <c r="F373" i="9"/>
  <c r="F31" i="9"/>
  <c r="F259" i="9"/>
  <c r="F335" i="9"/>
  <c r="F145" i="9"/>
  <c r="F221" i="9"/>
  <c r="F411" i="9"/>
  <c r="F449" i="9"/>
  <c r="F183" i="9"/>
  <c r="F639" i="9"/>
  <c r="F440" i="9"/>
  <c r="F402" i="9"/>
  <c r="F326" i="9"/>
  <c r="F98" i="9"/>
  <c r="F592" i="9"/>
  <c r="F288" i="9"/>
  <c r="F174" i="9"/>
  <c r="F136" i="9"/>
  <c r="F478" i="9"/>
  <c r="F212" i="9"/>
  <c r="F630" i="9"/>
  <c r="F516" i="9"/>
  <c r="F250" i="9"/>
  <c r="F554" i="9"/>
  <c r="F60" i="9"/>
  <c r="F22" i="9"/>
  <c r="F364" i="9"/>
  <c r="K85" i="31"/>
  <c r="K21" i="2" s="1"/>
  <c r="K77" i="31"/>
  <c r="K13" i="2" s="1"/>
  <c r="F378" i="9"/>
  <c r="F340" i="9"/>
  <c r="F416" i="9"/>
  <c r="F112" i="9"/>
  <c r="F606" i="9"/>
  <c r="F530" i="9"/>
  <c r="F302" i="9"/>
  <c r="F188" i="9"/>
  <c r="F150" i="9"/>
  <c r="F36" i="9"/>
  <c r="F454" i="9"/>
  <c r="F568" i="9"/>
  <c r="F226" i="9"/>
  <c r="F74" i="9"/>
  <c r="F492" i="9"/>
  <c r="F644" i="9"/>
  <c r="F264" i="9"/>
  <c r="F637" i="9"/>
  <c r="F181" i="9"/>
  <c r="F599" i="9"/>
  <c r="F143" i="9"/>
  <c r="F371" i="9"/>
  <c r="F257" i="9"/>
  <c r="F67" i="9"/>
  <c r="F561" i="9"/>
  <c r="F409" i="9"/>
  <c r="F105" i="9"/>
  <c r="F295" i="9"/>
  <c r="F29" i="9"/>
  <c r="F333" i="9"/>
  <c r="F447" i="9"/>
  <c r="F523" i="9"/>
  <c r="F485" i="9"/>
  <c r="F219" i="9"/>
  <c r="K73" i="31"/>
  <c r="K9" i="2" s="1"/>
  <c r="K89" i="31"/>
  <c r="K25" i="2" s="1"/>
  <c r="F218" i="9"/>
  <c r="F636" i="9"/>
  <c r="F180" i="9"/>
  <c r="F370" i="9"/>
  <c r="F256" i="9"/>
  <c r="F66" i="9"/>
  <c r="F446" i="9"/>
  <c r="F560" i="9"/>
  <c r="F598" i="9"/>
  <c r="F408" i="9"/>
  <c r="F104" i="9"/>
  <c r="F294" i="9"/>
  <c r="F28" i="9"/>
  <c r="F142" i="9"/>
  <c r="F484" i="9"/>
  <c r="F332" i="9"/>
  <c r="F522" i="9"/>
  <c r="F600" i="9"/>
  <c r="F144" i="9"/>
  <c r="F562" i="9"/>
  <c r="F106" i="9"/>
  <c r="F638" i="9"/>
  <c r="F258" i="9"/>
  <c r="F68" i="9"/>
  <c r="F30" i="9"/>
  <c r="F372" i="9"/>
  <c r="F410" i="9"/>
  <c r="F296" i="9"/>
  <c r="F334" i="9"/>
  <c r="F524" i="9"/>
  <c r="F486" i="9"/>
  <c r="F448" i="9"/>
  <c r="F182" i="9"/>
  <c r="F220" i="9"/>
  <c r="F366" i="9"/>
  <c r="F328" i="9"/>
  <c r="F214" i="9"/>
  <c r="F24" i="9"/>
  <c r="F518" i="9"/>
  <c r="F480" i="9"/>
  <c r="F138" i="9"/>
  <c r="F632" i="9"/>
  <c r="F442" i="9"/>
  <c r="F252" i="9"/>
  <c r="F556" i="9"/>
  <c r="F404" i="9"/>
  <c r="F100" i="9"/>
  <c r="F176" i="9"/>
  <c r="F594" i="9"/>
  <c r="F290" i="9"/>
  <c r="F62" i="9"/>
  <c r="F292" i="9"/>
  <c r="F254" i="9"/>
  <c r="F444" i="9"/>
  <c r="F140" i="9"/>
  <c r="F634" i="9"/>
  <c r="F64" i="9"/>
  <c r="F102" i="9"/>
  <c r="F520" i="9"/>
  <c r="F558" i="9"/>
  <c r="F406" i="9"/>
  <c r="F596" i="9"/>
  <c r="F482" i="9"/>
  <c r="F330" i="9"/>
  <c r="F368" i="9"/>
  <c r="F216" i="9"/>
  <c r="F26" i="9"/>
  <c r="F178" i="9"/>
  <c r="F526" i="9"/>
  <c r="F70" i="9"/>
  <c r="F488" i="9"/>
  <c r="F32" i="9"/>
  <c r="F564" i="9"/>
  <c r="F298" i="9"/>
  <c r="F374" i="9"/>
  <c r="F336" i="9"/>
  <c r="F222" i="9"/>
  <c r="F450" i="9"/>
  <c r="F184" i="9"/>
  <c r="F412" i="9"/>
  <c r="F108" i="9"/>
  <c r="F260" i="9"/>
  <c r="F146" i="9"/>
  <c r="F602" i="9"/>
  <c r="F640" i="9"/>
  <c r="K39" i="15"/>
  <c r="F255" i="9"/>
  <c r="F217" i="9"/>
  <c r="F445" i="9"/>
  <c r="F141" i="9"/>
  <c r="F635" i="9"/>
  <c r="F103" i="9"/>
  <c r="F597" i="9"/>
  <c r="F65" i="9"/>
  <c r="F407" i="9"/>
  <c r="F559" i="9"/>
  <c r="F293" i="9"/>
  <c r="F369" i="9"/>
  <c r="F179" i="9"/>
  <c r="F27" i="9"/>
  <c r="F331" i="9"/>
  <c r="F521" i="9"/>
  <c r="F483" i="9"/>
  <c r="K35" i="15"/>
  <c r="K40" i="15"/>
  <c r="F403" i="9"/>
  <c r="F365" i="9"/>
  <c r="F593" i="9"/>
  <c r="F213" i="9"/>
  <c r="F23" i="9"/>
  <c r="F479" i="9"/>
  <c r="F137" i="9"/>
  <c r="F631" i="9"/>
  <c r="F517" i="9"/>
  <c r="F251" i="9"/>
  <c r="F99" i="9"/>
  <c r="F555" i="9"/>
  <c r="F441" i="9"/>
  <c r="F175" i="9"/>
  <c r="F327" i="9"/>
  <c r="F289" i="9"/>
  <c r="F61" i="9"/>
  <c r="F452" i="9"/>
  <c r="F414" i="9"/>
  <c r="F490" i="9"/>
  <c r="F186" i="9"/>
  <c r="F566" i="9"/>
  <c r="F338" i="9"/>
  <c r="F224" i="9"/>
  <c r="F34" i="9"/>
  <c r="F148" i="9"/>
  <c r="F604" i="9"/>
  <c r="F262" i="9"/>
  <c r="F110" i="9"/>
  <c r="F72" i="9"/>
  <c r="F528" i="9"/>
  <c r="F376" i="9"/>
  <c r="F300" i="9"/>
  <c r="F642" i="9"/>
  <c r="F415" i="9"/>
  <c r="F377" i="9"/>
  <c r="F339" i="9"/>
  <c r="F111" i="9"/>
  <c r="F529" i="9"/>
  <c r="F149" i="9"/>
  <c r="F35" i="9"/>
  <c r="F605" i="9"/>
  <c r="F453" i="9"/>
  <c r="F187" i="9"/>
  <c r="F73" i="9"/>
  <c r="F567" i="9"/>
  <c r="F225" i="9"/>
  <c r="F491" i="9"/>
  <c r="F643" i="9"/>
  <c r="F263" i="9"/>
  <c r="F301" i="9"/>
  <c r="K48" i="15"/>
  <c r="K46" i="15"/>
  <c r="K36" i="15"/>
  <c r="K41" i="15"/>
  <c r="K38" i="15"/>
  <c r="F341" i="9" l="1"/>
  <c r="F303" i="9"/>
  <c r="F607" i="9"/>
  <c r="F227" i="9"/>
  <c r="F37" i="9"/>
  <c r="F531" i="9"/>
  <c r="F189" i="9"/>
  <c r="F455" i="9"/>
  <c r="F493" i="9"/>
  <c r="F75" i="9"/>
  <c r="F379" i="9"/>
  <c r="F645" i="9"/>
  <c r="F265" i="9"/>
  <c r="F113" i="9"/>
  <c r="F151" i="9"/>
  <c r="F569" i="9"/>
  <c r="F417" i="9"/>
  <c r="F477" i="9"/>
  <c r="F21" i="9"/>
  <c r="F439" i="9"/>
  <c r="F325" i="9"/>
  <c r="F97" i="9"/>
  <c r="F515" i="9"/>
  <c r="F287" i="9"/>
  <c r="F173" i="9"/>
  <c r="F59" i="9"/>
  <c r="F211" i="9"/>
  <c r="F629" i="9"/>
  <c r="F249" i="9"/>
  <c r="F401" i="9"/>
  <c r="F553" i="9"/>
  <c r="F591" i="9"/>
  <c r="F135" i="9"/>
  <c r="F363" i="9"/>
  <c r="F329" i="9"/>
  <c r="F291" i="9"/>
  <c r="F519" i="9"/>
  <c r="F101" i="9"/>
  <c r="F633" i="9"/>
  <c r="F443" i="9"/>
  <c r="F253" i="9"/>
  <c r="F557" i="9"/>
  <c r="F405" i="9"/>
  <c r="F595" i="9"/>
  <c r="F481" i="9"/>
  <c r="F139" i="9"/>
  <c r="F25" i="9"/>
  <c r="F177" i="9"/>
  <c r="F63" i="9"/>
  <c r="F367" i="9"/>
  <c r="F215" i="9"/>
  <c r="F489" i="9"/>
  <c r="F33" i="9"/>
  <c r="F451" i="9"/>
  <c r="F413" i="9"/>
  <c r="F185" i="9"/>
  <c r="F565" i="9"/>
  <c r="F337" i="9"/>
  <c r="F223" i="9"/>
  <c r="F147" i="9"/>
  <c r="F527" i="9"/>
  <c r="F261" i="9"/>
  <c r="F109" i="9"/>
  <c r="F375" i="9"/>
  <c r="F641" i="9"/>
  <c r="F299" i="9"/>
  <c r="F71" i="9"/>
  <c r="F603" i="9"/>
  <c r="M52" i="15"/>
  <c r="K68" i="15" s="1"/>
  <c r="K55" i="15" l="1"/>
  <c r="K75" i="15" s="1"/>
  <c r="K29" i="2" s="1"/>
  <c r="K60" i="15"/>
  <c r="K80" i="15" s="1"/>
  <c r="K34" i="2" s="1"/>
  <c r="K82" i="15"/>
  <c r="K36" i="2" s="1"/>
  <c r="K87" i="15"/>
  <c r="K41" i="2" s="1"/>
  <c r="K62" i="15"/>
  <c r="K67" i="15"/>
  <c r="K63" i="15"/>
  <c r="K54" i="15"/>
  <c r="K64" i="15"/>
  <c r="K65" i="15"/>
  <c r="K53" i="15"/>
  <c r="K57" i="15"/>
  <c r="K69" i="15"/>
  <c r="K61" i="15"/>
  <c r="K81" i="15" s="1"/>
  <c r="K35" i="2" s="1"/>
  <c r="K58" i="15"/>
  <c r="K59" i="15"/>
  <c r="K66" i="15"/>
  <c r="K56" i="15"/>
  <c r="K73" i="15" l="1"/>
  <c r="K27" i="2" s="1"/>
  <c r="K89" i="15"/>
  <c r="K43" i="2" s="1"/>
  <c r="K85" i="15"/>
  <c r="K39" i="2" s="1"/>
  <c r="K77" i="15"/>
  <c r="K31" i="2" s="1"/>
  <c r="K88" i="15"/>
  <c r="K42" i="2" s="1"/>
  <c r="K74" i="15"/>
  <c r="K28" i="2" s="1"/>
  <c r="K76" i="15"/>
  <c r="K30" i="2" s="1"/>
  <c r="K86" i="15"/>
  <c r="K40" i="2" s="1"/>
  <c r="K83" i="15"/>
  <c r="K37" i="2" s="1"/>
  <c r="K79" i="15"/>
  <c r="K33" i="2" s="1"/>
  <c r="F576" i="9"/>
  <c r="F120" i="9"/>
  <c r="F538" i="9"/>
  <c r="F82" i="9"/>
  <c r="F386" i="9"/>
  <c r="F158" i="9"/>
  <c r="F462" i="9"/>
  <c r="F272" i="9"/>
  <c r="F424" i="9"/>
  <c r="F6" i="9"/>
  <c r="F310" i="9"/>
  <c r="F500" i="9"/>
  <c r="F348" i="9"/>
  <c r="F44" i="9"/>
  <c r="F196" i="9"/>
  <c r="F234" i="9"/>
  <c r="F614" i="9"/>
  <c r="K84" i="15"/>
  <c r="K38" i="2" s="1"/>
  <c r="K78" i="15"/>
  <c r="K32" i="2" s="1"/>
  <c r="F588" i="9"/>
  <c r="F132" i="9"/>
  <c r="F550" i="9"/>
  <c r="F94" i="9"/>
  <c r="F474" i="9"/>
  <c r="F284" i="9"/>
  <c r="F322" i="9"/>
  <c r="F208" i="9"/>
  <c r="F170" i="9"/>
  <c r="F512" i="9"/>
  <c r="F56" i="9"/>
  <c r="F360" i="9"/>
  <c r="F436" i="9"/>
  <c r="F626" i="9"/>
  <c r="F398" i="9"/>
  <c r="F246" i="9"/>
  <c r="F18" i="9"/>
  <c r="F354" i="9"/>
  <c r="F316" i="9"/>
  <c r="F430" i="9"/>
  <c r="F240" i="9"/>
  <c r="F126" i="9"/>
  <c r="F50" i="9"/>
  <c r="F544" i="9"/>
  <c r="F582" i="9"/>
  <c r="F392" i="9"/>
  <c r="F12" i="9"/>
  <c r="F164" i="9"/>
  <c r="F620" i="9"/>
  <c r="F468" i="9"/>
  <c r="F278" i="9"/>
  <c r="F88" i="9"/>
  <c r="F202" i="9"/>
  <c r="F506" i="9"/>
  <c r="F391" i="9"/>
  <c r="F353" i="9"/>
  <c r="F505" i="9"/>
  <c r="F87" i="9"/>
  <c r="F581" i="9"/>
  <c r="F49" i="9"/>
  <c r="F315" i="9"/>
  <c r="F11" i="9"/>
  <c r="F429" i="9"/>
  <c r="F125" i="9"/>
  <c r="F163" i="9"/>
  <c r="F619" i="9"/>
  <c r="F467" i="9"/>
  <c r="F277" i="9"/>
  <c r="F239" i="9"/>
  <c r="F543" i="9"/>
  <c r="F201" i="9"/>
  <c r="F317" i="9"/>
  <c r="F279" i="9"/>
  <c r="F431" i="9"/>
  <c r="F241" i="9"/>
  <c r="F127" i="9"/>
  <c r="F621" i="9"/>
  <c r="F583" i="9"/>
  <c r="F393" i="9"/>
  <c r="F545" i="9"/>
  <c r="F355" i="9"/>
  <c r="F165" i="9"/>
  <c r="F469" i="9"/>
  <c r="F13" i="9"/>
  <c r="F507" i="9"/>
  <c r="F203" i="9"/>
  <c r="F51" i="9"/>
  <c r="F89" i="9"/>
  <c r="F613" i="9" l="1"/>
  <c r="F157" i="9"/>
  <c r="F575" i="9"/>
  <c r="F119" i="9"/>
  <c r="F385" i="9"/>
  <c r="F81" i="9"/>
  <c r="F461" i="9"/>
  <c r="F271" i="9"/>
  <c r="F233" i="9"/>
  <c r="F537" i="9"/>
  <c r="F5" i="9"/>
  <c r="F499" i="9"/>
  <c r="F347" i="9"/>
  <c r="F43" i="9"/>
  <c r="F309" i="9"/>
  <c r="F195" i="9"/>
  <c r="F423" i="9"/>
  <c r="F206" i="9"/>
  <c r="F624" i="9"/>
  <c r="F168" i="9"/>
  <c r="F548" i="9"/>
  <c r="F358" i="9"/>
  <c r="F16" i="9"/>
  <c r="F320" i="9"/>
  <c r="F586" i="9"/>
  <c r="F434" i="9"/>
  <c r="F472" i="9"/>
  <c r="F510" i="9"/>
  <c r="F54" i="9"/>
  <c r="F282" i="9"/>
  <c r="F130" i="9"/>
  <c r="F92" i="9"/>
  <c r="F244" i="9"/>
  <c r="F396" i="9"/>
  <c r="F280" i="9"/>
  <c r="F242" i="9"/>
  <c r="F622" i="9"/>
  <c r="F356" i="9"/>
  <c r="F52" i="9"/>
  <c r="F546" i="9"/>
  <c r="F14" i="9"/>
  <c r="F204" i="9"/>
  <c r="F166" i="9"/>
  <c r="F128" i="9"/>
  <c r="F470" i="9"/>
  <c r="F584" i="9"/>
  <c r="F432" i="9"/>
  <c r="F318" i="9"/>
  <c r="F394" i="9"/>
  <c r="F508" i="9"/>
  <c r="F90" i="9"/>
  <c r="F243" i="9"/>
  <c r="F205" i="9"/>
  <c r="F357" i="9"/>
  <c r="F53" i="9"/>
  <c r="F547" i="9"/>
  <c r="F15" i="9"/>
  <c r="F129" i="9"/>
  <c r="F585" i="9"/>
  <c r="F433" i="9"/>
  <c r="F471" i="9"/>
  <c r="F319" i="9"/>
  <c r="F281" i="9"/>
  <c r="F167" i="9"/>
  <c r="F623" i="9"/>
  <c r="F395" i="9"/>
  <c r="F509" i="9"/>
  <c r="F91" i="9"/>
  <c r="F514" i="9"/>
  <c r="F58" i="9"/>
  <c r="F476" i="9"/>
  <c r="F20" i="9"/>
  <c r="F400" i="9"/>
  <c r="F172" i="9"/>
  <c r="F286" i="9"/>
  <c r="F362" i="9"/>
  <c r="F628" i="9"/>
  <c r="F210" i="9"/>
  <c r="F590" i="9"/>
  <c r="F134" i="9"/>
  <c r="F438" i="9"/>
  <c r="F248" i="9"/>
  <c r="F96" i="9"/>
  <c r="F552" i="9"/>
  <c r="F324" i="9"/>
  <c r="F428" i="9"/>
  <c r="F390" i="9"/>
  <c r="F200" i="9"/>
  <c r="F10" i="9"/>
  <c r="F504" i="9"/>
  <c r="F618" i="9"/>
  <c r="F238" i="9"/>
  <c r="F48" i="9"/>
  <c r="F86" i="9"/>
  <c r="F352" i="9"/>
  <c r="F314" i="9"/>
  <c r="F580" i="9"/>
  <c r="F124" i="9"/>
  <c r="F162" i="9"/>
  <c r="F542" i="9"/>
  <c r="F276" i="9"/>
  <c r="F466" i="9"/>
  <c r="F625" i="9"/>
  <c r="F169" i="9"/>
  <c r="F587" i="9"/>
  <c r="F131" i="9"/>
  <c r="F473" i="9"/>
  <c r="F283" i="9"/>
  <c r="F511" i="9"/>
  <c r="F321" i="9"/>
  <c r="F207" i="9"/>
  <c r="F55" i="9"/>
  <c r="F359" i="9"/>
  <c r="F17" i="9"/>
  <c r="F397" i="9"/>
  <c r="F93" i="9"/>
  <c r="F549" i="9"/>
  <c r="F435" i="9"/>
  <c r="F245" i="9"/>
  <c r="F539" i="9"/>
  <c r="F83" i="9"/>
  <c r="F501" i="9"/>
  <c r="F45" i="9"/>
  <c r="F311" i="9"/>
  <c r="F7" i="9"/>
  <c r="F425" i="9"/>
  <c r="F121" i="9"/>
  <c r="F273" i="9"/>
  <c r="F197" i="9"/>
  <c r="F387" i="9"/>
  <c r="F235" i="9"/>
  <c r="F577" i="9"/>
  <c r="F159" i="9"/>
  <c r="F349" i="9"/>
  <c r="F615" i="9"/>
  <c r="F463" i="9"/>
  <c r="F465" i="9"/>
  <c r="F9" i="9"/>
  <c r="F427" i="9"/>
  <c r="F579" i="9"/>
  <c r="F199" i="9"/>
  <c r="F85" i="9"/>
  <c r="F617" i="9"/>
  <c r="F237" i="9"/>
  <c r="F389" i="9"/>
  <c r="F275" i="9"/>
  <c r="F313" i="9"/>
  <c r="F161" i="9"/>
  <c r="F541" i="9"/>
  <c r="F351" i="9"/>
  <c r="F503" i="9"/>
  <c r="F47" i="9"/>
  <c r="F123" i="9"/>
  <c r="F551" i="9"/>
  <c r="F95" i="9"/>
  <c r="F513" i="9"/>
  <c r="F57" i="9"/>
  <c r="F399" i="9"/>
  <c r="F171" i="9"/>
  <c r="F475" i="9"/>
  <c r="F361" i="9"/>
  <c r="F209" i="9"/>
  <c r="F627" i="9"/>
  <c r="F285" i="9"/>
  <c r="F247" i="9"/>
  <c r="F437" i="9"/>
  <c r="F133" i="9"/>
  <c r="F589" i="9"/>
  <c r="F19" i="9"/>
  <c r="F323" i="9"/>
  <c r="F502" i="9"/>
  <c r="F46" i="9"/>
  <c r="F464" i="9"/>
  <c r="F8" i="9"/>
  <c r="F312" i="9"/>
  <c r="F84" i="9"/>
  <c r="F578" i="9"/>
  <c r="F426" i="9"/>
  <c r="F122" i="9"/>
  <c r="F616" i="9"/>
  <c r="F236" i="9"/>
  <c r="F540" i="9"/>
  <c r="F274" i="9"/>
  <c r="F198" i="9"/>
  <c r="F388" i="9"/>
  <c r="F160" i="9"/>
  <c r="F350" i="9"/>
  <c r="F194" i="9"/>
  <c r="F612" i="9"/>
  <c r="F156" i="9"/>
  <c r="F460" i="9"/>
  <c r="F270" i="9"/>
  <c r="F118" i="9"/>
  <c r="F384" i="9"/>
  <c r="F232" i="9"/>
  <c r="F536" i="9"/>
  <c r="F346" i="9"/>
  <c r="F42" i="9"/>
  <c r="F498" i="9"/>
  <c r="F4" i="9"/>
  <c r="F308" i="9"/>
  <c r="F80" i="9"/>
  <c r="F422" i="9"/>
  <c r="F57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<sst xmlns="http://schemas.openxmlformats.org/spreadsheetml/2006/main" count="7560" uniqueCount="227">
  <si>
    <t>ODI risk PCC NHH feeder inputs Run 11</t>
  </si>
  <si>
    <t>Run 11 - PR24 FD Data</t>
  </si>
  <si>
    <t>Version number:</t>
  </si>
  <si>
    <t>File name:</t>
  </si>
  <si>
    <t>Date:</t>
  </si>
  <si>
    <t>For enquiries please contact:</t>
  </si>
  <si>
    <t>PR24@ofwat.gov.uk</t>
  </si>
  <si>
    <t>Conceptual model</t>
  </si>
  <si>
    <t>End of sheet</t>
  </si>
  <si>
    <t>Run on 06 Dec 2024 15:13</t>
  </si>
  <si>
    <t>Acronym</t>
  </si>
  <si>
    <t>Reference</t>
  </si>
  <si>
    <t>Item description</t>
  </si>
  <si>
    <t>Unit</t>
  </si>
  <si>
    <t>Model</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</si>
  <si>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</si>
  <si>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</si>
  <si>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</si>
  <si>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</si>
  <si>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</si>
  <si>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</si>
  <si>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</si>
  <si>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</si>
  <si>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</si>
  <si>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</si>
  <si>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</si>
  <si>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</si>
  <si>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</si>
  <si>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</si>
  <si>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</si>
  <si>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</si>
  <si>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</si>
  <si>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</si>
  <si>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</si>
  <si>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Price Review 2024</t>
  </si>
  <si>
    <t>Latest</t>
  </si>
  <si>
    <t>ANH</t>
  </si>
  <si>
    <t>OUT4_08_C_PR24</t>
  </si>
  <si>
    <t>Underlying calculations for common performance commitments - water and combined - Per capita consumption - Company level - 3- year average per capita consumption</t>
  </si>
  <si>
    <t>l/p/d</t>
  </si>
  <si>
    <t/>
  </si>
  <si>
    <t>OUT4_09_C_PR24</t>
  </si>
  <si>
    <t>Underlying calculations for common performance commitments - water and combined - Per capita consumption - Region 1 - 3- year average per capita consumption</t>
  </si>
  <si>
    <t>OUT4_10_C_PR24</t>
  </si>
  <si>
    <t>Underlying calculations for common performance commitments - water and combined - Per capita consumption - Region 2 - 3- year average per capita consumption</t>
  </si>
  <si>
    <t>Ml/d</t>
  </si>
  <si>
    <t>WSH</t>
  </si>
  <si>
    <t>HDD</t>
  </si>
  <si>
    <t>NES</t>
  </si>
  <si>
    <t>SVE</t>
  </si>
  <si>
    <t>SWB</t>
  </si>
  <si>
    <t>SRN</t>
  </si>
  <si>
    <t>TMS</t>
  </si>
  <si>
    <t>NWT</t>
  </si>
  <si>
    <t>WSX</t>
  </si>
  <si>
    <t>YKY</t>
  </si>
  <si>
    <t>AFW</t>
  </si>
  <si>
    <t>BRL</t>
  </si>
  <si>
    <t>SSC</t>
  </si>
  <si>
    <t>PRT</t>
  </si>
  <si>
    <t>SEW</t>
  </si>
  <si>
    <t>SES</t>
  </si>
  <si>
    <t>Company</t>
  </si>
  <si>
    <t>Performance Commitment</t>
  </si>
  <si>
    <t>Measure</t>
  </si>
  <si>
    <t>Helper 1</t>
  </si>
  <si>
    <t>Helper 2</t>
  </si>
  <si>
    <t>PCC Performance as reported in business plan submissions</t>
  </si>
  <si>
    <t>PCC</t>
  </si>
  <si>
    <t>3-Year average consumption</t>
  </si>
  <si>
    <t>NES (NNE)</t>
  </si>
  <si>
    <t>3-Year average consumption (Region 1)</t>
  </si>
  <si>
    <t>NES (ESK)</t>
  </si>
  <si>
    <t>3-Year average consumption (Region 2)</t>
  </si>
  <si>
    <t>UUW</t>
  </si>
  <si>
    <t>SSC (SST)</t>
  </si>
  <si>
    <t>SSC (CAM)</t>
  </si>
  <si>
    <t>PCC performance (reported in terms of historical reporting methodologies)</t>
  </si>
  <si>
    <t>-</t>
  </si>
  <si>
    <t>Historical Performance Commitment Level (PCL) for PR14</t>
  </si>
  <si>
    <t>PR14 PCL</t>
  </si>
  <si>
    <t>Historical Performance Commitment Level (PCL) for PR19</t>
  </si>
  <si>
    <t>PR19 PCL</t>
  </si>
  <si>
    <t>END</t>
  </si>
  <si>
    <t>NHH Performance - Measured consumption (August 2022 Data Request for Enhancement and Water Balance)</t>
  </si>
  <si>
    <t>NHH</t>
  </si>
  <si>
    <t>Measured non-household consumption (excluding supply pipe leakage)</t>
  </si>
  <si>
    <t>NHH Performance - Unmeasured consumption (August 2022 Data Request for Enhancement and Water Balance)</t>
  </si>
  <si>
    <t>Unmeasured non-household consumption (excluding supply pipe leakage)</t>
  </si>
  <si>
    <t>WRMP14 Forecast</t>
  </si>
  <si>
    <t>WRMP14 Forecast - Total Water delivered NHH</t>
  </si>
  <si>
    <t>Source: August 2022 Data Request for Enhancement and Water Balance</t>
  </si>
  <si>
    <t>[INPUT] Measured non-household consumption (excluding supply pipe leakage)</t>
  </si>
  <si>
    <t>[INPUT] Unmeasured non-household consumption (excluding supply pipe leakage)</t>
  </si>
  <si>
    <t>Total non-household consumption (excluding supply pipe leakage)</t>
  </si>
  <si>
    <t>Total non-household consumption (excluding supply pipe leakage) 3-Year Average</t>
  </si>
  <si>
    <t>[INPUT] WRMP14 Forecast - Total Non-household Water Delivered</t>
  </si>
  <si>
    <t>WRMP14 Forecast 3-Year Average</t>
  </si>
  <si>
    <t>[INPUT] Total non-household consumption (excluding supply pipe leakage) 3-Year Average</t>
  </si>
  <si>
    <t>[INPUT] WRMP14 Forecast 3-Year Average</t>
  </si>
  <si>
    <t>Performance difference to target (Numeric)</t>
  </si>
  <si>
    <t>Performance difference to target (% of target)</t>
  </si>
  <si>
    <t>%</t>
  </si>
  <si>
    <t>Percentile</t>
  </si>
  <si>
    <t>Value</t>
  </si>
  <si>
    <t>[INPUT] Performance difference to target (% of target)</t>
  </si>
  <si>
    <t>Industry-wide Performance Percentiles</t>
  </si>
  <si>
    <t>P10</t>
  </si>
  <si>
    <t>P15</t>
  </si>
  <si>
    <t>P20</t>
  </si>
  <si>
    <t>P25</t>
  </si>
  <si>
    <t>P30</t>
  </si>
  <si>
    <t>P35</t>
  </si>
  <si>
    <t>P40</t>
  </si>
  <si>
    <t>P45</t>
  </si>
  <si>
    <t>P50</t>
  </si>
  <si>
    <t>P55</t>
  </si>
  <si>
    <t>P60</t>
  </si>
  <si>
    <t>P65</t>
  </si>
  <si>
    <t>P70</t>
  </si>
  <si>
    <t>P75</t>
  </si>
  <si>
    <t>P80</t>
  </si>
  <si>
    <t>P85</t>
  </si>
  <si>
    <t>P90</t>
  </si>
  <si>
    <t>Industry-wide Performance Percentiles (P50 adjusted to zero)</t>
  </si>
  <si>
    <t>&lt;- adjustment value</t>
  </si>
  <si>
    <t>Industry-wide Performance Percentiles (P50 adjusted to zero) (Mirrored P10 to P90 to adjusting for lasting effects of Covid-19)</t>
  </si>
  <si>
    <t>[INPUT] PCC Performance as reported in business plan submissions (2023)</t>
  </si>
  <si>
    <t>3-Year average per capita consumption</t>
  </si>
  <si>
    <t>3-Year average per capita consumption (Region 1)</t>
  </si>
  <si>
    <t>3-Year average per capita consumption (Region 2)</t>
  </si>
  <si>
    <t>[INPUT] PCC performance (reported in terms of historical reporting methodologies)</t>
  </si>
  <si>
    <t>PCC Performance combined</t>
  </si>
  <si>
    <t xml:space="preserve">[INPUT] AMP6 PCL </t>
  </si>
  <si>
    <t>AMP6 PCL</t>
  </si>
  <si>
    <t xml:space="preserve">[INPUT] AMP7 PCL </t>
  </si>
  <si>
    <t>AMP7 PCL</t>
  </si>
  <si>
    <t>PCL Combined</t>
  </si>
  <si>
    <t>[INPUT] PCC Performance combined</t>
  </si>
  <si>
    <t>Performance 3-year average</t>
  </si>
  <si>
    <t>Performance 3-year average (Region 1)</t>
  </si>
  <si>
    <t>Performance 3-year average (Region 2)</t>
  </si>
  <si>
    <t>[INPUT] PCL combined</t>
  </si>
  <si>
    <t>Industry-wide Performance Percentiles (P50 adjusted to zero &amp; Mirrored P90 performance as P10 to adjust for lasting impacts of Covid-19)</t>
  </si>
  <si>
    <t>Industry-wide percentiles</t>
  </si>
  <si>
    <t>PCC&amp;NHH FEEDER</t>
  </si>
  <si>
    <t>Constant</t>
  </si>
  <si>
    <t>C_ODIRISK_NHH_FEED_P10</t>
  </si>
  <si>
    <t>Historic performance range Percentile (P10) for Business Demand Performance Commitment PR24</t>
  </si>
  <si>
    <t>C_ODIRISK_NHH_FEED_P15</t>
  </si>
  <si>
    <t>Historic performance range Percentile (P15) for Business Demand Performance Commitment PR24</t>
  </si>
  <si>
    <t>C_ODIRISK_NHH_FEED_P20</t>
  </si>
  <si>
    <t>Historic performance range Percentile (P20) for Business Demand Performance Commitment PR24</t>
  </si>
  <si>
    <t>C_ODIRISK_NHH_FEED_P25</t>
  </si>
  <si>
    <t>Historic performance range Percentile (P25) for Business Demand Performance Commitment PR24</t>
  </si>
  <si>
    <t>C_ODIRISK_NHH_FEED_P30</t>
  </si>
  <si>
    <t>Historic performance range Percentile (P30) for Business Demand Performance Commitment PR24</t>
  </si>
  <si>
    <t>C_ODIRISK_NHH_FEED_P35</t>
  </si>
  <si>
    <t>Historic performance range Percentile (P35) for Business Demand Performance Commitment PR24</t>
  </si>
  <si>
    <t>C_ODIRISK_NHH_FEED_P40</t>
  </si>
  <si>
    <t>Historic performance range Percentile (P40) for Business Demand Performance Commitment PR24</t>
  </si>
  <si>
    <t>C_ODIRISK_NHH_FEED_P45</t>
  </si>
  <si>
    <t>Historic performance range Percentile (P45) for Business Demand Performance Commitment PR24</t>
  </si>
  <si>
    <t>C_ODIRISK_NHH_FEED_P50</t>
  </si>
  <si>
    <t>Historic performance range Percentile (P50) for Business Demand Performance Commitment PR24</t>
  </si>
  <si>
    <t>C_ODIRISK_NHH_FEED_P55</t>
  </si>
  <si>
    <t>Historic performance range Percentile (P55) for Business Demand Performance Commitment PR24</t>
  </si>
  <si>
    <t>C_ODIRISK_NHH_FEED_P60</t>
  </si>
  <si>
    <t>Historic performance range Percentile (P60) for Business Demand Performance Commitment PR24</t>
  </si>
  <si>
    <t>C_ODIRISK_NHH_FEED_P65</t>
  </si>
  <si>
    <t>Historic performance range Percentile (P65) for Business Demand Performance Commitment PR24</t>
  </si>
  <si>
    <t>C_ODIRISK_NHH_FEED_P70</t>
  </si>
  <si>
    <t>Historic performance range Percentile (P70) for Business Demand Performance Commitment PR24</t>
  </si>
  <si>
    <t>C_ODIRISK_NHH_FEED_P75</t>
  </si>
  <si>
    <t>Historic performance range Percentile (P75) for Business Demand Performance Commitment PR24</t>
  </si>
  <si>
    <t>C_ODIRISK_NHH_FEED_P80</t>
  </si>
  <si>
    <t>Historic performance range Percentile (P80) for Business Demand Performance Commitment PR24</t>
  </si>
  <si>
    <t>C_ODIRISK_NHH_FEED_P85</t>
  </si>
  <si>
    <t>Historic performance range Percentile (P85) for Business Demand Performance Commitment PR24</t>
  </si>
  <si>
    <t>C_ODIRISK_NHH_FEED_P90</t>
  </si>
  <si>
    <t>Historic performance range Percentile (P90) for Business Demand Performance Commitment PR24</t>
  </si>
  <si>
    <t>C_ODIRISK_PCC_FEED_P10</t>
  </si>
  <si>
    <t>Historic performance range Percentile (P10) for Per Capita Consumption Performance Commitment PR24</t>
  </si>
  <si>
    <t>C_ODIRISK_PCC_FEED_P15</t>
  </si>
  <si>
    <t>Historic performance range Percentile (P15) for Per Capita Consumption Performance Commitment PR24</t>
  </si>
  <si>
    <t>C_ODIRISK_PCC_FEED_P20</t>
  </si>
  <si>
    <t>Historic performance range Percentile (P20) for Per Capita Consumption Performance Commitment PR24</t>
  </si>
  <si>
    <t>C_ODIRISK_PCC_FEED_P25</t>
  </si>
  <si>
    <t>Historic performance range Percentile (P25) for Per Capita Consumption Performance Commitment PR24</t>
  </si>
  <si>
    <t>C_ODIRISK_PCC_FEED_P30</t>
  </si>
  <si>
    <t>Historic performance range Percentile (P30) for Per Capita Consumption Performance Commitment PR24</t>
  </si>
  <si>
    <t>C_ODIRISK_PCC_FEED_P35</t>
  </si>
  <si>
    <t>Historic performance range Percentile (P35) for Per Capita Consumption Performance Commitment PR24</t>
  </si>
  <si>
    <t>C_ODIRISK_PCC_FEED_P40</t>
  </si>
  <si>
    <t>Historic performance range Percentile (P40) for Per Capita Consumption Performance Commitment PR24</t>
  </si>
  <si>
    <t>C_ODIRISK_PCC_FEED_P45</t>
  </si>
  <si>
    <t>Historic performance range Percentile (P45) for Per Capita Consumption Performance Commitment PR24</t>
  </si>
  <si>
    <t>C_ODIRISK_PCC_FEED_P50</t>
  </si>
  <si>
    <t>Historic performance range Percentile (P50) for Per Capita Consumption Performance Commitment PR24</t>
  </si>
  <si>
    <t>C_ODIRISK_PCC_FEED_P55</t>
  </si>
  <si>
    <t>Historic performance range Percentile (P55) for Per Capita Consumption Performance Commitment PR24</t>
  </si>
  <si>
    <t>C_ODIRISK_PCC_FEED_P60</t>
  </si>
  <si>
    <t>Historic performance range Percentile (P60) for Per Capita Consumption Performance Commitment PR24</t>
  </si>
  <si>
    <t>C_ODIRISK_PCC_FEED_P65</t>
  </si>
  <si>
    <t>Historic performance range Percentile (P65) for Per Capita Consumption Performance Commitment PR24</t>
  </si>
  <si>
    <t>C_ODIRISK_PCC_FEED_P70</t>
  </si>
  <si>
    <t>Historic performance range Percentile (P70) for Per Capita Consumption Performance Commitment PR24</t>
  </si>
  <si>
    <t>C_ODIRISK_PCC_FEED_P75</t>
  </si>
  <si>
    <t>Historic performance range Percentile (P75) for Per Capita Consumption Performance Commitment PR24</t>
  </si>
  <si>
    <t>C_ODIRISK_PCC_FEED_P80</t>
  </si>
  <si>
    <t>Historic performance range Percentile (P80) for Per Capita Consumption Performance Commitment PR24</t>
  </si>
  <si>
    <t>C_ODIRISK_PCC_FEED_P85</t>
  </si>
  <si>
    <t>Historic performance range Percentile (P85) for Per Capita Consumption Performance Commitment PR24</t>
  </si>
  <si>
    <t>C_ODIRISK_PCC_FEED_P90</t>
  </si>
  <si>
    <t>Historic performance range Percentile (P90) for Per Capita Consumption Performance Commitment PR24</t>
  </si>
  <si>
    <t>PR24QA_PR24OC02_OUT1</t>
  </si>
  <si>
    <t>Date &amp; Time for Model - PR24OC02</t>
  </si>
  <si>
    <t>PR24QA_PR24OC02_OUT2</t>
  </si>
  <si>
    <t>Name of Model - PR24OC02</t>
  </si>
  <si>
    <t>PR24QA_PR24OC02_OUT3</t>
  </si>
  <si>
    <t>F_Inputs time stamp - PR24OC02</t>
  </si>
  <si>
    <t>PR24QA_PR24OC02_OUT4</t>
  </si>
  <si>
    <t>Model override switch for - PR24OC02</t>
  </si>
  <si>
    <t>N/A</t>
  </si>
  <si>
    <t>PR24 [Model name]</t>
  </si>
  <si>
    <t>Model code</t>
  </si>
  <si>
    <t>PR24OC13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</si>
</sst>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_);\(#,##0\);&quot;-  &quot;;&quot; &quot;@&quot; &quot;"/>
    <numFmt numFmtId="165" formatCode="#,##0.0"/>
    <numFmt numFmtId="166" formatCode="0.0"/>
    <numFmt numFmtId="167" formatCode="0.0%"/>
    <numFmt numFmtId="168" formatCode="0.0000"/>
    <numFmt numFmtId="169" formatCode="#,##0.0_);\(#,##0.0\);&quot;-  &quot;;&quot; &quot;@&quot; &quot;"/>
    <numFmt numFmtId="170" formatCode="###0_);\(###0\);&quot;-  &quot;;&quot; &quot;@&quot; &quot;"/>
    <numFmt numFmtId="171" formatCode="mmmm\ yyyy;@"/>
  </numFmts>
  <fonts count="35" x14ac:knownFonts="1">
    <font>
      <sz val="11"/>
      <color theme="1"/>
      <name val="Arial"/>
      <family val="2"/>
    </font>
    <font>
      <sz val="10"/>
      <color theme="1"/>
      <name val="Calibri"/>
      <family val="2"/>
      <scheme val="minor"/>
    </font>
    <font>
      <b/>
      <sz val="10"/>
      <name val="Calibri"/>
      <family val="2"/>
      <scheme val="minor"/>
    </font>
    <font>
      <sz val="10"/>
      <name val="Calibri"/>
      <family val="2"/>
      <scheme val="minor"/>
    </font>
    <font>
      <sz val="24"/>
      <color theme="0"/>
      <name val="Calibri"/>
      <family val="2"/>
      <scheme val="minor"/>
    </font>
    <font>
      <b/>
      <sz val="10"/>
      <color theme="1"/>
      <name val="Calibri"/>
      <family val="2"/>
      <scheme val="minor"/>
    </font>
    <font>
      <sz val="10"/>
      <name val="Calibri"/>
      <family val="2"/>
    </font>
    <font>
      <sz val="8"/>
      <name val="Arial"/>
      <family val="2"/>
    </font>
    <font>
      <sz val="10"/>
      <color rgb="FF0071CE"/>
      <name val="Calibri"/>
      <family val="2"/>
      <scheme val="minor"/>
    </font>
    <font>
      <sz val="10"/>
      <color theme="1"/>
      <name val="Calibri"/>
      <family val="2"/>
    </font>
    <font>
      <sz val="11"/>
      <color theme="1"/>
      <name val="Arial"/>
      <family val="2"/>
    </font>
    <font>
      <sz val="11"/>
      <color theme="1"/>
      <name val="Calibri"/>
      <family val="2"/>
      <scheme val="minor"/>
    </font>
    <font>
      <sz val="11"/>
      <color rgb="FF000000"/>
      <name val="Calibri"/>
      <family val="2"/>
      <scheme val="minor"/>
    </font>
    <font>
      <b/>
      <u/>
      <sz val="11"/>
      <name val="Calibri"/>
      <family val="2"/>
      <scheme val="minor"/>
    </font>
    <font>
      <sz val="10"/>
      <color rgb="FF000000"/>
      <name val="Calibri"/>
      <family val="2"/>
      <scheme val="minor"/>
    </font>
    <font>
      <sz val="10"/>
      <color theme="0" tint="-0.499984740745262"/>
      <name val="Calibri"/>
      <family val="2"/>
      <scheme val="minor"/>
    </font>
    <font>
      <b/>
      <sz val="10"/>
      <color theme="0" tint="-0.499984740745262"/>
      <name val="Calibri"/>
      <family val="2"/>
      <scheme val="minor"/>
    </font>
    <font>
      <sz val="10"/>
      <color theme="4"/>
      <name val="Calibri"/>
      <family val="2"/>
      <scheme val="minor"/>
    </font>
    <font>
      <sz val="24"/>
      <color theme="0" tint="-0.34998626667073579"/>
      <name val="Calibri"/>
      <family val="2"/>
      <scheme val="minor"/>
    </font>
    <font>
      <sz val="10"/>
      <color theme="0" tint="-0.34998626667073579"/>
      <name val="Calibri"/>
      <family val="2"/>
      <scheme val="minor"/>
    </font>
    <font>
      <b/>
      <sz val="10"/>
      <color theme="0" tint="-0.34998626667073579"/>
      <name val="Calibri"/>
      <family val="2"/>
      <scheme val="minor"/>
    </font>
    <font>
      <u/>
      <sz val="11"/>
      <color theme="10"/>
      <name val="Arial"/>
      <family val="2"/>
    </font>
    <font>
      <b/>
      <sz val="10"/>
      <color indexed="8"/>
      <name val="Calibri"/>
      <family val="2"/>
      <scheme val="minor"/>
    </font>
    <font>
      <sz val="10"/>
      <color indexed="8"/>
      <name val="Calibri"/>
      <family val="2"/>
      <scheme val="minor"/>
    </font>
    <font>
      <sz val="10"/>
      <color indexed="9"/>
      <name val="Calibri"/>
      <family val="2"/>
      <scheme val="minor"/>
    </font>
    <font>
      <sz val="8"/>
      <color theme="1"/>
      <name val="Tahoma"/>
      <family val="2"/>
    </font>
    <font>
      <sz val="18"/>
      <name val="Calibri"/>
      <family val="2"/>
      <scheme val="minor"/>
    </font>
    <font>
      <b/>
      <sz val="18"/>
      <name val="Calibri"/>
      <family val="2"/>
      <scheme val="minor"/>
    </font>
    <font>
      <u/>
      <sz val="11"/>
      <color theme="10"/>
      <name val="Calibri"/>
      <family val="2"/>
      <scheme val="minor"/>
    </font>
    <font>
      <sz val="11"/>
      <color rgb="FF242424"/>
      <name val="Calibri"/>
      <family val="2"/>
      <scheme val="minor"/>
    </font>
    <font>
      <b/>
      <sz val="10"/>
      <color rgb="FF0071CE"/>
      <name val="Calibri"/>
      <family val="2"/>
      <scheme val="minor"/>
    </font>
    <font>
      <b/>
      <sz val="11"/>
      <name val="Calibri"/>
      <family val="2"/>
      <scheme val="minor"/>
    </font>
    <font>
      <sz val="10"/>
      <color rgb="FFFFFFFF"/>
      <name val="Calibri"/>
      <family val="2"/>
      <scheme val="minor"/>
    </font>
    <font>
      <sz val="10"/>
      <color rgb="FFD60037"/>
      <name val="Calibri"/>
      <family val="2"/>
      <scheme val="minor"/>
    </font>
    <font>
      <sz val="11"/>
      <color rgb="FF0071CE"/>
      <name val="Calibri"/>
      <family val="2"/>
      <scheme val="minor"/>
    </font>
  </fonts>
  <fills count="14">
    <fill>
      <patternFill patternType="none"/>
    </fill>
    <fill>
      <patternFill patternType="gray125"/>
    </fill>
    <fill>
      <patternFill patternType="solid">
        <fgColor rgb="FF003595"/>
        <bgColor indexed="64"/>
      </patternFill>
    </fill>
    <fill>
      <patternFill patternType="solid">
        <fgColor rgb="FFDCECF5"/>
        <bgColor indexed="64"/>
      </patternFill>
    </fill>
    <fill>
      <patternFill patternType="solid">
        <fgColor rgb="FFCCCCCE"/>
        <bgColor indexed="64"/>
      </patternFill>
    </fill>
    <fill>
      <patternFill patternType="solid">
        <fgColor rgb="FFFFFF00"/>
      </patternFill>
    </fill>
    <fill>
      <patternFill patternType="solid">
        <fgColor rgb="FFFFFFE0"/>
      </patternFill>
    </fill>
    <fill>
      <patternFill patternType="solid">
        <fgColor rgb="FFFFFF00"/>
        <bgColor rgb="FF000000"/>
      </patternFill>
    </fill>
    <fill>
      <patternFill patternType="solid">
        <fgColor rgb="FFFFDB8E"/>
        <bgColor rgb="FF000000"/>
      </patternFill>
    </fill>
    <fill>
      <patternFill patternType="solid">
        <fgColor theme="0" tint="-0.249977111117893"/>
        <bgColor indexed="64"/>
      </patternFill>
    </fill>
    <fill>
      <patternFill patternType="solid">
        <fgColor rgb="FF003479"/>
        <bgColor rgb="FF000000"/>
      </patternFill>
    </fill>
    <fill>
      <patternFill patternType="solid">
        <fgColor rgb="FF98C561"/>
        <bgColor indexed="64"/>
      </patternFill>
    </fill>
    <fill>
      <patternFill patternType="solid">
        <fgColor rgb="FFD9D9D9"/>
        <bgColor indexed="64"/>
      </patternFill>
    </fill>
    <fill>
      <patternFill patternType="solid">
        <fgColor rgb="FF003479"/>
        <bgColor indexed="64"/>
      </patternFill>
    </fill>
  </fills>
  <borders count="1">
    <border>
      <left/>
      <right/>
      <top/>
      <bottom/>
      <diagonal/>
    </border>
  </borders>
  <cellStyleXfs count="12">
    <xf numFmtId="0" fontId="0" fillId="0" borderId="0"/>
    <xf numFmtId="164" fontId="6" fillId="0" borderId="0" applyFill="0" applyBorder="0" applyProtection="0">
      <alignment vertical="top"/>
    </xf>
    <xf numFmtId="0" fontId="9" fillId="0" borderId="0"/>
    <xf numFmtId="9" fontId="10" fillId="0" borderId="0" applyFont="0" applyFill="0" applyBorder="0" applyAlignment="0" applyProtection="0"/>
    <xf numFmtId="0" fontId="10" fillId="0" borderId="0"/>
    <xf numFmtId="43" fontId="11" fillId="0" borderId="0" applyFont="0" applyFill="0" applyBorder="0" applyAlignment="0" applyProtection="0"/>
    <xf numFmtId="0" fontId="10" fillId="0" borderId="0"/>
    <xf numFmtId="0" fontId="10" fillId="0" borderId="0"/>
    <xf numFmtId="0" fontId="21" fillId="0" borderId="0" applyNumberFormat="0" applyFill="0" applyBorder="0" applyAlignment="0" applyProtection="0"/>
    <xf numFmtId="170" fontId="6" fillId="0" borderId="0" applyFont="0" applyFill="0" applyBorder="0" applyProtection="0">
      <alignment vertical="top"/>
    </xf>
    <xf numFmtId="0" fontId="10" fillId="0" borderId="0"/>
    <xf numFmtId="164" fontId="25" fillId="0" borderId="0" applyFont="0" applyFill="0" applyBorder="0" applyProtection="0">
      <alignment vertical="top"/>
    </xf>
  </cellStyleXfs>
  <cellXfs count="116">
    <xf numFmtId="0" fontId="0" fillId="0" borderId="0" xfId="0"/>
    <xf numFmtId="0" fontId="1" fillId="0" borderId="0" xfId="0" applyFont="1" applyAlignment="1">
      <alignment vertical="top"/>
    </xf>
    <xf numFmtId="0" fontId="1" fillId="0" borderId="0" xfId="0" applyFont="1"/>
    <xf numFmtId="1" fontId="1" fillId="0" borderId="0" xfId="0" applyNumberFormat="1" applyFont="1" applyAlignment="1">
      <alignment vertical="top"/>
    </xf>
    <xf numFmtId="0" fontId="4" fillId="2" borderId="0" xfId="0" applyFont="1" applyFill="1" applyAlignment="1">
      <alignment vertical="top"/>
    </xf>
    <xf numFmtId="0" fontId="4" fillId="2" borderId="0" xfId="0" applyFont="1" applyFill="1" applyAlignment="1">
      <alignment horizontal="left" vertical="top"/>
    </xf>
    <xf numFmtId="0" fontId="5" fillId="0" borderId="0" xfId="0" applyFont="1" applyAlignment="1">
      <alignment vertical="top"/>
    </xf>
    <xf numFmtId="164" fontId="2" fillId="0" borderId="0" xfId="1" applyFont="1">
      <alignment vertical="top"/>
    </xf>
    <xf numFmtId="2" fontId="1" fillId="0" borderId="0" xfId="0" applyNumberFormat="1" applyFont="1" applyAlignment="1">
      <alignment vertical="top"/>
    </xf>
    <xf numFmtId="0" fontId="3" fillId="0" borderId="0" xfId="0" applyFont="1" applyAlignment="1">
      <alignment vertical="top"/>
    </xf>
    <xf numFmtId="0" fontId="1" fillId="4" borderId="0" xfId="0" applyFont="1" applyFill="1" applyAlignment="1">
      <alignment vertical="top"/>
    </xf>
    <xf numFmtId="2" fontId="3" fillId="0" borderId="0" xfId="0" applyNumberFormat="1" applyFont="1" applyAlignment="1">
      <alignment vertical="top"/>
    </xf>
    <xf numFmtId="0" fontId="3" fillId="4" borderId="0" xfId="0" applyFont="1" applyFill="1" applyAlignment="1">
      <alignment vertical="top"/>
    </xf>
    <xf numFmtId="10" fontId="1" fillId="0" borderId="0" xfId="3" applyNumberFormat="1" applyFont="1" applyAlignment="1">
      <alignment vertical="top"/>
    </xf>
    <xf numFmtId="0" fontId="11" fillId="0" borderId="0" xfId="0" applyFont="1" applyAlignment="1">
      <alignment vertical="top"/>
    </xf>
    <xf numFmtId="0" fontId="12" fillId="0" borderId="0" xfId="0" applyFont="1"/>
    <xf numFmtId="0" fontId="13" fillId="0" borderId="0" xfId="0" applyFont="1"/>
    <xf numFmtId="1" fontId="14" fillId="0" borderId="0" xfId="0" applyNumberFormat="1" applyFont="1"/>
    <xf numFmtId="0" fontId="2" fillId="7" borderId="0" xfId="0" applyFont="1" applyFill="1"/>
    <xf numFmtId="1" fontId="2" fillId="7" borderId="0" xfId="0" applyNumberFormat="1" applyFont="1" applyFill="1"/>
    <xf numFmtId="0" fontId="14" fillId="0" borderId="0" xfId="0" applyFont="1"/>
    <xf numFmtId="2" fontId="5" fillId="0" borderId="0" xfId="0" applyNumberFormat="1" applyFont="1" applyAlignment="1">
      <alignment vertical="top"/>
    </xf>
    <xf numFmtId="0" fontId="15" fillId="0" borderId="0" xfId="0" applyFont="1" applyAlignment="1">
      <alignment vertical="top"/>
    </xf>
    <xf numFmtId="2" fontId="15" fillId="0" borderId="0" xfId="0" applyNumberFormat="1" applyFont="1" applyAlignment="1">
      <alignment vertical="top"/>
    </xf>
    <xf numFmtId="1" fontId="15" fillId="0" borderId="0" xfId="0" applyNumberFormat="1" applyFont="1" applyAlignment="1">
      <alignment vertical="top"/>
    </xf>
    <xf numFmtId="0" fontId="16" fillId="0" borderId="0" xfId="0" applyFont="1" applyAlignment="1">
      <alignment vertical="top"/>
    </xf>
    <xf numFmtId="167" fontId="3" fillId="0" borderId="0" xfId="3" applyNumberFormat="1" applyFont="1" applyAlignment="1">
      <alignment vertical="top"/>
    </xf>
    <xf numFmtId="167" fontId="3" fillId="0" borderId="0" xfId="0" applyNumberFormat="1" applyFont="1" applyAlignment="1">
      <alignment vertical="top"/>
    </xf>
    <xf numFmtId="168" fontId="14" fillId="0" borderId="0" xfId="0" applyNumberFormat="1" applyFont="1"/>
    <xf numFmtId="0" fontId="1" fillId="9" borderId="0" xfId="0" applyFont="1" applyFill="1" applyAlignment="1">
      <alignment vertical="top"/>
    </xf>
    <xf numFmtId="2" fontId="1" fillId="9" borderId="0" xfId="0" applyNumberFormat="1" applyFont="1" applyFill="1" applyAlignment="1">
      <alignment vertical="top"/>
    </xf>
    <xf numFmtId="0" fontId="18" fillId="2" borderId="0" xfId="0" applyFont="1" applyFill="1" applyAlignment="1">
      <alignment vertical="top"/>
    </xf>
    <xf numFmtId="0" fontId="19" fillId="0" borderId="0" xfId="0" applyFont="1" applyAlignment="1">
      <alignment vertical="top"/>
    </xf>
    <xf numFmtId="164" fontId="20" fillId="0" borderId="0" xfId="1" applyFont="1">
      <alignment vertical="top"/>
    </xf>
    <xf numFmtId="0" fontId="19" fillId="9" borderId="0" xfId="0" applyFont="1" applyFill="1" applyAlignment="1">
      <alignment vertical="top"/>
    </xf>
    <xf numFmtId="10" fontId="8" fillId="9" borderId="0" xfId="3" applyNumberFormat="1" applyFont="1" applyFill="1" applyAlignment="1">
      <alignment vertical="top"/>
    </xf>
    <xf numFmtId="2" fontId="15" fillId="9" borderId="0" xfId="0" applyNumberFormat="1" applyFont="1" applyFill="1" applyAlignment="1">
      <alignment vertical="top"/>
    </xf>
    <xf numFmtId="0" fontId="4" fillId="2" borderId="0" xfId="0" applyFont="1" applyFill="1" applyAlignment="1">
      <alignment horizontal="right" vertical="top"/>
    </xf>
    <xf numFmtId="0" fontId="1" fillId="0" borderId="0" xfId="0" applyFont="1" applyAlignment="1">
      <alignment horizontal="right" vertical="top"/>
    </xf>
    <xf numFmtId="164" fontId="2" fillId="0" borderId="0" xfId="1" applyFont="1" applyAlignment="1">
      <alignment horizontal="right" vertical="top"/>
    </xf>
    <xf numFmtId="10" fontId="8" fillId="0" borderId="0" xfId="3" applyNumberFormat="1" applyFont="1" applyFill="1" applyAlignment="1">
      <alignment horizontal="right" vertical="top"/>
    </xf>
    <xf numFmtId="2" fontId="8" fillId="0" borderId="0" xfId="0" applyNumberFormat="1" applyFont="1" applyAlignment="1">
      <alignment horizontal="right" vertical="top"/>
    </xf>
    <xf numFmtId="2" fontId="1" fillId="0" borderId="0" xfId="0" applyNumberFormat="1" applyFont="1" applyAlignment="1">
      <alignment horizontal="right" vertical="top"/>
    </xf>
    <xf numFmtId="0" fontId="5" fillId="0" borderId="0" xfId="0" applyFont="1" applyAlignment="1">
      <alignment horizontal="right" vertical="top"/>
    </xf>
    <xf numFmtId="2" fontId="3" fillId="9" borderId="0" xfId="0" applyNumberFormat="1" applyFont="1" applyFill="1" applyAlignment="1">
      <alignment horizontal="right" vertical="top"/>
    </xf>
    <xf numFmtId="0" fontId="1" fillId="9" borderId="0" xfId="0" applyFont="1" applyFill="1" applyAlignment="1">
      <alignment horizontal="right" vertical="top"/>
    </xf>
    <xf numFmtId="166" fontId="17" fillId="0" borderId="0" xfId="0" applyNumberFormat="1" applyFont="1" applyAlignment="1">
      <alignment horizontal="right" vertical="top"/>
    </xf>
    <xf numFmtId="0" fontId="19" fillId="9" borderId="0" xfId="0" applyFont="1" applyFill="1" applyAlignment="1">
      <alignment horizontal="right" vertical="top"/>
    </xf>
    <xf numFmtId="166" fontId="8" fillId="0" borderId="0" xfId="0" applyNumberFormat="1" applyFont="1" applyAlignment="1">
      <alignment horizontal="right" vertical="top"/>
    </xf>
    <xf numFmtId="0" fontId="8" fillId="0" borderId="0" xfId="0" applyFont="1" applyAlignment="1">
      <alignment horizontal="right" vertical="top"/>
    </xf>
    <xf numFmtId="166" fontId="1" fillId="0" borderId="0" xfId="0" applyNumberFormat="1" applyFont="1" applyAlignment="1">
      <alignment horizontal="right" vertical="top"/>
    </xf>
    <xf numFmtId="167" fontId="8" fillId="0" borderId="0" xfId="3" applyNumberFormat="1" applyFont="1" applyAlignment="1">
      <alignment horizontal="right" vertical="top"/>
    </xf>
    <xf numFmtId="167" fontId="8" fillId="0" borderId="0" xfId="3" applyNumberFormat="1" applyFont="1" applyFill="1" applyAlignment="1">
      <alignment horizontal="right" vertical="top"/>
    </xf>
    <xf numFmtId="10" fontId="15" fillId="0" borderId="0" xfId="0" applyNumberFormat="1" applyFont="1" applyAlignment="1">
      <alignment horizontal="right" vertical="top"/>
    </xf>
    <xf numFmtId="166" fontId="8" fillId="9" borderId="0" xfId="0" applyNumberFormat="1" applyFont="1" applyFill="1" applyAlignment="1">
      <alignment horizontal="right" vertical="top"/>
    </xf>
    <xf numFmtId="10" fontId="1" fillId="0" borderId="0" xfId="3" applyNumberFormat="1" applyFont="1" applyAlignment="1">
      <alignment horizontal="right" vertical="top"/>
    </xf>
    <xf numFmtId="10" fontId="8" fillId="0" borderId="0" xfId="3" applyNumberFormat="1" applyFont="1" applyAlignment="1">
      <alignment horizontal="right" vertical="top"/>
    </xf>
    <xf numFmtId="0" fontId="1" fillId="0" borderId="0" xfId="10" applyFont="1"/>
    <xf numFmtId="0" fontId="2" fillId="0" borderId="0" xfId="10" applyFont="1" applyAlignment="1">
      <alignment vertical="top"/>
    </xf>
    <xf numFmtId="0" fontId="3" fillId="0" borderId="0" xfId="10" applyFont="1" applyAlignment="1">
      <alignment vertical="top"/>
    </xf>
    <xf numFmtId="0" fontId="3" fillId="0" borderId="0" xfId="10" applyFont="1" applyAlignment="1">
      <alignment horizontal="center" vertical="top"/>
    </xf>
    <xf numFmtId="0" fontId="22" fillId="0" borderId="0" xfId="10" applyFont="1" applyAlignment="1">
      <alignment vertical="top"/>
    </xf>
    <xf numFmtId="0" fontId="23" fillId="0" borderId="0" xfId="10" applyFont="1" applyAlignment="1">
      <alignment vertical="top"/>
    </xf>
    <xf numFmtId="0" fontId="2" fillId="0" borderId="0" xfId="10" applyFont="1" applyAlignment="1">
      <alignment horizontal="centerContinuous" vertical="top"/>
    </xf>
    <xf numFmtId="0" fontId="24" fillId="0" borderId="0" xfId="10" applyFont="1" applyAlignment="1">
      <alignment horizontal="centerContinuous" vertical="top"/>
    </xf>
    <xf numFmtId="0" fontId="3" fillId="0" borderId="0" xfId="10" applyFont="1" applyAlignment="1">
      <alignment horizontal="centerContinuous" vertical="top"/>
    </xf>
    <xf numFmtId="0" fontId="2" fillId="0" borderId="0" xfId="10" applyFont="1" applyAlignment="1">
      <alignment horizontal="center" vertical="top"/>
    </xf>
    <xf numFmtId="0" fontId="22" fillId="0" borderId="0" xfId="10" applyFont="1" applyAlignment="1">
      <alignment horizontal="centerContinuous" vertical="top"/>
    </xf>
    <xf numFmtId="0" fontId="23" fillId="0" borderId="0" xfId="10" applyFont="1" applyAlignment="1">
      <alignment horizontal="centerContinuous" vertical="top"/>
    </xf>
    <xf numFmtId="0" fontId="5" fillId="12" borderId="0" xfId="10" applyFont="1" applyFill="1" applyAlignment="1">
      <alignment vertical="top"/>
    </xf>
    <xf numFmtId="0" fontId="5" fillId="12" borderId="0" xfId="10" applyFont="1" applyFill="1" applyAlignment="1">
      <alignment wrapText="1"/>
    </xf>
    <xf numFmtId="0" fontId="5" fillId="12" borderId="0" xfId="10" applyFont="1" applyFill="1" applyAlignment="1">
      <alignment horizontal="left" vertical="center" wrapText="1"/>
    </xf>
    <xf numFmtId="0" fontId="5" fillId="12" borderId="0" xfId="10" applyFont="1" applyFill="1" applyAlignment="1">
      <alignment vertical="top" wrapText="1"/>
    </xf>
    <xf numFmtId="0" fontId="1" fillId="0" borderId="0" xfId="10" applyFont="1" applyAlignment="1">
      <alignment vertical="top"/>
    </xf>
    <xf numFmtId="164" fontId="4" fillId="2" borderId="0" xfId="11" applyFont="1" applyFill="1">
      <alignment vertical="top"/>
    </xf>
    <xf numFmtId="164" fontId="3" fillId="2" borderId="0" xfId="1" applyFont="1" applyFill="1">
      <alignment vertical="top"/>
    </xf>
    <xf numFmtId="164" fontId="3" fillId="0" borderId="0" xfId="1" applyFont="1" applyFill="1">
      <alignment vertical="top"/>
    </xf>
    <xf numFmtId="164" fontId="26" fillId="0" borderId="0" xfId="1" applyFont="1" applyFill="1">
      <alignment vertical="top"/>
    </xf>
    <xf numFmtId="164" fontId="27" fillId="0" borderId="0" xfId="1" applyFont="1" applyFill="1">
      <alignment vertical="top"/>
    </xf>
    <xf numFmtId="169" fontId="3" fillId="0" borderId="0" xfId="1" applyNumberFormat="1" applyFont="1" applyFill="1" applyAlignment="1">
      <alignment horizontal="left" vertical="top"/>
    </xf>
    <xf numFmtId="164" fontId="3" fillId="0" borderId="0" xfId="1" applyFont="1" applyFill="1" applyAlignment="1">
      <alignment horizontal="left" vertical="center"/>
    </xf>
    <xf numFmtId="171" fontId="3" fillId="0" borderId="0" xfId="9" applyNumberFormat="1" applyFont="1" applyFill="1" applyAlignment="1">
      <alignment horizontal="left" vertical="top"/>
    </xf>
    <xf numFmtId="164" fontId="1" fillId="0" borderId="0" xfId="11" applyFont="1" applyAlignment="1"/>
    <xf numFmtId="164" fontId="28" fillId="0" borderId="0" xfId="8" applyNumberFormat="1" applyFont="1" applyFill="1" applyAlignment="1">
      <alignment vertical="top"/>
    </xf>
    <xf numFmtId="0" fontId="29" fillId="0" borderId="0" xfId="0" applyFont="1"/>
    <xf numFmtId="0" fontId="30" fillId="3" borderId="0" xfId="2" applyFont="1" applyFill="1" applyAlignment="1">
      <alignment vertical="center"/>
    </xf>
    <xf numFmtId="0" fontId="11" fillId="0" borderId="0" xfId="0" applyFont="1"/>
    <xf numFmtId="0" fontId="31" fillId="5" borderId="0" xfId="0" applyFont="1" applyFill="1"/>
    <xf numFmtId="0" fontId="11" fillId="6" borderId="0" xfId="0" applyFont="1" applyFill="1"/>
    <xf numFmtId="165" fontId="11" fillId="6" borderId="0" xfId="0" applyNumberFormat="1" applyFont="1" applyFill="1"/>
    <xf numFmtId="0" fontId="8" fillId="3" borderId="0" xfId="0" applyFont="1" applyFill="1" applyAlignment="1">
      <alignment vertical="center"/>
    </xf>
    <xf numFmtId="0" fontId="8" fillId="3" borderId="0" xfId="0" applyFont="1" applyFill="1" applyAlignment="1">
      <alignment horizontal="right" vertical="center"/>
    </xf>
    <xf numFmtId="0" fontId="1" fillId="0" borderId="0" xfId="0" applyFont="1" applyAlignment="1">
      <alignment horizontal="right"/>
    </xf>
    <xf numFmtId="0" fontId="2" fillId="0" borderId="0" xfId="0" applyFont="1" applyAlignment="1">
      <alignment vertical="center"/>
    </xf>
    <xf numFmtId="0" fontId="8" fillId="0" borderId="0" xfId="0" applyFont="1" applyAlignment="1">
      <alignment vertical="center"/>
    </xf>
    <xf numFmtId="0" fontId="19" fillId="0" borderId="0" xfId="0" applyFont="1" applyAlignment="1">
      <alignment vertical="center"/>
    </xf>
    <xf numFmtId="0" fontId="8" fillId="0" borderId="0" xfId="0" applyFont="1" applyAlignment="1">
      <alignment horizontal="right" vertical="center"/>
    </xf>
    <xf numFmtId="2" fontId="14" fillId="8" borderId="0" xfId="0" applyNumberFormat="1" applyFont="1" applyFill="1" applyAlignment="1">
      <alignment horizontal="right"/>
    </xf>
    <xf numFmtId="0" fontId="19" fillId="0" borderId="0" xfId="0" applyFont="1"/>
    <xf numFmtId="0" fontId="11" fillId="0" borderId="0" xfId="0" applyFont="1" applyAlignment="1">
      <alignment horizontal="right"/>
    </xf>
    <xf numFmtId="0" fontId="32" fillId="10" borderId="0" xfId="0" applyFont="1" applyFill="1"/>
    <xf numFmtId="0" fontId="32" fillId="10" borderId="0" xfId="0" applyFont="1" applyFill="1" applyAlignment="1">
      <alignment horizontal="right"/>
    </xf>
    <xf numFmtId="0" fontId="11" fillId="13" borderId="0" xfId="0" applyFont="1" applyFill="1"/>
    <xf numFmtId="0" fontId="20" fillId="0" borderId="0" xfId="0" applyFont="1" applyAlignment="1">
      <alignment vertical="center"/>
    </xf>
    <xf numFmtId="2" fontId="8" fillId="0" borderId="0" xfId="0" applyNumberFormat="1" applyFont="1" applyAlignment="1">
      <alignment horizontal="right"/>
    </xf>
    <xf numFmtId="0" fontId="31" fillId="0" borderId="0" xfId="0" applyFont="1"/>
    <xf numFmtId="0" fontId="32" fillId="0" borderId="0" xfId="0" applyFont="1" applyAlignment="1">
      <alignment horizontal="right"/>
    </xf>
    <xf numFmtId="0" fontId="33" fillId="0" borderId="0" xfId="0" applyFont="1" applyAlignment="1">
      <alignment horizontal="right" vertical="top"/>
    </xf>
    <xf numFmtId="2" fontId="33" fillId="0" borderId="0" xfId="0" applyNumberFormat="1" applyFont="1" applyAlignment="1">
      <alignment horizontal="right" vertical="top"/>
    </xf>
    <xf numFmtId="10" fontId="33" fillId="0" borderId="0" xfId="3" applyNumberFormat="1" applyFont="1" applyAlignment="1">
      <alignment horizontal="right" vertical="top"/>
    </xf>
    <xf numFmtId="10" fontId="33" fillId="0" borderId="0" xfId="3" applyNumberFormat="1" applyFont="1" applyAlignment="1">
      <alignment vertical="top"/>
    </xf>
    <xf numFmtId="2" fontId="33" fillId="0" borderId="0" xfId="3" applyNumberFormat="1" applyFont="1" applyAlignment="1">
      <alignment horizontal="right" vertical="top"/>
    </xf>
    <xf numFmtId="0" fontId="34" fillId="0" borderId="0" xfId="0" applyFont="1" applyAlignment="1">
      <alignment horizontal="right"/>
    </xf>
    <xf numFmtId="0" fontId="11" fillId="11" borderId="0" xfId="0" applyFont="1" applyFill="1"/>
    <xf numFmtId="0" fontId="0" fillId="13" borderId="0" xfId="0" applyFill="1"/>
    <xf numFmtId="0" fontId="16" fillId="0" borderId="0" xfId="0" applyFont="1" applyAlignment="1">
      <alignment horizontal="center" vertical="top"/>
    </xf>
  </cellXfs>
  <cellStyles count="12">
    <cellStyle name="Comma 2" xfId="5" xr:uid="{CADDEB57-F2CE-43E8-B253-8132CF038D71}"/>
    <cellStyle name="Hyperlink" xfId="8" builtinId="8"/>
    <cellStyle name="Normal" xfId="0" builtinId="0"/>
    <cellStyle name="Normal 2" xfId="1" xr:uid="{7B0540D0-879D-47A7-8A97-092585E19F6D}"/>
    <cellStyle name="Normal 2 3 2 2" xfId="7" xr:uid="{9C67B929-4E49-4382-B822-95894242910D}"/>
    <cellStyle name="Normal 2 3 2 4" xfId="6" xr:uid="{3529CE0D-1FD4-4FF8-86C5-3825D0743969}"/>
    <cellStyle name="Normal 2 3 2 6" xfId="4" xr:uid="{971F5444-B581-43CE-B9C1-1602A54B64F7}"/>
    <cellStyle name="Normal 3 2" xfId="11" xr:uid="{B0C99A1C-F534-40CC-AFBD-18D1EBB5F351}"/>
    <cellStyle name="Normal 7" xfId="2" xr:uid="{77B897B4-101E-406C-88EA-F35488D45565}"/>
    <cellStyle name="Normal 8" xfId="10" xr:uid="{F5745D4B-56BC-45F4-B7C1-A06489A6B865}"/>
    <cellStyle name="Per cent" xfId="3" builtinId="5"/>
    <cellStyle name="Year" xfId="9" xr:uid="{1AFBEF91-2936-408C-AC5C-E8F6335464A6}"/>
  </cellStyles>
  <dxfs count="0"/>
  <tableStyles count="0" defaultTableStyle="TableStyleMedium2" defaultPivotStyle="PivotStyleLight16"/>
  <colors>
    <mruColors>
      <color rgb="FF003479"/>
      <color rgb="FF0071CE"/>
      <color rgb="FFFFDB8E"/>
      <color rgb="FFCCCCCE"/>
      <color rgb="FF98C56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38916</xdr:colOff>
      <xdr:row>11</xdr:row>
      <xdr:rowOff>103413</xdr:rowOff>
    </xdr:from>
    <xdr:to>
      <xdr:col>8</xdr:col>
      <xdr:colOff>560101</xdr:colOff>
      <xdr:row>25</xdr:row>
      <xdr:rowOff>250031</xdr:rowOff>
    </xdr:to>
    <xdr:sp macro="" textlink="">
      <xdr:nvSpPr>
        <xdr:cNvPr id="2" name="TextBox 2">
          <a:extLst>
            <a:ext uri="{FF2B5EF4-FFF2-40B4-BE49-F238E27FC236}">
              <a16:creationId xmlns:a16="http://schemas.microsoft.com/office/drawing/2014/main" id="{C86B619E-74E9-48F0-A193-52F8CE456935}"/>
            </a:ext>
          </a:extLst>
        </xdr:cNvPr>
        <xdr:cNvSpPr txBox="1"/>
      </xdr:nvSpPr>
      <xdr:spPr>
        <a:xfrm>
          <a:off x="619941" y="3475263"/>
          <a:ext cx="8988910" cy="3747068"/>
        </a:xfrm>
        <a:prstGeom prst="rect">
          <a:avLst/>
        </a:prstGeom>
        <a:noFill/>
        <a:ln>
          <a:noFill/>
        </a:ln>
      </xdr:spPr>
      <xdr:txBody>
        <a:bodyPr lIns="27432" tIns="22860" rIns="0" bIns="0" rtlCol="0"/>
        <a:lstStyle/>
        <a:p>
          <a:pPr marL="0" indent="0" algn="l"/>
          <a:r>
            <a:rPr lang="en-US" sz="1100" b="1">
              <a:latin typeface="+mn-lt"/>
              <a:ea typeface="+mn-lt"/>
              <a:cs typeface="+mn-lt"/>
            </a:rPr>
            <a:t>Summary of the model:</a:t>
          </a:r>
          <a:endParaRPr lang="en-US" sz="1000" b="1">
            <a:solidFill>
              <a:srgbClr val="000000"/>
            </a:solidFill>
            <a:latin typeface="+mn-lt"/>
            <a:ea typeface="+mn-lt"/>
            <a:cs typeface="+mn-lt"/>
          </a:endParaRPr>
        </a:p>
        <a:p>
          <a:pPr marL="0" indent="0" algn="l"/>
          <a:endParaRPr lang="en-US" sz="1000" b="1" baseline="0">
            <a:solidFill>
              <a:srgbClr val="000000"/>
            </a:solidFill>
            <a:effectLst/>
            <a:latin typeface="+mn-lt"/>
            <a:ea typeface="+mn-lt"/>
            <a:cs typeface="+mn-lt"/>
          </a:endParaRPr>
        </a:p>
        <a:p>
          <a:pPr marL="0" indent="0" algn="l"/>
          <a:r>
            <a:rPr lang="en-US" sz="1100" baseline="0">
              <a:effectLst/>
              <a:latin typeface="+mn-lt"/>
              <a:ea typeface="+mn-ea"/>
              <a:cs typeface="+mn-cs"/>
            </a:rPr>
            <a:t>This model uses historical data to forecast future performance percentiles for the PR24 common performance commitments: Per Capita Consumption (PCC) and Business Demand (NHH).  Per Capita Consumption (PCC) and Business Demand (NHH) performance in 2020-23 has been affected by the impact of Covid-19 pandemic lockdowns. Longer-lasting behavioural changes in working patterns means historical performance before 2019-20 is likely to be a poor predictor of reasonably good/poor performance in 2025-30.</a:t>
          </a:r>
          <a:endParaRPr lang="en-GB" sz="1000">
            <a:effectLst/>
          </a:endParaRPr>
        </a:p>
        <a:p>
          <a:r>
            <a:rPr lang="en-US" sz="1100" baseline="0">
              <a:effectLst/>
              <a:latin typeface="+mn-lt"/>
              <a:ea typeface="+mn-ea"/>
              <a:cs typeface="+mn-cs"/>
            </a:rPr>
            <a:t>In addition, as Business Demand (NHH) is a new performance commitment (PC) at PR24, there are no historical performance commitment levels (PCLs). Hence, this alternate approach is taken to calculate performance percentiles for both of these PCs. </a:t>
          </a:r>
          <a:endParaRPr lang="en-GB" sz="1000">
            <a:effectLst/>
          </a:endParaRPr>
        </a:p>
        <a:p>
          <a:r>
            <a:rPr lang="en-US" sz="1100" baseline="0">
              <a:effectLst/>
              <a:latin typeface="+mn-lt"/>
              <a:ea typeface="+mn-ea"/>
              <a:cs typeface="+mn-cs"/>
            </a:rPr>
            <a:t>The outputs from this model will feed into the 'ODI Risk - 5 Year Additive Performance Range' model and the 'ODI Risk - Monte Carlo set up' model.</a:t>
          </a:r>
          <a:endParaRPr lang="en-GB" sz="1000" baseline="0">
            <a:effectLst/>
            <a:latin typeface="+mn-lt"/>
            <a:ea typeface="+mn-ea"/>
            <a:cs typeface="+mn-cs"/>
          </a:endParaRPr>
        </a:p>
        <a:p>
          <a:endParaRPr lang="en-US" sz="1100" b="1">
            <a:latin typeface="+mn-lt"/>
            <a:ea typeface="+mn-lt"/>
            <a:cs typeface="+mn-lt"/>
          </a:endParaRPr>
        </a:p>
        <a:p>
          <a:pPr marL="0" indent="0" algn="l"/>
          <a:r>
            <a:rPr lang="en-US" sz="1100" b="1">
              <a:latin typeface="+mn-lt"/>
              <a:ea typeface="+mn-lt"/>
              <a:cs typeface="+mn-lt"/>
            </a:rPr>
            <a:t>Quality assurance: </a:t>
          </a:r>
          <a:endParaRPr lang="en-US" sz="1000" b="1">
            <a:latin typeface="+mn-lt"/>
            <a:ea typeface="+mn-lt"/>
            <a:cs typeface="+mn-lt"/>
          </a:endParaRPr>
        </a:p>
        <a:p>
          <a:pPr marL="0" indent="0" algn="l"/>
          <a:endParaRPr lang="en-US" sz="1000">
            <a:latin typeface="+mn-lt"/>
            <a:ea typeface="+mn-lt"/>
            <a:cs typeface="+mn-lt"/>
          </a:endParaRPr>
        </a:p>
        <a:p>
          <a:pPr marL="0" indent="0" algn="l"/>
          <a:r>
            <a:rPr lang="en-US" sz="1000">
              <a:latin typeface="+mn-lt"/>
              <a:ea typeface="+mn-lt"/>
              <a:cs typeface="+mn-lt"/>
            </a:rPr>
            <a:t>An earlier model has been subject to Ofwat internal quality assurance </a:t>
          </a:r>
        </a:p>
        <a:p>
          <a:pPr marL="0" indent="0" algn="l"/>
          <a:r>
            <a:rPr lang="en-US" sz="1000">
              <a:latin typeface="+mn-lt"/>
              <a:ea typeface="+mn-lt"/>
              <a:cs typeface="+mn-lt"/>
            </a:rPr>
            <a:t>Further changes detailed below have been subject to internal QA.</a:t>
          </a:r>
        </a:p>
        <a:p>
          <a:pPr marL="0" indent="0" algn="l"/>
          <a:r>
            <a:rPr lang="en-US" sz="1000">
              <a:latin typeface="+mn-lt"/>
              <a:ea typeface="+mn-lt"/>
              <a:cs typeface="+mn-lt"/>
            </a:rPr>
            <a:t>  </a:t>
          </a:r>
          <a:endParaRPr lang="en-US" sz="1000" b="1">
            <a:solidFill>
              <a:srgbClr val="000000"/>
            </a:solidFill>
            <a:latin typeface="+mn-lt"/>
            <a:ea typeface="+mn-lt"/>
            <a:cs typeface="+mn-lt"/>
          </a:endParaRPr>
        </a:p>
        <a:p>
          <a:pPr marL="0" indent="0" algn="l"/>
          <a:r>
            <a:rPr lang="en-US" sz="1000" b="1">
              <a:solidFill>
                <a:srgbClr val="000000"/>
              </a:solidFill>
              <a:latin typeface="+mn-lt"/>
              <a:ea typeface="+mn-lt"/>
              <a:cs typeface="+mn-lt"/>
            </a:rPr>
            <a:t>Disclaimer:</a:t>
          </a:r>
        </a:p>
        <a:p>
          <a:pPr marL="0" indent="0" algn="l"/>
          <a:endParaRPr lang="en-US" sz="1000">
            <a:solidFill>
              <a:srgbClr val="000000"/>
            </a:solidFill>
            <a:latin typeface="+mn-lt"/>
            <a:ea typeface="+mn-lt"/>
            <a:cs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000" i="0">
              <a:effectLst/>
              <a:latin typeface="+mn-lt"/>
              <a:ea typeface="+mn-ea"/>
              <a:cs typeface="+mn-cs"/>
            </a:rPr>
            <a:t>This model is part of our final determinations setting out the price, service, and incentive package for water companies for the period 2025-30. It should be read together with the other documents and information that we have now published.</a:t>
          </a:r>
        </a:p>
        <a:p>
          <a:pPr marL="0" indent="0" algn="l"/>
          <a:endParaRPr lang="en-GB" sz="1000" i="0"/>
        </a:p>
        <a:p>
          <a:pPr marL="0" indent="0" algn="l"/>
          <a:endParaRPr lang="en-US" sz="1000" b="1">
            <a:solidFill>
              <a:srgbClr val="000000"/>
            </a:solidFill>
            <a:latin typeface="+mn-lt"/>
            <a:ea typeface="+mn-lt"/>
            <a:cs typeface="+mn-lt"/>
          </a:endParaRPr>
        </a:p>
        <a:p>
          <a:pPr marL="0" indent="0" algn="l"/>
          <a:r>
            <a:rPr lang="en-US" sz="1000" b="1">
              <a:solidFill>
                <a:srgbClr val="000000"/>
              </a:solidFill>
              <a:latin typeface="+mn-lt"/>
              <a:ea typeface="+mn-lt"/>
              <a:cs typeface="+mn-lt"/>
            </a:rPr>
            <a:t>Changes since previous published model:</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effectLst/>
              <a:latin typeface="+mn-lt"/>
              <a:ea typeface="+mn-ea"/>
              <a:cs typeface="+mn-cs"/>
            </a:rPr>
            <a:t>This</a:t>
          </a:r>
          <a:r>
            <a:rPr lang="en-GB" sz="1100" b="0" baseline="0">
              <a:effectLst/>
              <a:latin typeface="+mn-lt"/>
              <a:ea typeface="+mn-ea"/>
              <a:cs typeface="+mn-cs"/>
            </a:rPr>
            <a:t> model has been updated with an additional year of outturn data from 2023-24.</a:t>
          </a:r>
          <a:endParaRPr lang="en-GB" sz="1000">
            <a:effectLst/>
          </a:endParaRPr>
        </a:p>
      </xdr:txBody>
    </xdr:sp>
    <xdr:clientData/>
  </xdr:twoCellAnchor>
  <xdr:oneCellAnchor>
    <xdr:from>
      <xdr:col>6</xdr:col>
      <xdr:colOff>514351</xdr:colOff>
      <xdr:row>1</xdr:row>
      <xdr:rowOff>9524</xdr:rowOff>
    </xdr:from>
    <xdr:ext cx="1667736" cy="922911"/>
    <xdr:pic>
      <xdr:nvPicPr>
        <xdr:cNvPr id="3" name="Picture 2">
          <a:extLst>
            <a:ext uri="{FF2B5EF4-FFF2-40B4-BE49-F238E27FC236}">
              <a16:creationId xmlns:a16="http://schemas.microsoft.com/office/drawing/2014/main" id="{05B25330-D609-4D47-8131-3A96191D6FBA}"/>
            </a:ext>
          </a:extLst>
        </xdr:cNvPr>
        <xdr:cNvPicPr>
          <a:picLocks noChangeAspect="1"/>
        </xdr:cNvPicPr>
      </xdr:nvPicPr>
      <xdr:blipFill>
        <a:blip xmlns:r="http://schemas.openxmlformats.org/officeDocument/2006/relationships" r:embed="rId1"/>
        <a:stretch>
          <a:fillRect/>
        </a:stretch>
      </xdr:blipFill>
      <xdr:spPr>
        <a:xfrm>
          <a:off x="8343901" y="614362"/>
          <a:ext cx="1667736" cy="92291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823229</xdr:colOff>
      <xdr:row>16</xdr:row>
      <xdr:rowOff>89806</xdr:rowOff>
    </xdr:from>
    <xdr:to>
      <xdr:col>10</xdr:col>
      <xdr:colOff>127224</xdr:colOff>
      <xdr:row>20</xdr:row>
      <xdr:rowOff>62592</xdr:rowOff>
    </xdr:to>
    <xdr:sp macro="" textlink="">
      <xdr:nvSpPr>
        <xdr:cNvPr id="3" name="Rectangle 2">
          <a:extLst>
            <a:ext uri="{FF2B5EF4-FFF2-40B4-BE49-F238E27FC236}">
              <a16:creationId xmlns:a16="http://schemas.microsoft.com/office/drawing/2014/main" id="{5E5E51D4-B633-420F-98F6-E0BFAC5876C0}"/>
            </a:ext>
          </a:extLst>
        </xdr:cNvPr>
        <xdr:cNvSpPr/>
      </xdr:nvSpPr>
      <xdr:spPr>
        <a:xfrm>
          <a:off x="1909079" y="2980644"/>
          <a:ext cx="1885270" cy="639536"/>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baseline="0"/>
            <a:t>NHH.WRMP</a:t>
          </a:r>
        </a:p>
      </xdr:txBody>
    </xdr:sp>
    <xdr:clientData/>
  </xdr:twoCellAnchor>
  <xdr:twoCellAnchor>
    <xdr:from>
      <xdr:col>7</xdr:col>
      <xdr:colOff>822551</xdr:colOff>
      <xdr:row>21</xdr:row>
      <xdr:rowOff>20404</xdr:rowOff>
    </xdr:from>
    <xdr:to>
      <xdr:col>10</xdr:col>
      <xdr:colOff>126545</xdr:colOff>
      <xdr:row>24</xdr:row>
      <xdr:rowOff>164639</xdr:rowOff>
    </xdr:to>
    <xdr:sp macro="" textlink="">
      <xdr:nvSpPr>
        <xdr:cNvPr id="4" name="Rectangle 3">
          <a:extLst>
            <a:ext uri="{FF2B5EF4-FFF2-40B4-BE49-F238E27FC236}">
              <a16:creationId xmlns:a16="http://schemas.microsoft.com/office/drawing/2014/main" id="{912EB360-F639-4737-B648-F0CD27EFD6EE}"/>
            </a:ext>
          </a:extLst>
        </xdr:cNvPr>
        <xdr:cNvSpPr/>
      </xdr:nvSpPr>
      <xdr:spPr>
        <a:xfrm>
          <a:off x="1908401" y="3744679"/>
          <a:ext cx="1885269" cy="64429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NHH.Performance</a:t>
          </a:r>
        </a:p>
      </xdr:txBody>
    </xdr:sp>
    <xdr:clientData/>
  </xdr:twoCellAnchor>
  <xdr:twoCellAnchor>
    <xdr:from>
      <xdr:col>11</xdr:col>
      <xdr:colOff>530678</xdr:colOff>
      <xdr:row>18</xdr:row>
      <xdr:rowOff>161926</xdr:rowOff>
    </xdr:from>
    <xdr:to>
      <xdr:col>11</xdr:col>
      <xdr:colOff>1475694</xdr:colOff>
      <xdr:row>22</xdr:row>
      <xdr:rowOff>138113</xdr:rowOff>
    </xdr:to>
    <xdr:sp macro="" textlink="">
      <xdr:nvSpPr>
        <xdr:cNvPr id="5" name="Rectangle 4">
          <a:extLst>
            <a:ext uri="{FF2B5EF4-FFF2-40B4-BE49-F238E27FC236}">
              <a16:creationId xmlns:a16="http://schemas.microsoft.com/office/drawing/2014/main" id="{AFD1A704-D95C-4356-951E-BB21A939CF33}"/>
            </a:ext>
          </a:extLst>
        </xdr:cNvPr>
        <xdr:cNvSpPr/>
      </xdr:nvSpPr>
      <xdr:spPr>
        <a:xfrm>
          <a:off x="4378778" y="3386139"/>
          <a:ext cx="945016" cy="64293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a:t>NHH.P</a:t>
          </a:r>
          <a:r>
            <a:rPr lang="en-GB" sz="1100" baseline="0"/>
            <a:t>.Range</a:t>
          </a:r>
        </a:p>
      </xdr:txBody>
    </xdr:sp>
    <xdr:clientData/>
  </xdr:twoCellAnchor>
  <xdr:twoCellAnchor>
    <xdr:from>
      <xdr:col>16</xdr:col>
      <xdr:colOff>431992</xdr:colOff>
      <xdr:row>13</xdr:row>
      <xdr:rowOff>14277</xdr:rowOff>
    </xdr:from>
    <xdr:to>
      <xdr:col>16</xdr:col>
      <xdr:colOff>1781819</xdr:colOff>
      <xdr:row>16</xdr:row>
      <xdr:rowOff>153749</xdr:rowOff>
    </xdr:to>
    <xdr:sp macro="" textlink="">
      <xdr:nvSpPr>
        <xdr:cNvPr id="8" name="Rectangle 7">
          <a:extLst>
            <a:ext uri="{FF2B5EF4-FFF2-40B4-BE49-F238E27FC236}">
              <a16:creationId xmlns:a16="http://schemas.microsoft.com/office/drawing/2014/main" id="{296FA151-6745-4FCD-943C-5400B3E95E2E}"/>
            </a:ext>
          </a:extLst>
        </xdr:cNvPr>
        <xdr:cNvSpPr/>
      </xdr:nvSpPr>
      <xdr:spPr>
        <a:xfrm>
          <a:off x="7223317" y="2405052"/>
          <a:ext cx="1349827" cy="639535"/>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a:t>Final</a:t>
          </a:r>
          <a:r>
            <a:rPr lang="en-GB" sz="1100" baseline="0"/>
            <a:t> Output</a:t>
          </a:r>
        </a:p>
      </xdr:txBody>
    </xdr:sp>
    <xdr:clientData/>
  </xdr:twoCellAnchor>
  <xdr:twoCellAnchor>
    <xdr:from>
      <xdr:col>6</xdr:col>
      <xdr:colOff>123825</xdr:colOff>
      <xdr:row>18</xdr:row>
      <xdr:rowOff>76199</xdr:rowOff>
    </xdr:from>
    <xdr:to>
      <xdr:col>7</xdr:col>
      <xdr:colOff>823229</xdr:colOff>
      <xdr:row>20</xdr:row>
      <xdr:rowOff>104775</xdr:rowOff>
    </xdr:to>
    <xdr:cxnSp macro="">
      <xdr:nvCxnSpPr>
        <xdr:cNvPr id="9" name="Connector: Elbow 8">
          <a:extLst>
            <a:ext uri="{FF2B5EF4-FFF2-40B4-BE49-F238E27FC236}">
              <a16:creationId xmlns:a16="http://schemas.microsoft.com/office/drawing/2014/main" id="{0BDB2711-2603-4B8C-B37A-1989D70DDC30}"/>
            </a:ext>
          </a:extLst>
        </xdr:cNvPr>
        <xdr:cNvCxnSpPr>
          <a:stCxn id="21" idx="3"/>
          <a:endCxn id="3" idx="1"/>
        </xdr:cNvCxnSpPr>
      </xdr:nvCxnSpPr>
      <xdr:spPr>
        <a:xfrm flipV="1">
          <a:off x="1028700" y="3300412"/>
          <a:ext cx="880379" cy="36195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20</xdr:row>
      <xdr:rowOff>104775</xdr:rowOff>
    </xdr:from>
    <xdr:to>
      <xdr:col>7</xdr:col>
      <xdr:colOff>822551</xdr:colOff>
      <xdr:row>23</xdr:row>
      <xdr:rowOff>9178</xdr:rowOff>
    </xdr:to>
    <xdr:cxnSp macro="">
      <xdr:nvCxnSpPr>
        <xdr:cNvPr id="11" name="Connector: Elbow 10">
          <a:extLst>
            <a:ext uri="{FF2B5EF4-FFF2-40B4-BE49-F238E27FC236}">
              <a16:creationId xmlns:a16="http://schemas.microsoft.com/office/drawing/2014/main" id="{D3CEBF31-14C8-4DEF-BE6A-F61DE6E6BC26}"/>
            </a:ext>
          </a:extLst>
        </xdr:cNvPr>
        <xdr:cNvCxnSpPr>
          <a:stCxn id="21" idx="3"/>
          <a:endCxn id="4" idx="1"/>
        </xdr:cNvCxnSpPr>
      </xdr:nvCxnSpPr>
      <xdr:spPr>
        <a:xfrm>
          <a:off x="1028700" y="3662363"/>
          <a:ext cx="879701" cy="40446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1887311</xdr:colOff>
      <xdr:row>18</xdr:row>
      <xdr:rowOff>163963</xdr:rowOff>
    </xdr:from>
    <xdr:to>
      <xdr:col>16</xdr:col>
      <xdr:colOff>90489</xdr:colOff>
      <xdr:row>22</xdr:row>
      <xdr:rowOff>138111</xdr:rowOff>
    </xdr:to>
    <xdr:sp macro="" textlink="">
      <xdr:nvSpPr>
        <xdr:cNvPr id="16" name="Rectangle 15">
          <a:extLst>
            <a:ext uri="{FF2B5EF4-FFF2-40B4-BE49-F238E27FC236}">
              <a16:creationId xmlns:a16="http://schemas.microsoft.com/office/drawing/2014/main" id="{53942039-8190-4354-8486-786FBA6314A6}"/>
            </a:ext>
          </a:extLst>
        </xdr:cNvPr>
        <xdr:cNvSpPr/>
      </xdr:nvSpPr>
      <xdr:spPr>
        <a:xfrm>
          <a:off x="5735411" y="3388176"/>
          <a:ext cx="1146403" cy="64089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a:t>NHH.Percentiles</a:t>
          </a:r>
        </a:p>
      </xdr:txBody>
    </xdr:sp>
    <xdr:clientData/>
  </xdr:twoCellAnchor>
  <xdr:twoCellAnchor>
    <xdr:from>
      <xdr:col>1</xdr:col>
      <xdr:colOff>76200</xdr:colOff>
      <xdr:row>18</xdr:row>
      <xdr:rowOff>114300</xdr:rowOff>
    </xdr:from>
    <xdr:to>
      <xdr:col>6</xdr:col>
      <xdr:colOff>123825</xdr:colOff>
      <xdr:row>22</xdr:row>
      <xdr:rowOff>95250</xdr:rowOff>
    </xdr:to>
    <xdr:sp macro="" textlink="">
      <xdr:nvSpPr>
        <xdr:cNvPr id="21" name="Rectangle 20">
          <a:extLst>
            <a:ext uri="{FF2B5EF4-FFF2-40B4-BE49-F238E27FC236}">
              <a16:creationId xmlns:a16="http://schemas.microsoft.com/office/drawing/2014/main" id="{6F08A600-FF42-4986-B5FD-CE29F88132D7}"/>
            </a:ext>
          </a:extLst>
        </xdr:cNvPr>
        <xdr:cNvSpPr/>
      </xdr:nvSpPr>
      <xdr:spPr>
        <a:xfrm>
          <a:off x="180975" y="3338513"/>
          <a:ext cx="847725" cy="6477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baseline="0"/>
            <a:t>NHH.Inputs</a:t>
          </a:r>
          <a:endParaRPr lang="en-GB" sz="1100"/>
        </a:p>
      </xdr:txBody>
    </xdr:sp>
    <xdr:clientData/>
  </xdr:twoCellAnchor>
  <xdr:twoCellAnchor>
    <xdr:from>
      <xdr:col>10</xdr:col>
      <xdr:colOff>127224</xdr:colOff>
      <xdr:row>18</xdr:row>
      <xdr:rowOff>76199</xdr:rowOff>
    </xdr:from>
    <xdr:to>
      <xdr:col>11</xdr:col>
      <xdr:colOff>530678</xdr:colOff>
      <xdr:row>20</xdr:row>
      <xdr:rowOff>150020</xdr:rowOff>
    </xdr:to>
    <xdr:cxnSp macro="">
      <xdr:nvCxnSpPr>
        <xdr:cNvPr id="39" name="Connector: Elbow 38">
          <a:extLst>
            <a:ext uri="{FF2B5EF4-FFF2-40B4-BE49-F238E27FC236}">
              <a16:creationId xmlns:a16="http://schemas.microsoft.com/office/drawing/2014/main" id="{281CA6A7-1026-48B0-867E-BF88C2FF0948}"/>
            </a:ext>
          </a:extLst>
        </xdr:cNvPr>
        <xdr:cNvCxnSpPr>
          <a:stCxn id="3" idx="3"/>
          <a:endCxn id="5" idx="1"/>
        </xdr:cNvCxnSpPr>
      </xdr:nvCxnSpPr>
      <xdr:spPr>
        <a:xfrm>
          <a:off x="3794349" y="3300412"/>
          <a:ext cx="584429" cy="40719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126545</xdr:colOff>
      <xdr:row>20</xdr:row>
      <xdr:rowOff>150020</xdr:rowOff>
    </xdr:from>
    <xdr:to>
      <xdr:col>11</xdr:col>
      <xdr:colOff>530678</xdr:colOff>
      <xdr:row>23</xdr:row>
      <xdr:rowOff>9178</xdr:rowOff>
    </xdr:to>
    <xdr:cxnSp macro="">
      <xdr:nvCxnSpPr>
        <xdr:cNvPr id="42" name="Connector: Elbow 41">
          <a:extLst>
            <a:ext uri="{FF2B5EF4-FFF2-40B4-BE49-F238E27FC236}">
              <a16:creationId xmlns:a16="http://schemas.microsoft.com/office/drawing/2014/main" id="{ED58C5E2-2303-4E93-85DD-75562368726D}"/>
            </a:ext>
          </a:extLst>
        </xdr:cNvPr>
        <xdr:cNvCxnSpPr>
          <a:stCxn id="4" idx="3"/>
          <a:endCxn id="5" idx="1"/>
        </xdr:cNvCxnSpPr>
      </xdr:nvCxnSpPr>
      <xdr:spPr>
        <a:xfrm flipV="1">
          <a:off x="3793670" y="3707608"/>
          <a:ext cx="585108" cy="35922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1475694</xdr:colOff>
      <xdr:row>20</xdr:row>
      <xdr:rowOff>150020</xdr:rowOff>
    </xdr:from>
    <xdr:to>
      <xdr:col>11</xdr:col>
      <xdr:colOff>1887311</xdr:colOff>
      <xdr:row>20</xdr:row>
      <xdr:rowOff>151037</xdr:rowOff>
    </xdr:to>
    <xdr:cxnSp macro="">
      <xdr:nvCxnSpPr>
        <xdr:cNvPr id="45" name="Connector: Elbow 44">
          <a:extLst>
            <a:ext uri="{FF2B5EF4-FFF2-40B4-BE49-F238E27FC236}">
              <a16:creationId xmlns:a16="http://schemas.microsoft.com/office/drawing/2014/main" id="{E6D8590B-7279-49FC-BF5E-E6935B15B9A9}"/>
            </a:ext>
          </a:extLst>
        </xdr:cNvPr>
        <xdr:cNvCxnSpPr>
          <a:cxnSpLocks/>
          <a:stCxn id="5" idx="3"/>
          <a:endCxn id="16" idx="1"/>
        </xdr:cNvCxnSpPr>
      </xdr:nvCxnSpPr>
      <xdr:spPr>
        <a:xfrm>
          <a:off x="5323794" y="3707608"/>
          <a:ext cx="411617" cy="101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90489</xdr:colOff>
      <xdr:row>16</xdr:row>
      <xdr:rowOff>153749</xdr:rowOff>
    </xdr:from>
    <xdr:to>
      <xdr:col>16</xdr:col>
      <xdr:colOff>1106906</xdr:colOff>
      <xdr:row>20</xdr:row>
      <xdr:rowOff>151037</xdr:rowOff>
    </xdr:to>
    <xdr:cxnSp macro="">
      <xdr:nvCxnSpPr>
        <xdr:cNvPr id="49" name="Connector: Elbow 48">
          <a:extLst>
            <a:ext uri="{FF2B5EF4-FFF2-40B4-BE49-F238E27FC236}">
              <a16:creationId xmlns:a16="http://schemas.microsoft.com/office/drawing/2014/main" id="{70E55916-710F-4F8F-B258-0F71D95E2989}"/>
            </a:ext>
          </a:extLst>
        </xdr:cNvPr>
        <xdr:cNvCxnSpPr>
          <a:cxnSpLocks/>
          <a:stCxn id="16" idx="3"/>
          <a:endCxn id="8" idx="2"/>
        </xdr:cNvCxnSpPr>
      </xdr:nvCxnSpPr>
      <xdr:spPr>
        <a:xfrm flipV="1">
          <a:off x="6881814" y="3044587"/>
          <a:ext cx="1016417" cy="66403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823226</xdr:colOff>
      <xdr:row>4</xdr:row>
      <xdr:rowOff>95248</xdr:rowOff>
    </xdr:from>
    <xdr:to>
      <xdr:col>10</xdr:col>
      <xdr:colOff>127221</xdr:colOff>
      <xdr:row>8</xdr:row>
      <xdr:rowOff>68034</xdr:rowOff>
    </xdr:to>
    <xdr:sp macro="" textlink="">
      <xdr:nvSpPr>
        <xdr:cNvPr id="52" name="Rectangle 51">
          <a:extLst>
            <a:ext uri="{FF2B5EF4-FFF2-40B4-BE49-F238E27FC236}">
              <a16:creationId xmlns:a16="http://schemas.microsoft.com/office/drawing/2014/main" id="{7103032C-4C3E-4C94-8B13-851BC949DC5A}"/>
            </a:ext>
          </a:extLst>
        </xdr:cNvPr>
        <xdr:cNvSpPr/>
      </xdr:nvSpPr>
      <xdr:spPr>
        <a:xfrm>
          <a:off x="1909076" y="985836"/>
          <a:ext cx="1885270" cy="639536"/>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baseline="0"/>
            <a:t>PCC.PCL</a:t>
          </a:r>
        </a:p>
      </xdr:txBody>
    </xdr:sp>
    <xdr:clientData/>
  </xdr:twoCellAnchor>
  <xdr:twoCellAnchor>
    <xdr:from>
      <xdr:col>7</xdr:col>
      <xdr:colOff>822548</xdr:colOff>
      <xdr:row>9</xdr:row>
      <xdr:rowOff>25846</xdr:rowOff>
    </xdr:from>
    <xdr:to>
      <xdr:col>10</xdr:col>
      <xdr:colOff>126542</xdr:colOff>
      <xdr:row>13</xdr:row>
      <xdr:rowOff>3394</xdr:rowOff>
    </xdr:to>
    <xdr:sp macro="" textlink="">
      <xdr:nvSpPr>
        <xdr:cNvPr id="53" name="Rectangle 52">
          <a:extLst>
            <a:ext uri="{FF2B5EF4-FFF2-40B4-BE49-F238E27FC236}">
              <a16:creationId xmlns:a16="http://schemas.microsoft.com/office/drawing/2014/main" id="{8423FD99-0FDF-4BAA-B3D9-7C99C6838A0E}"/>
            </a:ext>
          </a:extLst>
        </xdr:cNvPr>
        <xdr:cNvSpPr/>
      </xdr:nvSpPr>
      <xdr:spPr>
        <a:xfrm>
          <a:off x="1908398" y="1749871"/>
          <a:ext cx="1885269" cy="64429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a:effectLst/>
            </a:rPr>
            <a:t>PCC.Performance</a:t>
          </a:r>
        </a:p>
      </xdr:txBody>
    </xdr:sp>
    <xdr:clientData/>
  </xdr:twoCellAnchor>
  <xdr:twoCellAnchor>
    <xdr:from>
      <xdr:col>11</xdr:col>
      <xdr:colOff>530675</xdr:colOff>
      <xdr:row>7</xdr:row>
      <xdr:rowOff>681</xdr:rowOff>
    </xdr:from>
    <xdr:to>
      <xdr:col>11</xdr:col>
      <xdr:colOff>1475691</xdr:colOff>
      <xdr:row>10</xdr:row>
      <xdr:rowOff>143555</xdr:rowOff>
    </xdr:to>
    <xdr:sp macro="" textlink="">
      <xdr:nvSpPr>
        <xdr:cNvPr id="54" name="Rectangle 53">
          <a:extLst>
            <a:ext uri="{FF2B5EF4-FFF2-40B4-BE49-F238E27FC236}">
              <a16:creationId xmlns:a16="http://schemas.microsoft.com/office/drawing/2014/main" id="{EAFF80FA-18A0-45F4-A8EA-DAE6631BB443}"/>
            </a:ext>
          </a:extLst>
        </xdr:cNvPr>
        <xdr:cNvSpPr/>
      </xdr:nvSpPr>
      <xdr:spPr>
        <a:xfrm>
          <a:off x="4378775" y="1391331"/>
          <a:ext cx="945016" cy="642937"/>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a:t>PCC.P</a:t>
          </a:r>
          <a:r>
            <a:rPr lang="en-GB" sz="1100" baseline="0"/>
            <a:t>.Range</a:t>
          </a:r>
        </a:p>
      </xdr:txBody>
    </xdr:sp>
    <xdr:clientData/>
  </xdr:twoCellAnchor>
  <xdr:twoCellAnchor>
    <xdr:from>
      <xdr:col>6</xdr:col>
      <xdr:colOff>123822</xdr:colOff>
      <xdr:row>6</xdr:row>
      <xdr:rowOff>81641</xdr:rowOff>
    </xdr:from>
    <xdr:to>
      <xdr:col>7</xdr:col>
      <xdr:colOff>823226</xdr:colOff>
      <xdr:row>8</xdr:row>
      <xdr:rowOff>110217</xdr:rowOff>
    </xdr:to>
    <xdr:cxnSp macro="">
      <xdr:nvCxnSpPr>
        <xdr:cNvPr id="55" name="Connector: Elbow 54">
          <a:extLst>
            <a:ext uri="{FF2B5EF4-FFF2-40B4-BE49-F238E27FC236}">
              <a16:creationId xmlns:a16="http://schemas.microsoft.com/office/drawing/2014/main" id="{37332AD5-33D6-4BD7-8594-283B5E3D0317}"/>
            </a:ext>
          </a:extLst>
        </xdr:cNvPr>
        <xdr:cNvCxnSpPr>
          <a:stCxn id="58" idx="3"/>
          <a:endCxn id="52" idx="1"/>
        </xdr:cNvCxnSpPr>
      </xdr:nvCxnSpPr>
      <xdr:spPr>
        <a:xfrm flipV="1">
          <a:off x="1028697" y="1305604"/>
          <a:ext cx="880379" cy="361951"/>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123822</xdr:colOff>
      <xdr:row>8</xdr:row>
      <xdr:rowOff>110217</xdr:rowOff>
    </xdr:from>
    <xdr:to>
      <xdr:col>7</xdr:col>
      <xdr:colOff>822548</xdr:colOff>
      <xdr:row>11</xdr:row>
      <xdr:rowOff>14620</xdr:rowOff>
    </xdr:to>
    <xdr:cxnSp macro="">
      <xdr:nvCxnSpPr>
        <xdr:cNvPr id="56" name="Connector: Elbow 55">
          <a:extLst>
            <a:ext uri="{FF2B5EF4-FFF2-40B4-BE49-F238E27FC236}">
              <a16:creationId xmlns:a16="http://schemas.microsoft.com/office/drawing/2014/main" id="{F70AC949-6EE0-4A90-BBFB-D98931A76A19}"/>
            </a:ext>
          </a:extLst>
        </xdr:cNvPr>
        <xdr:cNvCxnSpPr>
          <a:stCxn id="58" idx="3"/>
          <a:endCxn id="53" idx="1"/>
        </xdr:cNvCxnSpPr>
      </xdr:nvCxnSpPr>
      <xdr:spPr>
        <a:xfrm>
          <a:off x="1028697" y="1667555"/>
          <a:ext cx="879701" cy="40446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1887307</xdr:colOff>
      <xdr:row>7</xdr:row>
      <xdr:rowOff>2718</xdr:rowOff>
    </xdr:from>
    <xdr:to>
      <xdr:col>16</xdr:col>
      <xdr:colOff>71433</xdr:colOff>
      <xdr:row>10</xdr:row>
      <xdr:rowOff>143553</xdr:rowOff>
    </xdr:to>
    <xdr:sp macro="" textlink="">
      <xdr:nvSpPr>
        <xdr:cNvPr id="57" name="Rectangle 56">
          <a:extLst>
            <a:ext uri="{FF2B5EF4-FFF2-40B4-BE49-F238E27FC236}">
              <a16:creationId xmlns:a16="http://schemas.microsoft.com/office/drawing/2014/main" id="{1E30EA69-F1FB-4236-A468-1E6B9E87CD8A}"/>
            </a:ext>
          </a:extLst>
        </xdr:cNvPr>
        <xdr:cNvSpPr/>
      </xdr:nvSpPr>
      <xdr:spPr>
        <a:xfrm>
          <a:off x="5735407" y="1393368"/>
          <a:ext cx="1127351" cy="640898"/>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a:t>PCC.Percentiles</a:t>
          </a:r>
        </a:p>
      </xdr:txBody>
    </xdr:sp>
    <xdr:clientData/>
  </xdr:twoCellAnchor>
  <xdr:twoCellAnchor>
    <xdr:from>
      <xdr:col>1</xdr:col>
      <xdr:colOff>76197</xdr:colOff>
      <xdr:row>6</xdr:row>
      <xdr:rowOff>119742</xdr:rowOff>
    </xdr:from>
    <xdr:to>
      <xdr:col>6</xdr:col>
      <xdr:colOff>123822</xdr:colOff>
      <xdr:row>10</xdr:row>
      <xdr:rowOff>100692</xdr:rowOff>
    </xdr:to>
    <xdr:sp macro="" textlink="">
      <xdr:nvSpPr>
        <xdr:cNvPr id="58" name="Rectangle 57">
          <a:extLst>
            <a:ext uri="{FF2B5EF4-FFF2-40B4-BE49-F238E27FC236}">
              <a16:creationId xmlns:a16="http://schemas.microsoft.com/office/drawing/2014/main" id="{44E24716-C876-4D8F-BC41-F3DA14F5C26C}"/>
            </a:ext>
          </a:extLst>
        </xdr:cNvPr>
        <xdr:cNvSpPr/>
      </xdr:nvSpPr>
      <xdr:spPr>
        <a:xfrm>
          <a:off x="180972" y="1343705"/>
          <a:ext cx="847725" cy="6477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1100" baseline="0"/>
            <a:t>PCC.Inputs</a:t>
          </a:r>
          <a:endParaRPr lang="en-GB" sz="1100"/>
        </a:p>
      </xdr:txBody>
    </xdr:sp>
    <xdr:clientData/>
  </xdr:twoCellAnchor>
  <xdr:twoCellAnchor>
    <xdr:from>
      <xdr:col>10</xdr:col>
      <xdr:colOff>127221</xdr:colOff>
      <xdr:row>6</xdr:row>
      <xdr:rowOff>81641</xdr:rowOff>
    </xdr:from>
    <xdr:to>
      <xdr:col>11</xdr:col>
      <xdr:colOff>530675</xdr:colOff>
      <xdr:row>8</xdr:row>
      <xdr:rowOff>155462</xdr:rowOff>
    </xdr:to>
    <xdr:cxnSp macro="">
      <xdr:nvCxnSpPr>
        <xdr:cNvPr id="59" name="Connector: Elbow 58">
          <a:extLst>
            <a:ext uri="{FF2B5EF4-FFF2-40B4-BE49-F238E27FC236}">
              <a16:creationId xmlns:a16="http://schemas.microsoft.com/office/drawing/2014/main" id="{DDBA7605-4B70-413E-AE94-9FFF3359C7D2}"/>
            </a:ext>
          </a:extLst>
        </xdr:cNvPr>
        <xdr:cNvCxnSpPr>
          <a:stCxn id="52" idx="3"/>
          <a:endCxn id="54" idx="1"/>
        </xdr:cNvCxnSpPr>
      </xdr:nvCxnSpPr>
      <xdr:spPr>
        <a:xfrm>
          <a:off x="3794346" y="1305604"/>
          <a:ext cx="584429" cy="407196"/>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126542</xdr:colOff>
      <xdr:row>8</xdr:row>
      <xdr:rowOff>155462</xdr:rowOff>
    </xdr:from>
    <xdr:to>
      <xdr:col>11</xdr:col>
      <xdr:colOff>530675</xdr:colOff>
      <xdr:row>11</xdr:row>
      <xdr:rowOff>14620</xdr:rowOff>
    </xdr:to>
    <xdr:cxnSp macro="">
      <xdr:nvCxnSpPr>
        <xdr:cNvPr id="60" name="Connector: Elbow 59">
          <a:extLst>
            <a:ext uri="{FF2B5EF4-FFF2-40B4-BE49-F238E27FC236}">
              <a16:creationId xmlns:a16="http://schemas.microsoft.com/office/drawing/2014/main" id="{ADEA4229-ECA0-4D6D-A624-14B66AAFEDAC}"/>
            </a:ext>
          </a:extLst>
        </xdr:cNvPr>
        <xdr:cNvCxnSpPr>
          <a:stCxn id="53" idx="3"/>
          <a:endCxn id="54" idx="1"/>
        </xdr:cNvCxnSpPr>
      </xdr:nvCxnSpPr>
      <xdr:spPr>
        <a:xfrm flipV="1">
          <a:off x="3793667" y="1712800"/>
          <a:ext cx="585108" cy="35922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1475691</xdr:colOff>
      <xdr:row>8</xdr:row>
      <xdr:rowOff>155462</xdr:rowOff>
    </xdr:from>
    <xdr:to>
      <xdr:col>11</xdr:col>
      <xdr:colOff>1887307</xdr:colOff>
      <xdr:row>8</xdr:row>
      <xdr:rowOff>156479</xdr:rowOff>
    </xdr:to>
    <xdr:cxnSp macro="">
      <xdr:nvCxnSpPr>
        <xdr:cNvPr id="61" name="Connector: Elbow 60">
          <a:extLst>
            <a:ext uri="{FF2B5EF4-FFF2-40B4-BE49-F238E27FC236}">
              <a16:creationId xmlns:a16="http://schemas.microsoft.com/office/drawing/2014/main" id="{EC9F47DB-6DEC-4F0F-B63E-C591A050A434}"/>
            </a:ext>
          </a:extLst>
        </xdr:cNvPr>
        <xdr:cNvCxnSpPr>
          <a:cxnSpLocks/>
          <a:stCxn id="54" idx="3"/>
          <a:endCxn id="57" idx="1"/>
        </xdr:cNvCxnSpPr>
      </xdr:nvCxnSpPr>
      <xdr:spPr>
        <a:xfrm>
          <a:off x="5323791" y="1712800"/>
          <a:ext cx="411616" cy="101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71433</xdr:colOff>
      <xdr:row>8</xdr:row>
      <xdr:rowOff>156479</xdr:rowOff>
    </xdr:from>
    <xdr:to>
      <xdr:col>16</xdr:col>
      <xdr:colOff>1106906</xdr:colOff>
      <xdr:row>13</xdr:row>
      <xdr:rowOff>14277</xdr:rowOff>
    </xdr:to>
    <xdr:cxnSp macro="">
      <xdr:nvCxnSpPr>
        <xdr:cNvPr id="63" name="Connector: Elbow 62">
          <a:extLst>
            <a:ext uri="{FF2B5EF4-FFF2-40B4-BE49-F238E27FC236}">
              <a16:creationId xmlns:a16="http://schemas.microsoft.com/office/drawing/2014/main" id="{71509574-49CA-4E41-9B23-996BB7D2D60A}"/>
            </a:ext>
          </a:extLst>
        </xdr:cNvPr>
        <xdr:cNvCxnSpPr>
          <a:cxnSpLocks/>
          <a:stCxn id="57" idx="3"/>
          <a:endCxn id="8" idx="0"/>
        </xdr:cNvCxnSpPr>
      </xdr:nvCxnSpPr>
      <xdr:spPr>
        <a:xfrm>
          <a:off x="6862758" y="1713817"/>
          <a:ext cx="1035473" cy="69123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PR24@ofwat.gov.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5F6F-669C-47AC-BCF5-1D39692761C7}">
  <sheetPr>
    <tabColor rgb="FFCCCCCE"/>
    <outlinePr summaryBelow="0" summaryRight="0"/>
  </sheetPr>
  <dimension ref="A1:XFC91"/>
  <sheetViews>
    <sheetView showGridLines="0" tabSelected="1" zoomScale="80" zoomScaleNormal="80" workbookViewId="0"/>
  </sheetViews>
  <sheetFormatPr defaultColWidth="8" defaultRowHeight="0" customHeight="1" zeroHeight="1" x14ac:dyDescent="0.35"/>
  <cols>
    <col min="1" max="1" width="7.625" style="76" customWidth="1"/>
    <col min="2" max="2" width="57.625" style="76" bestFit="1" customWidth="1"/>
    <col min="3" max="3" width="13.5" style="76" customWidth="1"/>
    <col min="4" max="11" width="8" style="76" customWidth="1"/>
    <col min="12" max="13" width="8" style="76" hidden="1" customWidth="1"/>
    <col min="14" max="16383" width="0" style="76" hidden="1" customWidth="1"/>
    <col min="16384" max="16384" width="8.25" style="76" hidden="1" customWidth="1"/>
  </cols>
  <sheetData>
    <row r="1" spans="1:10" ht="30.75" x14ac:dyDescent="0.35">
      <c r="A1" s="74" t="str">
        <f ca="1" xml:space="preserve"> RIGHT(CELL("filename", $A$1), LEN(CELL("filename", $A$1)) - SEARCH("]", CELL("filename", $A$1)))</f>
        <v>Cover</v>
      </c>
      <c r="B1" s="74"/>
      <c r="C1" s="75"/>
      <c r="D1" s="75"/>
      <c r="E1" s="75"/>
      <c r="F1" s="75"/>
      <c r="G1" s="75"/>
      <c r="H1" s="75"/>
      <c r="I1" s="75"/>
      <c r="J1" s="75"/>
    </row>
    <row r="2" spans="1:10" ht="13.15" x14ac:dyDescent="0.35"/>
    <row r="3" spans="1:10" s="77" customFormat="1" ht="23.25" x14ac:dyDescent="0.35">
      <c r="B3" s="78" t="s">
        <v>224</v>
      </c>
    </row>
    <row r="4" spans="1:10" ht="13.15" x14ac:dyDescent="0.35"/>
    <row r="5" spans="1:10" ht="13.15" x14ac:dyDescent="0.35">
      <c r="B5" s="76" t="s">
        <v>225</v>
      </c>
      <c r="C5" s="79" t="s">
        <v>226</v>
      </c>
    </row>
    <row r="6" spans="1:10" ht="13.15" x14ac:dyDescent="0.35">
      <c r="B6" s="76" t="s">
        <v>2</v>
      </c>
      <c r="C6" s="79">
        <v>1</v>
      </c>
    </row>
    <row r="7" spans="1:10" ht="13.15" x14ac:dyDescent="0.35">
      <c r="B7" s="76" t="s">
        <v>3</v>
      </c>
      <c r="C7" s="80" t="str">
        <f ca="1" xml:space="preserve"> MID(CELL("filename"), FIND("[", CELL("filename"), 1) + 1, FIND("]", CELL("filename"), 1) - FIND("[", CELL("filename"), 1) - 1)</f>
        <v>PR24 FD OC13 ODI risk - Feeder Model (Per Capita Consumption and Business Demand).xlsx</v>
      </c>
    </row>
    <row r="8" spans="1:10" ht="13.15" x14ac:dyDescent="0.35">
      <c r="B8" s="76" t="s">
        <v>4</v>
      </c>
      <c r="C8" s="81">
        <v>45627</v>
      </c>
    </row>
    <row r="9" spans="1:10" ht="13.15" x14ac:dyDescent="0.35"/>
    <row r="10" spans="1:10" ht="14.25" x14ac:dyDescent="0.35">
      <c r="B10" s="76" t="s">
        <v>5</v>
      </c>
      <c r="C10" s="83" t="s">
        <v>6</v>
      </c>
    </row>
    <row r="11" spans="1:10" ht="13.15" x14ac:dyDescent="0.4">
      <c r="C11" s="82"/>
    </row>
    <row r="12" spans="1:10" ht="13.15" x14ac:dyDescent="0.35"/>
    <row r="13" spans="1:10" ht="13.15" x14ac:dyDescent="0.35"/>
    <row r="14" spans="1:10" ht="13.15" x14ac:dyDescent="0.35"/>
    <row r="15" spans="1:10" ht="13.15" x14ac:dyDescent="0.35"/>
    <row r="16" spans="1:10" ht="13.15" x14ac:dyDescent="0.35"/>
    <row r="17" spans="2:2" ht="13.15" x14ac:dyDescent="0.35"/>
    <row r="18" spans="2:2" ht="13.15" x14ac:dyDescent="0.35"/>
    <row r="19" spans="2:2" ht="13.15" x14ac:dyDescent="0.35"/>
    <row r="20" spans="2:2" ht="14.25" x14ac:dyDescent="0.45">
      <c r="B20" s="84"/>
    </row>
    <row r="21" spans="2:2" ht="13.15" x14ac:dyDescent="0.35"/>
    <row r="22" spans="2:2" ht="13.15" x14ac:dyDescent="0.35"/>
    <row r="23" spans="2:2" ht="13.15" x14ac:dyDescent="0.35"/>
    <row r="24" spans="2:2" ht="13.15" x14ac:dyDescent="0.35"/>
    <row r="25" spans="2:2" ht="13.15" x14ac:dyDescent="0.35"/>
    <row r="26" spans="2:2" ht="13.15" x14ac:dyDescent="0.35"/>
    <row r="27" spans="2:2" ht="13.15" x14ac:dyDescent="0.35"/>
    <row r="28" spans="2:2" ht="13.15" x14ac:dyDescent="0.35"/>
    <row r="29" spans="2:2" ht="13.15" x14ac:dyDescent="0.35"/>
    <row r="30" spans="2:2" ht="13.15" x14ac:dyDescent="0.35"/>
    <row r="31" spans="2:2" ht="13.15" x14ac:dyDescent="0.35"/>
    <row r="32" spans="2:2" ht="13.15" x14ac:dyDescent="0.35"/>
    <row r="33" ht="13.15" x14ac:dyDescent="0.35"/>
    <row r="34" ht="13.15" x14ac:dyDescent="0.35"/>
    <row r="35" ht="13.15" x14ac:dyDescent="0.35"/>
    <row r="36" ht="13.15" x14ac:dyDescent="0.35"/>
    <row r="37" ht="13.15" hidden="1" x14ac:dyDescent="0.35"/>
    <row r="38" ht="13.15" hidden="1" x14ac:dyDescent="0.35"/>
    <row r="39" ht="13.5" hidden="1" customHeight="1" x14ac:dyDescent="0.35"/>
    <row r="40" ht="13.5" hidden="1" customHeight="1" x14ac:dyDescent="0.35"/>
    <row r="41" ht="13.5" hidden="1" customHeight="1" x14ac:dyDescent="0.35"/>
    <row r="42" ht="13.5" hidden="1" customHeight="1" x14ac:dyDescent="0.35"/>
    <row r="43" ht="13.5" hidden="1" customHeight="1" x14ac:dyDescent="0.35"/>
    <row r="44" ht="13.5" hidden="1" customHeight="1" x14ac:dyDescent="0.35"/>
    <row r="45" ht="13.5" hidden="1" customHeight="1" x14ac:dyDescent="0.35"/>
    <row r="46" ht="13.5" hidden="1" customHeight="1" x14ac:dyDescent="0.35"/>
    <row r="47" ht="13.5" hidden="1" customHeight="1" x14ac:dyDescent="0.35"/>
    <row r="48" ht="13.5" hidden="1" customHeight="1" x14ac:dyDescent="0.35"/>
    <row r="49" ht="13.5" hidden="1" customHeight="1" x14ac:dyDescent="0.35"/>
    <row r="50" ht="13.5" hidden="1" customHeight="1" x14ac:dyDescent="0.35"/>
    <row r="51" ht="13.5" hidden="1" customHeight="1" x14ac:dyDescent="0.35"/>
    <row r="52" ht="13.5" hidden="1" customHeight="1" x14ac:dyDescent="0.35"/>
    <row r="53" ht="13.5" hidden="1" customHeight="1" x14ac:dyDescent="0.35"/>
    <row r="54" ht="13.5" hidden="1" customHeight="1" x14ac:dyDescent="0.35"/>
    <row r="55" ht="13.5" hidden="1" customHeight="1" x14ac:dyDescent="0.35"/>
    <row r="56" ht="13.5" hidden="1" customHeight="1" x14ac:dyDescent="0.35"/>
    <row r="57" ht="13.5" hidden="1" customHeight="1" x14ac:dyDescent="0.35"/>
    <row r="58" ht="13.5" hidden="1" customHeight="1" x14ac:dyDescent="0.35"/>
    <row r="59" ht="13.5" hidden="1" customHeight="1" x14ac:dyDescent="0.35"/>
    <row r="60" ht="13.5" hidden="1" customHeight="1" x14ac:dyDescent="0.35"/>
    <row r="61" ht="13.5" hidden="1" customHeight="1" x14ac:dyDescent="0.35"/>
    <row r="62" ht="13.5" hidden="1" customHeight="1" x14ac:dyDescent="0.35"/>
    <row r="63" ht="13.5" hidden="1" customHeight="1" x14ac:dyDescent="0.35"/>
    <row r="64" ht="13.5" hidden="1" customHeight="1" x14ac:dyDescent="0.35"/>
    <row r="65" ht="13.5" hidden="1" customHeight="1" x14ac:dyDescent="0.35"/>
    <row r="66" ht="13.5" hidden="1" customHeight="1" x14ac:dyDescent="0.35"/>
    <row r="67" ht="13.5" hidden="1" customHeight="1" x14ac:dyDescent="0.35"/>
    <row r="68" ht="13.5" hidden="1" customHeight="1" x14ac:dyDescent="0.35"/>
    <row r="69" ht="13.5" hidden="1" customHeight="1" x14ac:dyDescent="0.35"/>
    <row r="70" ht="13.5" hidden="1" customHeight="1" x14ac:dyDescent="0.35"/>
    <row r="71" ht="13.5" hidden="1" customHeight="1" x14ac:dyDescent="0.35"/>
    <row r="72" ht="13.5" hidden="1" customHeight="1" x14ac:dyDescent="0.35"/>
    <row r="73" ht="13.5" hidden="1" customHeight="1" x14ac:dyDescent="0.35"/>
    <row r="74" ht="13.5" hidden="1" customHeight="1" x14ac:dyDescent="0.35"/>
    <row r="75" ht="13.5" hidden="1" customHeight="1" x14ac:dyDescent="0.35"/>
    <row r="76" ht="13.5" hidden="1" customHeight="1" x14ac:dyDescent="0.35"/>
    <row r="77" ht="13.5" hidden="1" customHeight="1" x14ac:dyDescent="0.35"/>
    <row r="78" ht="13.5" hidden="1" customHeight="1" x14ac:dyDescent="0.35"/>
    <row r="79" ht="13.5" hidden="1" customHeight="1" x14ac:dyDescent="0.35"/>
    <row r="80" ht="13.5" hidden="1" customHeight="1" x14ac:dyDescent="0.35"/>
    <row r="81" ht="13.5" hidden="1" customHeight="1" x14ac:dyDescent="0.35"/>
    <row r="82" ht="13.5" hidden="1" customHeight="1" x14ac:dyDescent="0.35"/>
    <row r="83" ht="13.5" hidden="1" customHeight="1" x14ac:dyDescent="0.35"/>
    <row r="84" ht="13.5" hidden="1" customHeight="1" x14ac:dyDescent="0.35"/>
    <row r="85" ht="13.5" hidden="1" customHeight="1" x14ac:dyDescent="0.35"/>
    <row r="86" ht="13.5" hidden="1" customHeight="1" x14ac:dyDescent="0.35"/>
    <row r="87" ht="13.5" hidden="1" customHeight="1" x14ac:dyDescent="0.35"/>
    <row r="88" ht="13.5" hidden="1" customHeight="1" x14ac:dyDescent="0.35"/>
    <row r="89" ht="13.5" hidden="1" customHeight="1" x14ac:dyDescent="0.35"/>
    <row r="90" ht="13.5" hidden="1" customHeight="1" x14ac:dyDescent="0.35"/>
    <row r="91" ht="13.5" hidden="1" customHeight="1" x14ac:dyDescent="0.35"/>
  </sheetData>
  <hyperlinks>
    <hyperlink ref="C10" r:id="rId1" xr:uid="{2872A2E3-EEB3-4161-B5B7-781BB270EE12}"/>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8B4D-34C3-453C-824C-CA4A82B9A711}">
  <sheetPr codeName="Sheet2">
    <tabColor rgb="FFCCCCCE"/>
    <pageSetUpPr fitToPage="1"/>
  </sheetPr>
  <dimension ref="A1:AX28"/>
  <sheetViews>
    <sheetView showGridLines="0" zoomScale="80" zoomScaleNormal="80" workbookViewId="0"/>
  </sheetViews>
  <sheetFormatPr defaultColWidth="0" defaultRowHeight="13.15" customHeight="1" zeroHeight="1" x14ac:dyDescent="0.4"/>
  <cols>
    <col min="1" max="4" width="1.375" style="73" customWidth="1"/>
    <col min="5" max="5" width="2.375" style="73" customWidth="1"/>
    <col min="6" max="6" width="4" style="73" customWidth="1"/>
    <col min="7" max="7" width="2.375" style="73" customWidth="1"/>
    <col min="8" max="8" width="27.5" style="73" customWidth="1"/>
    <col min="9" max="9" width="2.375" style="73" customWidth="1"/>
    <col min="10" max="10" width="4" style="73" customWidth="1"/>
    <col min="11" max="11" width="2.375" style="73" customWidth="1"/>
    <col min="12" max="12" width="27.5" style="73" customWidth="1"/>
    <col min="13" max="13" width="2.375" style="73" customWidth="1"/>
    <col min="14" max="14" width="4" style="73" customWidth="1"/>
    <col min="15" max="16" width="2.375" style="73" customWidth="1"/>
    <col min="17" max="17" width="27.5" style="73" customWidth="1"/>
    <col min="18" max="20" width="2.375" style="73" hidden="1" customWidth="1"/>
    <col min="21" max="21" width="4" style="73" hidden="1" customWidth="1"/>
    <col min="22" max="22" width="2.375" style="73" hidden="1" customWidth="1"/>
    <col min="23" max="23" width="27.5" style="73" hidden="1" customWidth="1"/>
    <col min="24" max="24" width="2.375" style="73" hidden="1" customWidth="1"/>
    <col min="25" max="25" width="4" style="73" hidden="1" customWidth="1"/>
    <col min="26" max="26" width="2.375" style="73" hidden="1" customWidth="1"/>
    <col min="27" max="27" width="27.5" style="73" hidden="1" customWidth="1"/>
    <col min="28" max="28" width="2.375" style="73" hidden="1" customWidth="1"/>
    <col min="29" max="29" width="4" style="73" hidden="1" customWidth="1"/>
    <col min="30" max="30" width="5.125" style="73" hidden="1" customWidth="1"/>
    <col min="31" max="32" width="2.375" style="73" hidden="1" customWidth="1"/>
    <col min="33" max="33" width="27.5" style="73" hidden="1" customWidth="1"/>
    <col min="34" max="34" width="2.375" style="73" hidden="1" customWidth="1"/>
    <col min="35" max="35" width="5.125" style="73" hidden="1" customWidth="1"/>
    <col min="36" max="36" width="2.375" style="73" hidden="1" customWidth="1"/>
    <col min="37" max="37" width="27.5" style="73" hidden="1" customWidth="1"/>
    <col min="38" max="39" width="2.375" style="73" hidden="1" customWidth="1"/>
    <col min="40" max="40" width="6.25" style="57" hidden="1" customWidth="1"/>
    <col min="41" max="50" width="6.375" style="57" hidden="1" customWidth="1"/>
    <col min="51" max="16384" width="6.25" style="57" hidden="1"/>
  </cols>
  <sheetData>
    <row r="1" spans="1:40" ht="30.75" x14ac:dyDescent="0.4">
      <c r="A1" s="4" t="str">
        <f ca="1" xml:space="preserve"> RIGHT(CELL("filename", A1), LEN(CELL("filename", A1)) - SEARCH("]", CELL("filename", A1)))</f>
        <v>Conceptual Model</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x14ac:dyDescent="0.4">
      <c r="A2" s="58"/>
      <c r="B2" s="59"/>
      <c r="C2" s="59"/>
      <c r="D2" s="59"/>
      <c r="E2" s="59"/>
      <c r="F2" s="59"/>
      <c r="G2" s="59"/>
      <c r="H2" s="60"/>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row>
    <row r="3" spans="1:40" s="85" customFormat="1" x14ac:dyDescent="0.35">
      <c r="A3" s="85" t="s">
        <v>7</v>
      </c>
    </row>
    <row r="4" spans="1:40" x14ac:dyDescent="0.4">
      <c r="A4" s="58"/>
      <c r="B4" s="59"/>
      <c r="C4" s="59"/>
      <c r="D4" s="59"/>
      <c r="E4" s="59"/>
      <c r="F4" s="59"/>
      <c r="G4" s="59"/>
      <c r="H4" s="60"/>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row>
    <row r="5" spans="1:40" x14ac:dyDescent="0.4">
      <c r="A5" s="61"/>
      <c r="B5" s="62"/>
      <c r="C5" s="62"/>
      <c r="D5" s="62"/>
      <c r="E5" s="62"/>
      <c r="F5" s="63"/>
      <c r="G5" s="64"/>
      <c r="H5" s="64"/>
      <c r="I5" s="64"/>
      <c r="J5" s="64"/>
      <c r="K5" s="65"/>
      <c r="L5" s="63"/>
      <c r="M5" s="65"/>
      <c r="N5" s="65"/>
      <c r="O5" s="65"/>
      <c r="P5" s="64"/>
      <c r="Q5" s="64"/>
      <c r="R5" s="64"/>
      <c r="S5" s="64"/>
      <c r="T5" s="64"/>
      <c r="U5" s="62"/>
      <c r="V5" s="62"/>
      <c r="W5" s="62"/>
      <c r="X5" s="62"/>
      <c r="Y5" s="62"/>
      <c r="Z5" s="62"/>
      <c r="AA5" s="62"/>
      <c r="AB5" s="62"/>
      <c r="AC5" s="62"/>
      <c r="AD5" s="62"/>
      <c r="AE5" s="62"/>
      <c r="AF5" s="62"/>
      <c r="AG5" s="62"/>
      <c r="AH5" s="62"/>
      <c r="AI5" s="62"/>
      <c r="AJ5" s="62"/>
      <c r="AK5" s="62"/>
      <c r="AL5" s="62"/>
      <c r="AM5" s="62"/>
    </row>
    <row r="6" spans="1:40" x14ac:dyDescent="0.4">
      <c r="A6" s="58"/>
      <c r="B6" s="59"/>
      <c r="C6" s="59"/>
      <c r="D6" s="59"/>
      <c r="E6" s="59"/>
      <c r="F6" s="59"/>
      <c r="G6" s="59"/>
      <c r="H6" s="59"/>
      <c r="I6" s="59"/>
      <c r="J6" s="59"/>
      <c r="K6" s="59"/>
      <c r="L6" s="60"/>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row>
    <row r="7" spans="1:40" x14ac:dyDescent="0.4">
      <c r="A7" s="58"/>
      <c r="B7" s="59"/>
      <c r="C7" s="59"/>
      <c r="D7" s="59"/>
      <c r="E7" s="59"/>
      <c r="F7" s="59"/>
      <c r="G7" s="59"/>
      <c r="H7" s="59"/>
      <c r="I7" s="59"/>
      <c r="J7" s="59"/>
      <c r="K7" s="59"/>
      <c r="L7" s="60"/>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row>
    <row r="8" spans="1:40" x14ac:dyDescent="0.4">
      <c r="A8" s="58"/>
      <c r="B8" s="59"/>
      <c r="C8" s="59"/>
      <c r="D8" s="59"/>
      <c r="E8" s="59"/>
      <c r="F8" s="59"/>
      <c r="G8" s="59"/>
      <c r="H8" s="66"/>
      <c r="I8" s="59"/>
      <c r="J8" s="59"/>
      <c r="K8" s="59"/>
      <c r="L8" s="60"/>
      <c r="M8" s="59"/>
      <c r="N8" s="59"/>
      <c r="O8" s="59"/>
      <c r="P8" s="59"/>
      <c r="Q8" s="66"/>
      <c r="R8" s="59"/>
      <c r="S8" s="59"/>
      <c r="T8" s="59"/>
      <c r="U8" s="59"/>
      <c r="V8" s="59"/>
      <c r="W8" s="59"/>
      <c r="X8" s="59"/>
      <c r="Y8" s="59"/>
      <c r="Z8" s="59"/>
      <c r="AA8" s="59"/>
      <c r="AB8" s="59"/>
      <c r="AC8" s="59"/>
      <c r="AD8" s="59"/>
      <c r="AE8" s="59"/>
      <c r="AF8" s="59"/>
      <c r="AG8" s="59"/>
      <c r="AH8" s="59"/>
      <c r="AI8" s="59"/>
      <c r="AJ8" s="59"/>
      <c r="AK8" s="59"/>
      <c r="AL8" s="59"/>
      <c r="AM8" s="59"/>
    </row>
    <row r="9" spans="1:40" x14ac:dyDescent="0.4">
      <c r="A9" s="58"/>
      <c r="B9" s="59"/>
      <c r="C9" s="59"/>
      <c r="D9" s="59"/>
      <c r="E9" s="59"/>
      <c r="F9" s="59"/>
      <c r="G9" s="59"/>
      <c r="H9" s="59"/>
      <c r="I9" s="59"/>
      <c r="J9" s="59"/>
      <c r="K9" s="59"/>
      <c r="L9" s="60"/>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row>
    <row r="10" spans="1:40" x14ac:dyDescent="0.4">
      <c r="A10" s="58"/>
      <c r="B10" s="59"/>
      <c r="C10" s="59"/>
      <c r="D10" s="59"/>
      <c r="E10" s="59"/>
      <c r="F10" s="59"/>
      <c r="G10" s="59"/>
      <c r="H10" s="59"/>
      <c r="I10" s="59"/>
      <c r="J10" s="59"/>
      <c r="K10" s="59"/>
      <c r="L10" s="60"/>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row>
    <row r="11" spans="1:40" x14ac:dyDescent="0.4">
      <c r="A11" s="58"/>
      <c r="B11" s="59"/>
      <c r="C11" s="59"/>
      <c r="D11" s="59"/>
      <c r="E11" s="59"/>
      <c r="F11" s="59"/>
      <c r="G11" s="59"/>
      <c r="H11" s="59"/>
      <c r="I11" s="59"/>
      <c r="J11" s="59"/>
      <c r="K11" s="59"/>
      <c r="L11" s="60"/>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row>
    <row r="12" spans="1:40" x14ac:dyDescent="0.4">
      <c r="A12" s="58"/>
      <c r="B12" s="59"/>
      <c r="C12" s="59"/>
      <c r="D12" s="59"/>
      <c r="E12" s="59"/>
      <c r="F12" s="59"/>
      <c r="G12" s="59"/>
      <c r="H12" s="59"/>
      <c r="I12" s="59"/>
      <c r="J12" s="59"/>
      <c r="K12" s="59"/>
      <c r="L12" s="60"/>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row>
    <row r="13" spans="1:40" x14ac:dyDescent="0.4">
      <c r="A13" s="61"/>
      <c r="B13" s="62"/>
      <c r="C13" s="62"/>
      <c r="D13" s="62"/>
      <c r="E13" s="62"/>
      <c r="F13" s="67"/>
      <c r="G13" s="68"/>
      <c r="H13" s="68"/>
      <c r="I13" s="68"/>
      <c r="J13" s="68"/>
      <c r="K13" s="68"/>
      <c r="L13" s="67"/>
      <c r="M13" s="68"/>
      <c r="N13" s="68"/>
      <c r="O13" s="68"/>
      <c r="P13" s="68"/>
      <c r="Q13" s="68"/>
      <c r="R13" s="68"/>
      <c r="S13" s="68"/>
      <c r="T13" s="68"/>
      <c r="U13" s="62"/>
      <c r="V13" s="62"/>
      <c r="W13" s="62"/>
      <c r="X13" s="62"/>
      <c r="Y13" s="62"/>
      <c r="Z13" s="62"/>
      <c r="AA13" s="62"/>
      <c r="AB13" s="62"/>
      <c r="AC13" s="62"/>
      <c r="AD13" s="62"/>
      <c r="AE13" s="62"/>
      <c r="AF13" s="62"/>
      <c r="AG13" s="62"/>
      <c r="AH13" s="62"/>
      <c r="AI13" s="62"/>
      <c r="AJ13" s="62"/>
      <c r="AK13" s="62"/>
      <c r="AL13" s="62"/>
      <c r="AM13" s="62"/>
    </row>
    <row r="14" spans="1:40" x14ac:dyDescent="0.4">
      <c r="A14" s="58"/>
      <c r="B14" s="59"/>
      <c r="C14" s="59"/>
      <c r="D14" s="59"/>
      <c r="E14" s="59"/>
      <c r="F14" s="59"/>
      <c r="G14" s="59"/>
      <c r="H14" s="59"/>
      <c r="I14" s="59"/>
      <c r="J14" s="59"/>
      <c r="K14" s="59"/>
      <c r="L14" s="60"/>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row>
    <row r="15" spans="1:40" x14ac:dyDescent="0.4">
      <c r="A15" s="58"/>
      <c r="B15" s="59"/>
      <c r="C15" s="59"/>
      <c r="D15" s="59"/>
      <c r="E15" s="59"/>
      <c r="F15" s="59"/>
      <c r="G15" s="59"/>
      <c r="H15" s="59"/>
      <c r="I15" s="59"/>
      <c r="J15" s="59"/>
      <c r="K15" s="59"/>
      <c r="L15" s="60"/>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row>
    <row r="16" spans="1:40" x14ac:dyDescent="0.4">
      <c r="A16" s="58"/>
      <c r="B16" s="59"/>
      <c r="C16" s="59"/>
      <c r="D16" s="59"/>
      <c r="E16" s="59"/>
      <c r="F16" s="59"/>
      <c r="G16" s="59"/>
      <c r="H16" s="59"/>
      <c r="I16" s="59"/>
      <c r="J16" s="59"/>
      <c r="K16" s="59"/>
      <c r="L16" s="60"/>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row>
    <row r="17" spans="1:39" x14ac:dyDescent="0.4">
      <c r="A17" s="58"/>
      <c r="B17" s="59"/>
      <c r="C17" s="59"/>
      <c r="D17" s="59"/>
      <c r="E17" s="59"/>
      <c r="F17" s="59"/>
      <c r="G17" s="59"/>
      <c r="H17" s="59"/>
      <c r="I17" s="59"/>
      <c r="J17" s="59"/>
      <c r="K17" s="59"/>
      <c r="L17" s="60"/>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row>
    <row r="18" spans="1:39" x14ac:dyDescent="0.4">
      <c r="A18" s="58"/>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row>
    <row r="19" spans="1:39" x14ac:dyDescent="0.4">
      <c r="A19" s="58"/>
      <c r="B19" s="59"/>
      <c r="C19" s="59"/>
      <c r="D19" s="59"/>
      <c r="E19" s="59"/>
      <c r="F19" s="59"/>
      <c r="G19" s="59"/>
      <c r="H19" s="66"/>
      <c r="I19" s="59"/>
      <c r="J19" s="59"/>
      <c r="K19" s="59"/>
      <c r="L19" s="66"/>
      <c r="M19" s="59"/>
      <c r="N19" s="59"/>
      <c r="O19" s="59"/>
      <c r="P19" s="59"/>
      <c r="Q19" s="66"/>
      <c r="R19" s="59"/>
      <c r="S19" s="59"/>
      <c r="T19" s="59"/>
      <c r="U19" s="59"/>
      <c r="V19" s="59"/>
      <c r="W19" s="59"/>
      <c r="X19" s="59"/>
      <c r="Y19" s="59"/>
      <c r="Z19" s="59"/>
      <c r="AA19" s="59"/>
      <c r="AB19" s="59"/>
      <c r="AC19" s="59"/>
      <c r="AD19" s="59"/>
      <c r="AE19" s="59"/>
      <c r="AF19" s="59"/>
      <c r="AG19" s="59"/>
      <c r="AH19" s="59"/>
      <c r="AI19" s="59"/>
      <c r="AJ19" s="59"/>
      <c r="AK19" s="59"/>
      <c r="AL19" s="59"/>
      <c r="AM19" s="59"/>
    </row>
    <row r="20" spans="1:39" x14ac:dyDescent="0.4">
      <c r="A20" s="58"/>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row>
    <row r="21" spans="1:39" x14ac:dyDescent="0.4">
      <c r="A21" s="58"/>
      <c r="B21" s="59"/>
      <c r="C21" s="59"/>
      <c r="D21" s="59"/>
      <c r="E21" s="59"/>
      <c r="F21" s="59"/>
      <c r="G21" s="59"/>
      <c r="H21" s="59"/>
      <c r="I21" s="59"/>
      <c r="J21" s="59"/>
      <c r="K21" s="59"/>
      <c r="L21" s="60"/>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row>
    <row r="22" spans="1:39" x14ac:dyDescent="0.4">
      <c r="A22" s="58"/>
      <c r="B22" s="59"/>
      <c r="C22" s="59"/>
      <c r="D22" s="59"/>
      <c r="E22" s="59"/>
      <c r="F22" s="59"/>
      <c r="G22" s="59"/>
      <c r="H22" s="59"/>
      <c r="I22" s="59"/>
      <c r="J22" s="59"/>
      <c r="K22" s="59"/>
      <c r="L22" s="60"/>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row>
    <row r="23" spans="1:39" x14ac:dyDescent="0.4">
      <c r="A23" s="58"/>
      <c r="B23" s="59"/>
      <c r="C23" s="59"/>
      <c r="D23" s="59"/>
      <c r="E23" s="59"/>
      <c r="F23" s="59"/>
      <c r="G23" s="59"/>
      <c r="H23" s="59"/>
      <c r="I23" s="59"/>
      <c r="J23" s="59"/>
      <c r="K23" s="59"/>
      <c r="L23" s="60"/>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row>
    <row r="24" spans="1:39" x14ac:dyDescent="0.4">
      <c r="A24" s="58"/>
      <c r="B24" s="59"/>
      <c r="C24" s="59"/>
      <c r="D24" s="59"/>
      <c r="E24" s="59"/>
      <c r="F24" s="59"/>
      <c r="G24" s="59"/>
      <c r="H24" s="59"/>
      <c r="I24" s="59"/>
      <c r="J24" s="59"/>
      <c r="K24" s="59"/>
      <c r="L24" s="60"/>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row>
    <row r="25" spans="1:39" x14ac:dyDescent="0.4">
      <c r="A25" s="58"/>
      <c r="B25" s="59"/>
      <c r="C25" s="59"/>
      <c r="D25" s="59"/>
      <c r="E25" s="59"/>
      <c r="F25" s="59"/>
      <c r="G25" s="59"/>
      <c r="H25" s="59"/>
      <c r="I25" s="59"/>
      <c r="J25" s="59"/>
      <c r="K25" s="59"/>
      <c r="L25" s="60"/>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row>
    <row r="26" spans="1:39" x14ac:dyDescent="0.4">
      <c r="A26" s="58"/>
      <c r="B26" s="59"/>
      <c r="C26" s="59"/>
      <c r="D26" s="59"/>
      <c r="E26" s="59"/>
      <c r="F26" s="59"/>
      <c r="G26" s="59"/>
      <c r="H26" s="59"/>
      <c r="I26" s="59"/>
      <c r="J26" s="59"/>
      <c r="K26" s="59"/>
      <c r="L26" s="60"/>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row>
    <row r="27" spans="1:39" x14ac:dyDescent="0.4">
      <c r="A27" s="58"/>
      <c r="B27" s="59"/>
      <c r="C27" s="59"/>
      <c r="D27" s="59"/>
      <c r="E27" s="59"/>
      <c r="F27" s="59"/>
      <c r="G27" s="59"/>
      <c r="H27" s="59"/>
      <c r="I27" s="59"/>
      <c r="J27" s="59"/>
      <c r="K27" s="59"/>
      <c r="L27" s="60"/>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row>
    <row r="28" spans="1:39" x14ac:dyDescent="0.4">
      <c r="A28" s="69" t="s">
        <v>8</v>
      </c>
      <c r="B28" s="69"/>
      <c r="C28" s="70"/>
      <c r="D28" s="71"/>
      <c r="E28" s="70"/>
      <c r="F28" s="72"/>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row>
  </sheetData>
  <pageMargins left="0.7" right="0.7" top="0.75" bottom="0.75" header="0.3" footer="0.3"/>
  <pageSetup paperSize="9" scale="6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B8E"/>
  </sheetPr>
  <dimension ref="A1:Z60"/>
  <sheetViews>
    <sheetView zoomScale="80" zoomScaleNormal="80" workbookViewId="0"/>
  </sheetViews>
  <sheetFormatPr defaultColWidth="0" defaultRowHeight="14.25" zeroHeight="1" x14ac:dyDescent="0.45"/>
  <cols>
    <col min="1" max="26" width="9" style="86" customWidth="1"/>
    <col min="27" max="16384" width="9" style="86" hidden="1"/>
  </cols>
  <sheetData>
    <row r="1" spans="1:24" x14ac:dyDescent="0.45">
      <c r="C1" s="16" t="s">
        <v>0</v>
      </c>
      <c r="E1" s="16" t="s">
        <v>9</v>
      </c>
    </row>
    <row r="2" spans="1:24" x14ac:dyDescent="0.45">
      <c r="A2" s="87" t="s">
        <v>10</v>
      </c>
      <c r="B2" s="87" t="s">
        <v>11</v>
      </c>
      <c r="C2" s="87" t="s">
        <v>12</v>
      </c>
      <c r="D2" s="87" t="s">
        <v>13</v>
      </c>
      <c r="E2" s="87" t="s">
        <v>14</v>
      </c>
      <c r="F2" s="87" t="s">
        <v>15</v>
      </c>
      <c r="G2" s="87" t="s">
        <v>16</v>
      </c>
      <c r="H2" s="87" t="s">
        <v>17</v>
      </c>
      <c r="I2" s="87" t="s">
        <v>18</v>
      </c>
      <c r="J2" s="87" t="s">
        <v>19</v>
      </c>
      <c r="K2" s="87" t="s">
        <v>20</v>
      </c>
      <c r="L2" s="87" t="s">
        <v>21</v>
      </c>
      <c r="M2" s="87" t="s">
        <v>22</v>
      </c>
      <c r="N2" s="87" t="s">
        <v>23</v>
      </c>
      <c r="O2" s="87" t="s">
        <v>24</v>
      </c>
      <c r="P2" s="87" t="s">
        <v>25</v>
      </c>
      <c r="Q2" s="87" t="s">
        <v>26</v>
      </c>
      <c r="R2" s="87" t="s">
        <v>27</v>
      </c>
      <c r="S2" s="87" t="s">
        <v>28</v>
      </c>
      <c r="T2" s="87" t="s">
        <v>29</v>
      </c>
      <c r="U2" s="87" t="s">
        <v>30</v>
      </c>
      <c r="V2" s="87" t="s">
        <v>31</v>
      </c>
      <c r="W2" s="87" t="s">
        <v>32</v>
      </c>
      <c r="X2" s="87" t="s">
        <v>33</v>
      </c>
    </row>
    <row r="3" spans="1:24" x14ac:dyDescent="0.45"/>
    <row r="4" spans="1:24" x14ac:dyDescent="0.45">
      <c r="F4" s="87" t="s">
        <v>34</v>
      </c>
      <c r="G4" s="87" t="s">
        <v>34</v>
      </c>
      <c r="H4" s="87" t="s">
        <v>34</v>
      </c>
      <c r="I4" s="87" t="s">
        <v>34</v>
      </c>
      <c r="J4" s="87" t="s">
        <v>34</v>
      </c>
      <c r="K4" s="87" t="s">
        <v>34</v>
      </c>
      <c r="L4" s="87" t="s">
        <v>34</v>
      </c>
      <c r="M4" s="87" t="s">
        <v>34</v>
      </c>
      <c r="N4" s="87" t="s">
        <v>34</v>
      </c>
      <c r="O4" s="87" t="s">
        <v>34</v>
      </c>
      <c r="P4" s="87" t="s">
        <v>34</v>
      </c>
      <c r="Q4" s="87" t="s">
        <v>34</v>
      </c>
      <c r="R4" s="87" t="s">
        <v>34</v>
      </c>
      <c r="S4" s="87" t="s">
        <v>34</v>
      </c>
      <c r="T4" s="87" t="s">
        <v>34</v>
      </c>
      <c r="U4" s="87" t="s">
        <v>34</v>
      </c>
      <c r="V4" s="87" t="s">
        <v>34</v>
      </c>
      <c r="W4" s="87" t="s">
        <v>34</v>
      </c>
      <c r="X4" s="87" t="s">
        <v>34</v>
      </c>
    </row>
    <row r="5" spans="1:24" x14ac:dyDescent="0.45">
      <c r="F5" s="87" t="s">
        <v>1</v>
      </c>
      <c r="G5" s="87" t="s">
        <v>1</v>
      </c>
      <c r="H5" s="87" t="s">
        <v>1</v>
      </c>
      <c r="I5" s="87" t="s">
        <v>1</v>
      </c>
      <c r="J5" s="87" t="s">
        <v>1</v>
      </c>
      <c r="K5" s="87" t="s">
        <v>1</v>
      </c>
      <c r="L5" s="87" t="s">
        <v>1</v>
      </c>
      <c r="M5" s="87" t="s">
        <v>1</v>
      </c>
      <c r="N5" s="87" t="s">
        <v>1</v>
      </c>
      <c r="O5" s="87" t="s">
        <v>1</v>
      </c>
      <c r="P5" s="87" t="s">
        <v>1</v>
      </c>
      <c r="Q5" s="87" t="s">
        <v>1</v>
      </c>
      <c r="R5" s="87" t="s">
        <v>1</v>
      </c>
      <c r="S5" s="87" t="s">
        <v>1</v>
      </c>
      <c r="T5" s="87" t="s">
        <v>1</v>
      </c>
      <c r="U5" s="87" t="s">
        <v>1</v>
      </c>
      <c r="V5" s="87" t="s">
        <v>1</v>
      </c>
      <c r="W5" s="87" t="s">
        <v>1</v>
      </c>
      <c r="X5" s="87" t="s">
        <v>1</v>
      </c>
    </row>
    <row r="6" spans="1:24" x14ac:dyDescent="0.45">
      <c r="F6" s="87" t="s">
        <v>35</v>
      </c>
      <c r="G6" s="87" t="s">
        <v>35</v>
      </c>
      <c r="H6" s="87" t="s">
        <v>35</v>
      </c>
      <c r="I6" s="87" t="s">
        <v>35</v>
      </c>
      <c r="J6" s="87" t="s">
        <v>35</v>
      </c>
      <c r="K6" s="87" t="s">
        <v>35</v>
      </c>
      <c r="L6" s="87" t="s">
        <v>35</v>
      </c>
      <c r="M6" s="87" t="s">
        <v>35</v>
      </c>
      <c r="N6" s="87" t="s">
        <v>35</v>
      </c>
      <c r="O6" s="87" t="s">
        <v>35</v>
      </c>
      <c r="P6" s="87" t="s">
        <v>35</v>
      </c>
      <c r="Q6" s="87" t="s">
        <v>35</v>
      </c>
      <c r="R6" s="87" t="s">
        <v>35</v>
      </c>
      <c r="S6" s="87" t="s">
        <v>35</v>
      </c>
      <c r="T6" s="87" t="s">
        <v>35</v>
      </c>
      <c r="U6" s="87" t="s">
        <v>35</v>
      </c>
      <c r="V6" s="87" t="s">
        <v>35</v>
      </c>
      <c r="W6" s="87" t="s">
        <v>35</v>
      </c>
      <c r="X6" s="87" t="s">
        <v>35</v>
      </c>
    </row>
    <row r="7" spans="1:24" x14ac:dyDescent="0.45">
      <c r="A7" s="86" t="s">
        <v>36</v>
      </c>
      <c r="B7" s="86" t="s">
        <v>37</v>
      </c>
      <c r="C7" s="86" t="s">
        <v>38</v>
      </c>
      <c r="D7" s="86" t="s">
        <v>39</v>
      </c>
      <c r="E7" s="86" t="s">
        <v>34</v>
      </c>
      <c r="F7" s="88" t="s">
        <v>40</v>
      </c>
      <c r="G7" s="88" t="s">
        <v>40</v>
      </c>
      <c r="H7" s="88" t="s">
        <v>40</v>
      </c>
      <c r="I7" s="88" t="s">
        <v>40</v>
      </c>
      <c r="J7" s="88" t="s">
        <v>40</v>
      </c>
      <c r="K7" s="88" t="s">
        <v>40</v>
      </c>
      <c r="L7" s="88" t="s">
        <v>40</v>
      </c>
      <c r="M7" s="88" t="s">
        <v>40</v>
      </c>
      <c r="N7" s="89">
        <v>134.99390587025869</v>
      </c>
      <c r="O7" s="89">
        <v>139.03659133118819</v>
      </c>
      <c r="P7" s="89">
        <v>138.72994372307599</v>
      </c>
      <c r="Q7" s="89">
        <v>138.40088832477699</v>
      </c>
      <c r="R7" s="89">
        <v>131.947990588941</v>
      </c>
      <c r="S7" s="89">
        <v>128.49253279665911</v>
      </c>
      <c r="T7" s="89">
        <v>125.7659953963841</v>
      </c>
      <c r="U7" s="89">
        <v>124.18519231108959</v>
      </c>
      <c r="V7" s="89">
        <v>122.78208399691469</v>
      </c>
      <c r="W7" s="89">
        <v>121.4103958921781</v>
      </c>
      <c r="X7" s="89">
        <v>120.0061206770318</v>
      </c>
    </row>
    <row r="8" spans="1:24" x14ac:dyDescent="0.45">
      <c r="A8" s="86" t="s">
        <v>36</v>
      </c>
      <c r="B8" s="86" t="s">
        <v>41</v>
      </c>
      <c r="C8" s="86" t="s">
        <v>42</v>
      </c>
      <c r="D8" s="86" t="s">
        <v>39</v>
      </c>
      <c r="E8" s="86" t="s">
        <v>34</v>
      </c>
      <c r="F8" s="88" t="s">
        <v>40</v>
      </c>
      <c r="G8" s="88" t="s">
        <v>40</v>
      </c>
      <c r="H8" s="88" t="s">
        <v>40</v>
      </c>
      <c r="I8" s="88" t="s">
        <v>40</v>
      </c>
      <c r="J8" s="88" t="s">
        <v>40</v>
      </c>
      <c r="K8" s="88" t="s">
        <v>40</v>
      </c>
      <c r="L8" s="88" t="s">
        <v>40</v>
      </c>
      <c r="M8" s="88" t="s">
        <v>40</v>
      </c>
      <c r="N8" s="88" t="s">
        <v>40</v>
      </c>
      <c r="O8" s="88" t="s">
        <v>40</v>
      </c>
      <c r="P8" s="88" t="s">
        <v>40</v>
      </c>
      <c r="Q8" s="88" t="s">
        <v>40</v>
      </c>
      <c r="R8" s="88" t="s">
        <v>40</v>
      </c>
      <c r="S8" s="88" t="s">
        <v>40</v>
      </c>
      <c r="T8" s="88" t="s">
        <v>40</v>
      </c>
      <c r="U8" s="88" t="s">
        <v>40</v>
      </c>
      <c r="V8" s="88" t="s">
        <v>40</v>
      </c>
      <c r="W8" s="88" t="s">
        <v>40</v>
      </c>
      <c r="X8" s="88" t="s">
        <v>40</v>
      </c>
    </row>
    <row r="9" spans="1:24" x14ac:dyDescent="0.45">
      <c r="A9" s="86" t="s">
        <v>36</v>
      </c>
      <c r="B9" s="86" t="s">
        <v>43</v>
      </c>
      <c r="C9" s="86" t="s">
        <v>44</v>
      </c>
      <c r="D9" s="86" t="s">
        <v>45</v>
      </c>
      <c r="E9" s="86" t="s">
        <v>34</v>
      </c>
      <c r="F9" s="88" t="s">
        <v>40</v>
      </c>
      <c r="G9" s="88" t="s">
        <v>40</v>
      </c>
      <c r="H9" s="88" t="s">
        <v>40</v>
      </c>
      <c r="I9" s="88" t="s">
        <v>40</v>
      </c>
      <c r="J9" s="88" t="s">
        <v>40</v>
      </c>
      <c r="K9" s="88" t="s">
        <v>40</v>
      </c>
      <c r="L9" s="88" t="s">
        <v>40</v>
      </c>
      <c r="M9" s="88" t="s">
        <v>40</v>
      </c>
      <c r="N9" s="88" t="s">
        <v>40</v>
      </c>
      <c r="O9" s="88" t="s">
        <v>40</v>
      </c>
      <c r="P9" s="88" t="s">
        <v>40</v>
      </c>
      <c r="Q9" s="88" t="s">
        <v>40</v>
      </c>
      <c r="R9" s="88" t="s">
        <v>40</v>
      </c>
      <c r="S9" s="88" t="s">
        <v>40</v>
      </c>
      <c r="T9" s="88" t="s">
        <v>40</v>
      </c>
      <c r="U9" s="88" t="s">
        <v>40</v>
      </c>
      <c r="V9" s="88" t="s">
        <v>40</v>
      </c>
      <c r="W9" s="88" t="s">
        <v>40</v>
      </c>
      <c r="X9" s="88" t="s">
        <v>40</v>
      </c>
    </row>
    <row r="10" spans="1:24" x14ac:dyDescent="0.45">
      <c r="A10" s="86" t="s">
        <v>46</v>
      </c>
      <c r="B10" s="86" t="s">
        <v>37</v>
      </c>
      <c r="C10" s="86" t="s">
        <v>38</v>
      </c>
      <c r="D10" s="86" t="s">
        <v>39</v>
      </c>
      <c r="E10" s="86" t="s">
        <v>34</v>
      </c>
      <c r="F10" s="88" t="s">
        <v>40</v>
      </c>
      <c r="G10" s="88" t="s">
        <v>40</v>
      </c>
      <c r="H10" s="88" t="s">
        <v>40</v>
      </c>
      <c r="I10" s="88" t="s">
        <v>40</v>
      </c>
      <c r="J10" s="88" t="s">
        <v>40</v>
      </c>
      <c r="K10" s="88" t="s">
        <v>40</v>
      </c>
      <c r="L10" s="88" t="s">
        <v>40</v>
      </c>
      <c r="M10" s="88" t="s">
        <v>40</v>
      </c>
      <c r="N10" s="89">
        <v>145.70440654750919</v>
      </c>
      <c r="O10" s="89">
        <v>151.45371379689391</v>
      </c>
      <c r="P10" s="89">
        <v>153.85332306630539</v>
      </c>
      <c r="Q10" s="89">
        <v>154.7990234225025</v>
      </c>
      <c r="R10" s="89">
        <v>150.6851666194087</v>
      </c>
      <c r="S10" s="89">
        <v>146.91938376938489</v>
      </c>
      <c r="T10" s="89">
        <v>144.596778917005</v>
      </c>
      <c r="U10" s="89">
        <v>141.62182757534109</v>
      </c>
      <c r="V10" s="89">
        <v>139.65933604864671</v>
      </c>
      <c r="W10" s="89">
        <v>137.6048068820453</v>
      </c>
      <c r="X10" s="89">
        <v>135.60175338466169</v>
      </c>
    </row>
    <row r="11" spans="1:24" x14ac:dyDescent="0.45">
      <c r="A11" s="86" t="s">
        <v>46</v>
      </c>
      <c r="B11" s="86" t="s">
        <v>41</v>
      </c>
      <c r="C11" s="86" t="s">
        <v>42</v>
      </c>
      <c r="D11" s="86" t="s">
        <v>39</v>
      </c>
      <c r="E11" s="86" t="s">
        <v>34</v>
      </c>
      <c r="F11" s="88" t="s">
        <v>40</v>
      </c>
      <c r="G11" s="88" t="s">
        <v>40</v>
      </c>
      <c r="H11" s="88" t="s">
        <v>40</v>
      </c>
      <c r="I11" s="88" t="s">
        <v>40</v>
      </c>
      <c r="J11" s="88" t="s">
        <v>40</v>
      </c>
      <c r="K11" s="88" t="s">
        <v>40</v>
      </c>
      <c r="L11" s="88" t="s">
        <v>40</v>
      </c>
      <c r="M11" s="88" t="s">
        <v>40</v>
      </c>
      <c r="N11" s="88" t="s">
        <v>40</v>
      </c>
      <c r="O11" s="88" t="s">
        <v>40</v>
      </c>
      <c r="P11" s="88" t="s">
        <v>40</v>
      </c>
      <c r="Q11" s="88" t="s">
        <v>40</v>
      </c>
      <c r="R11" s="88" t="s">
        <v>40</v>
      </c>
      <c r="S11" s="88" t="s">
        <v>40</v>
      </c>
      <c r="T11" s="88" t="s">
        <v>40</v>
      </c>
      <c r="U11" s="88" t="s">
        <v>40</v>
      </c>
      <c r="V11" s="88" t="s">
        <v>40</v>
      </c>
      <c r="W11" s="88" t="s">
        <v>40</v>
      </c>
      <c r="X11" s="88" t="s">
        <v>40</v>
      </c>
    </row>
    <row r="12" spans="1:24" x14ac:dyDescent="0.45">
      <c r="A12" s="86" t="s">
        <v>46</v>
      </c>
      <c r="B12" s="86" t="s">
        <v>43</v>
      </c>
      <c r="C12" s="86" t="s">
        <v>44</v>
      </c>
      <c r="D12" s="86" t="s">
        <v>45</v>
      </c>
      <c r="E12" s="86" t="s">
        <v>34</v>
      </c>
      <c r="F12" s="88" t="s">
        <v>40</v>
      </c>
      <c r="G12" s="88" t="s">
        <v>40</v>
      </c>
      <c r="H12" s="88" t="s">
        <v>40</v>
      </c>
      <c r="I12" s="88" t="s">
        <v>40</v>
      </c>
      <c r="J12" s="88" t="s">
        <v>40</v>
      </c>
      <c r="K12" s="88" t="s">
        <v>40</v>
      </c>
      <c r="L12" s="88" t="s">
        <v>40</v>
      </c>
      <c r="M12" s="88" t="s">
        <v>40</v>
      </c>
      <c r="N12" s="88" t="s">
        <v>40</v>
      </c>
      <c r="O12" s="88" t="s">
        <v>40</v>
      </c>
      <c r="P12" s="88" t="s">
        <v>40</v>
      </c>
      <c r="Q12" s="88" t="s">
        <v>40</v>
      </c>
      <c r="R12" s="88" t="s">
        <v>40</v>
      </c>
      <c r="S12" s="88" t="s">
        <v>40</v>
      </c>
      <c r="T12" s="88" t="s">
        <v>40</v>
      </c>
      <c r="U12" s="88" t="s">
        <v>40</v>
      </c>
      <c r="V12" s="88" t="s">
        <v>40</v>
      </c>
      <c r="W12" s="88" t="s">
        <v>40</v>
      </c>
      <c r="X12" s="88" t="s">
        <v>40</v>
      </c>
    </row>
    <row r="13" spans="1:24" x14ac:dyDescent="0.45">
      <c r="A13" s="86" t="s">
        <v>47</v>
      </c>
      <c r="B13" s="86" t="s">
        <v>37</v>
      </c>
      <c r="C13" s="86" t="s">
        <v>38</v>
      </c>
      <c r="D13" s="86" t="s">
        <v>39</v>
      </c>
      <c r="E13" s="86" t="s">
        <v>34</v>
      </c>
      <c r="F13" s="88" t="s">
        <v>40</v>
      </c>
      <c r="G13" s="88" t="s">
        <v>40</v>
      </c>
      <c r="H13" s="88" t="s">
        <v>40</v>
      </c>
      <c r="I13" s="88" t="s">
        <v>40</v>
      </c>
      <c r="J13" s="88" t="s">
        <v>40</v>
      </c>
      <c r="K13" s="88" t="s">
        <v>40</v>
      </c>
      <c r="L13" s="88" t="s">
        <v>40</v>
      </c>
      <c r="M13" s="88" t="s">
        <v>40</v>
      </c>
      <c r="N13" s="89">
        <v>128.94098993391259</v>
      </c>
      <c r="O13" s="89">
        <v>131.379775224658</v>
      </c>
      <c r="P13" s="89">
        <v>133.6536725840005</v>
      </c>
      <c r="Q13" s="89">
        <v>135.07889163186209</v>
      </c>
      <c r="R13" s="89">
        <v>130.59066086119751</v>
      </c>
      <c r="S13" s="89">
        <v>123.4926635942705</v>
      </c>
      <c r="T13" s="89">
        <v>118.0287261893624</v>
      </c>
      <c r="U13" s="89">
        <v>116.4867388350485</v>
      </c>
      <c r="V13" s="89">
        <v>115.90575816654869</v>
      </c>
      <c r="W13" s="89">
        <v>115.3017264814838</v>
      </c>
      <c r="X13" s="89">
        <v>114.7046543064309</v>
      </c>
    </row>
    <row r="14" spans="1:24" x14ac:dyDescent="0.45">
      <c r="A14" s="86" t="s">
        <v>47</v>
      </c>
      <c r="B14" s="86" t="s">
        <v>41</v>
      </c>
      <c r="C14" s="86" t="s">
        <v>42</v>
      </c>
      <c r="D14" s="86" t="s">
        <v>39</v>
      </c>
      <c r="E14" s="86" t="s">
        <v>34</v>
      </c>
      <c r="F14" s="88" t="s">
        <v>40</v>
      </c>
      <c r="G14" s="88" t="s">
        <v>40</v>
      </c>
      <c r="H14" s="88" t="s">
        <v>40</v>
      </c>
      <c r="I14" s="88" t="s">
        <v>40</v>
      </c>
      <c r="J14" s="88" t="s">
        <v>40</v>
      </c>
      <c r="K14" s="88" t="s">
        <v>40</v>
      </c>
      <c r="L14" s="88" t="s">
        <v>40</v>
      </c>
      <c r="M14" s="88" t="s">
        <v>40</v>
      </c>
      <c r="N14" s="88" t="s">
        <v>40</v>
      </c>
      <c r="O14" s="88" t="s">
        <v>40</v>
      </c>
      <c r="P14" s="88" t="s">
        <v>40</v>
      </c>
      <c r="Q14" s="88" t="s">
        <v>40</v>
      </c>
      <c r="R14" s="88" t="s">
        <v>40</v>
      </c>
      <c r="S14" s="88" t="s">
        <v>40</v>
      </c>
      <c r="T14" s="88" t="s">
        <v>40</v>
      </c>
      <c r="U14" s="88" t="s">
        <v>40</v>
      </c>
      <c r="V14" s="88" t="s">
        <v>40</v>
      </c>
      <c r="W14" s="88" t="s">
        <v>40</v>
      </c>
      <c r="X14" s="88" t="s">
        <v>40</v>
      </c>
    </row>
    <row r="15" spans="1:24" x14ac:dyDescent="0.45">
      <c r="A15" s="86" t="s">
        <v>47</v>
      </c>
      <c r="B15" s="86" t="s">
        <v>43</v>
      </c>
      <c r="C15" s="86" t="s">
        <v>44</v>
      </c>
      <c r="D15" s="86" t="s">
        <v>45</v>
      </c>
      <c r="E15" s="86" t="s">
        <v>34</v>
      </c>
      <c r="F15" s="88" t="s">
        <v>40</v>
      </c>
      <c r="G15" s="88" t="s">
        <v>40</v>
      </c>
      <c r="H15" s="88" t="s">
        <v>40</v>
      </c>
      <c r="I15" s="88" t="s">
        <v>40</v>
      </c>
      <c r="J15" s="88" t="s">
        <v>40</v>
      </c>
      <c r="K15" s="88" t="s">
        <v>40</v>
      </c>
      <c r="L15" s="88" t="s">
        <v>40</v>
      </c>
      <c r="M15" s="88" t="s">
        <v>40</v>
      </c>
      <c r="N15" s="88" t="s">
        <v>40</v>
      </c>
      <c r="O15" s="88" t="s">
        <v>40</v>
      </c>
      <c r="P15" s="88" t="s">
        <v>40</v>
      </c>
      <c r="Q15" s="88" t="s">
        <v>40</v>
      </c>
      <c r="R15" s="88" t="s">
        <v>40</v>
      </c>
      <c r="S15" s="88" t="s">
        <v>40</v>
      </c>
      <c r="T15" s="88" t="s">
        <v>40</v>
      </c>
      <c r="U15" s="88" t="s">
        <v>40</v>
      </c>
      <c r="V15" s="88" t="s">
        <v>40</v>
      </c>
      <c r="W15" s="88" t="s">
        <v>40</v>
      </c>
      <c r="X15" s="88" t="s">
        <v>40</v>
      </c>
    </row>
    <row r="16" spans="1:24" x14ac:dyDescent="0.45">
      <c r="A16" s="86" t="s">
        <v>48</v>
      </c>
      <c r="B16" s="86" t="s">
        <v>37</v>
      </c>
      <c r="C16" s="86" t="s">
        <v>38</v>
      </c>
      <c r="D16" s="86" t="s">
        <v>39</v>
      </c>
      <c r="E16" s="86" t="s">
        <v>34</v>
      </c>
      <c r="F16" s="88" t="s">
        <v>40</v>
      </c>
      <c r="G16" s="88" t="s">
        <v>40</v>
      </c>
      <c r="H16" s="88" t="s">
        <v>40</v>
      </c>
      <c r="I16" s="88" t="s">
        <v>40</v>
      </c>
      <c r="J16" s="88" t="s">
        <v>40</v>
      </c>
      <c r="K16" s="88" t="s">
        <v>40</v>
      </c>
      <c r="L16" s="88" t="s">
        <v>40</v>
      </c>
      <c r="M16" s="88" t="s">
        <v>40</v>
      </c>
      <c r="N16" s="89">
        <v>150.65616974618641</v>
      </c>
      <c r="O16" s="89">
        <v>156.2989600039657</v>
      </c>
      <c r="P16" s="89">
        <v>157.7171412984892</v>
      </c>
      <c r="Q16" s="89">
        <v>159.10007510952079</v>
      </c>
      <c r="R16" s="89">
        <v>154.7120945772464</v>
      </c>
      <c r="S16" s="89">
        <v>151.62716557792541</v>
      </c>
      <c r="T16" s="89">
        <v>148.61102016945179</v>
      </c>
      <c r="U16" s="89">
        <v>144.7717670368655</v>
      </c>
      <c r="V16" s="89">
        <v>141.38115137214231</v>
      </c>
      <c r="W16" s="89">
        <v>138.46431976250651</v>
      </c>
      <c r="X16" s="89">
        <v>136.02718953220969</v>
      </c>
    </row>
    <row r="17" spans="1:24" x14ac:dyDescent="0.45">
      <c r="A17" s="86" t="s">
        <v>48</v>
      </c>
      <c r="B17" s="86" t="s">
        <v>41</v>
      </c>
      <c r="C17" s="86" t="s">
        <v>42</v>
      </c>
      <c r="D17" s="86" t="s">
        <v>39</v>
      </c>
      <c r="E17" s="86" t="s">
        <v>34</v>
      </c>
      <c r="F17" s="88" t="s">
        <v>40</v>
      </c>
      <c r="G17" s="88" t="s">
        <v>40</v>
      </c>
      <c r="H17" s="88" t="s">
        <v>40</v>
      </c>
      <c r="I17" s="88" t="s">
        <v>40</v>
      </c>
      <c r="J17" s="88" t="s">
        <v>40</v>
      </c>
      <c r="K17" s="88" t="s">
        <v>40</v>
      </c>
      <c r="L17" s="88" t="s">
        <v>40</v>
      </c>
      <c r="M17" s="88" t="s">
        <v>40</v>
      </c>
      <c r="N17" s="89">
        <v>145.9475528734543</v>
      </c>
      <c r="O17" s="89">
        <v>152.26499754166099</v>
      </c>
      <c r="P17" s="89">
        <v>155.2811726516158</v>
      </c>
      <c r="Q17" s="89">
        <v>157.89836784371749</v>
      </c>
      <c r="R17" s="89">
        <v>154.40186264115709</v>
      </c>
      <c r="S17" s="89">
        <v>151.32944458323311</v>
      </c>
      <c r="T17" s="89">
        <v>148.52184063925921</v>
      </c>
      <c r="U17" s="89">
        <v>144.77690385269389</v>
      </c>
      <c r="V17" s="89">
        <v>141.34112960822111</v>
      </c>
      <c r="W17" s="89">
        <v>138.4209335707929</v>
      </c>
      <c r="X17" s="89">
        <v>136.18592062725051</v>
      </c>
    </row>
    <row r="18" spans="1:24" x14ac:dyDescent="0.45">
      <c r="A18" s="86" t="s">
        <v>48</v>
      </c>
      <c r="B18" s="86" t="s">
        <v>43</v>
      </c>
      <c r="C18" s="86" t="s">
        <v>44</v>
      </c>
      <c r="D18" s="86" t="s">
        <v>45</v>
      </c>
      <c r="E18" s="86" t="s">
        <v>34</v>
      </c>
      <c r="F18" s="88" t="s">
        <v>40</v>
      </c>
      <c r="G18" s="88" t="s">
        <v>40</v>
      </c>
      <c r="H18" s="88" t="s">
        <v>40</v>
      </c>
      <c r="I18" s="88" t="s">
        <v>40</v>
      </c>
      <c r="J18" s="88" t="s">
        <v>40</v>
      </c>
      <c r="K18" s="88" t="s">
        <v>40</v>
      </c>
      <c r="L18" s="88" t="s">
        <v>40</v>
      </c>
      <c r="M18" s="88" t="s">
        <v>40</v>
      </c>
      <c r="N18" s="89">
        <v>156.8240933940771</v>
      </c>
      <c r="O18" s="89">
        <v>161.572438942611</v>
      </c>
      <c r="P18" s="89">
        <v>160.90771502175591</v>
      </c>
      <c r="Q18" s="89">
        <v>160.69273081957789</v>
      </c>
      <c r="R18" s="89">
        <v>155.13371669948111</v>
      </c>
      <c r="S18" s="89">
        <v>152.0181269053619</v>
      </c>
      <c r="T18" s="89">
        <v>148.73045097873131</v>
      </c>
      <c r="U18" s="89">
        <v>144.76651808756191</v>
      </c>
      <c r="V18" s="89">
        <v>141.4326490518728</v>
      </c>
      <c r="W18" s="89">
        <v>138.52037004206301</v>
      </c>
      <c r="X18" s="89">
        <v>135.8249834574485</v>
      </c>
    </row>
    <row r="19" spans="1:24" x14ac:dyDescent="0.45">
      <c r="A19" s="86" t="s">
        <v>49</v>
      </c>
      <c r="B19" s="86" t="s">
        <v>37</v>
      </c>
      <c r="C19" s="86" t="s">
        <v>38</v>
      </c>
      <c r="D19" s="86" t="s">
        <v>39</v>
      </c>
      <c r="E19" s="86" t="s">
        <v>34</v>
      </c>
      <c r="F19" s="88" t="s">
        <v>40</v>
      </c>
      <c r="G19" s="88" t="s">
        <v>40</v>
      </c>
      <c r="H19" s="88" t="s">
        <v>40</v>
      </c>
      <c r="I19" s="88" t="s">
        <v>40</v>
      </c>
      <c r="J19" s="88" t="s">
        <v>40</v>
      </c>
      <c r="K19" s="88" t="s">
        <v>40</v>
      </c>
      <c r="L19" s="88" t="s">
        <v>40</v>
      </c>
      <c r="M19" s="88" t="s">
        <v>40</v>
      </c>
      <c r="N19" s="89">
        <v>133.69999999999999</v>
      </c>
      <c r="O19" s="89">
        <v>137.13333333333341</v>
      </c>
      <c r="P19" s="89">
        <v>138.4</v>
      </c>
      <c r="Q19" s="89">
        <v>137.53195546546641</v>
      </c>
      <c r="R19" s="89">
        <v>131.25653047625369</v>
      </c>
      <c r="S19" s="89">
        <v>127.98986380958701</v>
      </c>
      <c r="T19" s="89">
        <v>127.0362839734709</v>
      </c>
      <c r="U19" s="89">
        <v>126.5274062794613</v>
      </c>
      <c r="V19" s="89">
        <v>125.00121493643459</v>
      </c>
      <c r="W19" s="89">
        <v>123.3158510066626</v>
      </c>
      <c r="X19" s="89">
        <v>122.2594907135627</v>
      </c>
    </row>
    <row r="20" spans="1:24" x14ac:dyDescent="0.45">
      <c r="A20" s="86" t="s">
        <v>49</v>
      </c>
      <c r="B20" s="86" t="s">
        <v>41</v>
      </c>
      <c r="C20" s="86" t="s">
        <v>42</v>
      </c>
      <c r="D20" s="86" t="s">
        <v>39</v>
      </c>
      <c r="E20" s="86" t="s">
        <v>34</v>
      </c>
      <c r="F20" s="88" t="s">
        <v>40</v>
      </c>
      <c r="G20" s="88" t="s">
        <v>40</v>
      </c>
      <c r="H20" s="88" t="s">
        <v>40</v>
      </c>
      <c r="I20" s="88" t="s">
        <v>40</v>
      </c>
      <c r="J20" s="88" t="s">
        <v>40</v>
      </c>
      <c r="K20" s="88" t="s">
        <v>40</v>
      </c>
      <c r="L20" s="88" t="s">
        <v>40</v>
      </c>
      <c r="M20" s="88" t="s">
        <v>40</v>
      </c>
      <c r="N20" s="88" t="s">
        <v>40</v>
      </c>
      <c r="O20" s="88" t="s">
        <v>40</v>
      </c>
      <c r="P20" s="88" t="s">
        <v>40</v>
      </c>
      <c r="Q20" s="88" t="s">
        <v>40</v>
      </c>
      <c r="R20" s="88" t="s">
        <v>40</v>
      </c>
      <c r="S20" s="88" t="s">
        <v>40</v>
      </c>
      <c r="T20" s="88" t="s">
        <v>40</v>
      </c>
      <c r="U20" s="88" t="s">
        <v>40</v>
      </c>
      <c r="V20" s="88" t="s">
        <v>40</v>
      </c>
      <c r="W20" s="88" t="s">
        <v>40</v>
      </c>
      <c r="X20" s="88" t="s">
        <v>40</v>
      </c>
    </row>
    <row r="21" spans="1:24" x14ac:dyDescent="0.45">
      <c r="A21" s="86" t="s">
        <v>49</v>
      </c>
      <c r="B21" s="86" t="s">
        <v>43</v>
      </c>
      <c r="C21" s="86" t="s">
        <v>44</v>
      </c>
      <c r="D21" s="86" t="s">
        <v>45</v>
      </c>
      <c r="E21" s="86" t="s">
        <v>34</v>
      </c>
      <c r="F21" s="88" t="s">
        <v>40</v>
      </c>
      <c r="G21" s="88" t="s">
        <v>40</v>
      </c>
      <c r="H21" s="88" t="s">
        <v>40</v>
      </c>
      <c r="I21" s="88" t="s">
        <v>40</v>
      </c>
      <c r="J21" s="88" t="s">
        <v>40</v>
      </c>
      <c r="K21" s="88" t="s">
        <v>40</v>
      </c>
      <c r="L21" s="88" t="s">
        <v>40</v>
      </c>
      <c r="M21" s="88" t="s">
        <v>40</v>
      </c>
      <c r="N21" s="88" t="s">
        <v>40</v>
      </c>
      <c r="O21" s="88" t="s">
        <v>40</v>
      </c>
      <c r="P21" s="88" t="s">
        <v>40</v>
      </c>
      <c r="Q21" s="88" t="s">
        <v>40</v>
      </c>
      <c r="R21" s="88" t="s">
        <v>40</v>
      </c>
      <c r="S21" s="88" t="s">
        <v>40</v>
      </c>
      <c r="T21" s="88" t="s">
        <v>40</v>
      </c>
      <c r="U21" s="88" t="s">
        <v>40</v>
      </c>
      <c r="V21" s="88" t="s">
        <v>40</v>
      </c>
      <c r="W21" s="88" t="s">
        <v>40</v>
      </c>
      <c r="X21" s="88" t="s">
        <v>40</v>
      </c>
    </row>
    <row r="22" spans="1:24" x14ac:dyDescent="0.45">
      <c r="A22" s="86" t="s">
        <v>50</v>
      </c>
      <c r="B22" s="86" t="s">
        <v>37</v>
      </c>
      <c r="C22" s="86" t="s">
        <v>38</v>
      </c>
      <c r="D22" s="86" t="s">
        <v>39</v>
      </c>
      <c r="E22" s="86" t="s">
        <v>34</v>
      </c>
      <c r="F22" s="88" t="s">
        <v>40</v>
      </c>
      <c r="G22" s="88" t="s">
        <v>40</v>
      </c>
      <c r="H22" s="88" t="s">
        <v>40</v>
      </c>
      <c r="I22" s="88" t="s">
        <v>40</v>
      </c>
      <c r="J22" s="88" t="s">
        <v>40</v>
      </c>
      <c r="K22" s="88" t="s">
        <v>40</v>
      </c>
      <c r="L22" s="88" t="s">
        <v>40</v>
      </c>
      <c r="M22" s="88" t="s">
        <v>40</v>
      </c>
      <c r="N22" s="89">
        <v>146.01339378702161</v>
      </c>
      <c r="O22" s="89">
        <v>144.91414120469369</v>
      </c>
      <c r="P22" s="89">
        <v>142.08015103660441</v>
      </c>
      <c r="Q22" s="89">
        <v>144.936321285498</v>
      </c>
      <c r="R22" s="89">
        <v>147.7929715049807</v>
      </c>
      <c r="S22" s="89">
        <v>148.96409614991151</v>
      </c>
      <c r="T22" s="89">
        <v>143.54027895424511</v>
      </c>
      <c r="U22" s="89">
        <v>139.57828641549659</v>
      </c>
      <c r="V22" s="89">
        <v>134.75470930590251</v>
      </c>
      <c r="W22" s="89">
        <v>132.92231470940351</v>
      </c>
      <c r="X22" s="89">
        <v>130.78332850363461</v>
      </c>
    </row>
    <row r="23" spans="1:24" x14ac:dyDescent="0.45">
      <c r="A23" s="86" t="s">
        <v>50</v>
      </c>
      <c r="B23" s="86" t="s">
        <v>41</v>
      </c>
      <c r="C23" s="86" t="s">
        <v>42</v>
      </c>
      <c r="D23" s="86" t="s">
        <v>39</v>
      </c>
      <c r="E23" s="86" t="s">
        <v>34</v>
      </c>
      <c r="F23" s="88" t="s">
        <v>40</v>
      </c>
      <c r="G23" s="88" t="s">
        <v>40</v>
      </c>
      <c r="H23" s="88" t="s">
        <v>40</v>
      </c>
      <c r="I23" s="88" t="s">
        <v>40</v>
      </c>
      <c r="J23" s="88" t="s">
        <v>40</v>
      </c>
      <c r="K23" s="88" t="s">
        <v>40</v>
      </c>
      <c r="L23" s="88" t="s">
        <v>40</v>
      </c>
      <c r="M23" s="88" t="s">
        <v>40</v>
      </c>
      <c r="N23" s="88" t="s">
        <v>40</v>
      </c>
      <c r="O23" s="88" t="s">
        <v>40</v>
      </c>
      <c r="P23" s="88" t="s">
        <v>40</v>
      </c>
      <c r="Q23" s="88" t="s">
        <v>40</v>
      </c>
      <c r="R23" s="88" t="s">
        <v>40</v>
      </c>
      <c r="S23" s="88" t="s">
        <v>40</v>
      </c>
      <c r="T23" s="88" t="s">
        <v>40</v>
      </c>
      <c r="U23" s="88" t="s">
        <v>40</v>
      </c>
      <c r="V23" s="88" t="s">
        <v>40</v>
      </c>
      <c r="W23" s="88" t="s">
        <v>40</v>
      </c>
      <c r="X23" s="88" t="s">
        <v>40</v>
      </c>
    </row>
    <row r="24" spans="1:24" x14ac:dyDescent="0.45">
      <c r="A24" s="86" t="s">
        <v>50</v>
      </c>
      <c r="B24" s="86" t="s">
        <v>43</v>
      </c>
      <c r="C24" s="86" t="s">
        <v>44</v>
      </c>
      <c r="D24" s="86" t="s">
        <v>45</v>
      </c>
      <c r="E24" s="86" t="s">
        <v>34</v>
      </c>
      <c r="F24" s="88" t="s">
        <v>40</v>
      </c>
      <c r="G24" s="88" t="s">
        <v>40</v>
      </c>
      <c r="H24" s="88" t="s">
        <v>40</v>
      </c>
      <c r="I24" s="88" t="s">
        <v>40</v>
      </c>
      <c r="J24" s="88" t="s">
        <v>40</v>
      </c>
      <c r="K24" s="88" t="s">
        <v>40</v>
      </c>
      <c r="L24" s="88" t="s">
        <v>40</v>
      </c>
      <c r="M24" s="88" t="s">
        <v>40</v>
      </c>
      <c r="N24" s="88" t="s">
        <v>40</v>
      </c>
      <c r="O24" s="88" t="s">
        <v>40</v>
      </c>
      <c r="P24" s="88" t="s">
        <v>40</v>
      </c>
      <c r="Q24" s="88" t="s">
        <v>40</v>
      </c>
      <c r="R24" s="88" t="s">
        <v>40</v>
      </c>
      <c r="S24" s="88" t="s">
        <v>40</v>
      </c>
      <c r="T24" s="88" t="s">
        <v>40</v>
      </c>
      <c r="U24" s="88" t="s">
        <v>40</v>
      </c>
      <c r="V24" s="88" t="s">
        <v>40</v>
      </c>
      <c r="W24" s="88" t="s">
        <v>40</v>
      </c>
      <c r="X24" s="88" t="s">
        <v>40</v>
      </c>
    </row>
    <row r="25" spans="1:24" x14ac:dyDescent="0.45">
      <c r="A25" s="86" t="s">
        <v>51</v>
      </c>
      <c r="B25" s="86" t="s">
        <v>37</v>
      </c>
      <c r="C25" s="86" t="s">
        <v>38</v>
      </c>
      <c r="D25" s="86" t="s">
        <v>39</v>
      </c>
      <c r="E25" s="86" t="s">
        <v>34</v>
      </c>
      <c r="F25" s="88" t="s">
        <v>40</v>
      </c>
      <c r="G25" s="88" t="s">
        <v>40</v>
      </c>
      <c r="H25" s="88" t="s">
        <v>40</v>
      </c>
      <c r="I25" s="88" t="s">
        <v>40</v>
      </c>
      <c r="J25" s="88" t="s">
        <v>40</v>
      </c>
      <c r="K25" s="88" t="s">
        <v>40</v>
      </c>
      <c r="L25" s="88" t="s">
        <v>40</v>
      </c>
      <c r="M25" s="88" t="s">
        <v>40</v>
      </c>
      <c r="N25" s="89">
        <v>127.9631162358079</v>
      </c>
      <c r="O25" s="89">
        <v>131.7457647018056</v>
      </c>
      <c r="P25" s="89">
        <v>132.77548172827159</v>
      </c>
      <c r="Q25" s="89">
        <v>133.42671993334321</v>
      </c>
      <c r="R25" s="89">
        <v>130.32223917674881</v>
      </c>
      <c r="S25" s="89">
        <v>128.02381146354719</v>
      </c>
      <c r="T25" s="89">
        <v>126.269206777675</v>
      </c>
      <c r="U25" s="89">
        <v>124.6167895488998</v>
      </c>
      <c r="V25" s="89">
        <v>123.27735129521901</v>
      </c>
      <c r="W25" s="89">
        <v>121.7775058135868</v>
      </c>
      <c r="X25" s="89">
        <v>120.228367159451</v>
      </c>
    </row>
    <row r="26" spans="1:24" x14ac:dyDescent="0.45">
      <c r="A26" s="86" t="s">
        <v>51</v>
      </c>
      <c r="B26" s="86" t="s">
        <v>41</v>
      </c>
      <c r="C26" s="86" t="s">
        <v>42</v>
      </c>
      <c r="D26" s="86" t="s">
        <v>39</v>
      </c>
      <c r="E26" s="86" t="s">
        <v>34</v>
      </c>
      <c r="F26" s="88" t="s">
        <v>40</v>
      </c>
      <c r="G26" s="88" t="s">
        <v>40</v>
      </c>
      <c r="H26" s="88" t="s">
        <v>40</v>
      </c>
      <c r="I26" s="88" t="s">
        <v>40</v>
      </c>
      <c r="J26" s="88" t="s">
        <v>40</v>
      </c>
      <c r="K26" s="88" t="s">
        <v>40</v>
      </c>
      <c r="L26" s="88" t="s">
        <v>40</v>
      </c>
      <c r="M26" s="88" t="s">
        <v>40</v>
      </c>
      <c r="N26" s="88" t="s">
        <v>40</v>
      </c>
      <c r="O26" s="88" t="s">
        <v>40</v>
      </c>
      <c r="P26" s="88" t="s">
        <v>40</v>
      </c>
      <c r="Q26" s="88" t="s">
        <v>40</v>
      </c>
      <c r="R26" s="88" t="s">
        <v>40</v>
      </c>
      <c r="S26" s="88" t="s">
        <v>40</v>
      </c>
      <c r="T26" s="88" t="s">
        <v>40</v>
      </c>
      <c r="U26" s="88" t="s">
        <v>40</v>
      </c>
      <c r="V26" s="88" t="s">
        <v>40</v>
      </c>
      <c r="W26" s="88" t="s">
        <v>40</v>
      </c>
      <c r="X26" s="88" t="s">
        <v>40</v>
      </c>
    </row>
    <row r="27" spans="1:24" x14ac:dyDescent="0.45">
      <c r="A27" s="86" t="s">
        <v>51</v>
      </c>
      <c r="B27" s="86" t="s">
        <v>43</v>
      </c>
      <c r="C27" s="86" t="s">
        <v>44</v>
      </c>
      <c r="D27" s="86" t="s">
        <v>45</v>
      </c>
      <c r="E27" s="86" t="s">
        <v>34</v>
      </c>
      <c r="F27" s="88" t="s">
        <v>40</v>
      </c>
      <c r="G27" s="88" t="s">
        <v>40</v>
      </c>
      <c r="H27" s="88" t="s">
        <v>40</v>
      </c>
      <c r="I27" s="88" t="s">
        <v>40</v>
      </c>
      <c r="J27" s="88" t="s">
        <v>40</v>
      </c>
      <c r="K27" s="88" t="s">
        <v>40</v>
      </c>
      <c r="L27" s="88" t="s">
        <v>40</v>
      </c>
      <c r="M27" s="88" t="s">
        <v>40</v>
      </c>
      <c r="N27" s="88" t="s">
        <v>40</v>
      </c>
      <c r="O27" s="88" t="s">
        <v>40</v>
      </c>
      <c r="P27" s="88" t="s">
        <v>40</v>
      </c>
      <c r="Q27" s="88" t="s">
        <v>40</v>
      </c>
      <c r="R27" s="88" t="s">
        <v>40</v>
      </c>
      <c r="S27" s="88" t="s">
        <v>40</v>
      </c>
      <c r="T27" s="88" t="s">
        <v>40</v>
      </c>
      <c r="U27" s="88" t="s">
        <v>40</v>
      </c>
      <c r="V27" s="88" t="s">
        <v>40</v>
      </c>
      <c r="W27" s="88" t="s">
        <v>40</v>
      </c>
      <c r="X27" s="88" t="s">
        <v>40</v>
      </c>
    </row>
    <row r="28" spans="1:24" x14ac:dyDescent="0.45">
      <c r="A28" s="86" t="s">
        <v>52</v>
      </c>
      <c r="B28" s="86" t="s">
        <v>37</v>
      </c>
      <c r="C28" s="86" t="s">
        <v>38</v>
      </c>
      <c r="D28" s="86" t="s">
        <v>39</v>
      </c>
      <c r="E28" s="86" t="s">
        <v>34</v>
      </c>
      <c r="F28" s="88" t="s">
        <v>40</v>
      </c>
      <c r="G28" s="88" t="s">
        <v>40</v>
      </c>
      <c r="H28" s="88" t="s">
        <v>40</v>
      </c>
      <c r="I28" s="88" t="s">
        <v>40</v>
      </c>
      <c r="J28" s="88" t="s">
        <v>40</v>
      </c>
      <c r="K28" s="88" t="s">
        <v>40</v>
      </c>
      <c r="L28" s="88" t="s">
        <v>40</v>
      </c>
      <c r="M28" s="88" t="s">
        <v>40</v>
      </c>
      <c r="N28" s="89">
        <v>145.22165489487699</v>
      </c>
      <c r="O28" s="89">
        <v>147.55805721942619</v>
      </c>
      <c r="P28" s="89">
        <v>146.71431168046271</v>
      </c>
      <c r="Q28" s="89">
        <v>145.3398957698729</v>
      </c>
      <c r="R28" s="89">
        <v>140.6556373438732</v>
      </c>
      <c r="S28" s="89">
        <v>138.4416167797078</v>
      </c>
      <c r="T28" s="89">
        <v>137.2594728747554</v>
      </c>
      <c r="U28" s="89">
        <v>136.5434090711714</v>
      </c>
      <c r="V28" s="89">
        <v>135.98906524570771</v>
      </c>
      <c r="W28" s="89">
        <v>135.5476711829813</v>
      </c>
      <c r="X28" s="89">
        <v>135.0996682750542</v>
      </c>
    </row>
    <row r="29" spans="1:24" x14ac:dyDescent="0.45">
      <c r="A29" s="86" t="s">
        <v>52</v>
      </c>
      <c r="B29" s="86" t="s">
        <v>41</v>
      </c>
      <c r="C29" s="86" t="s">
        <v>42</v>
      </c>
      <c r="D29" s="86" t="s">
        <v>39</v>
      </c>
      <c r="E29" s="86" t="s">
        <v>34</v>
      </c>
      <c r="F29" s="88" t="s">
        <v>40</v>
      </c>
      <c r="G29" s="88" t="s">
        <v>40</v>
      </c>
      <c r="H29" s="88" t="s">
        <v>40</v>
      </c>
      <c r="I29" s="88" t="s">
        <v>40</v>
      </c>
      <c r="J29" s="88" t="s">
        <v>40</v>
      </c>
      <c r="K29" s="88" t="s">
        <v>40</v>
      </c>
      <c r="L29" s="88" t="s">
        <v>40</v>
      </c>
      <c r="M29" s="88" t="s">
        <v>40</v>
      </c>
      <c r="N29" s="88" t="s">
        <v>40</v>
      </c>
      <c r="O29" s="88" t="s">
        <v>40</v>
      </c>
      <c r="P29" s="88" t="s">
        <v>40</v>
      </c>
      <c r="Q29" s="88" t="s">
        <v>40</v>
      </c>
      <c r="R29" s="88" t="s">
        <v>40</v>
      </c>
      <c r="S29" s="88" t="s">
        <v>40</v>
      </c>
      <c r="T29" s="88" t="s">
        <v>40</v>
      </c>
      <c r="U29" s="88" t="s">
        <v>40</v>
      </c>
      <c r="V29" s="88" t="s">
        <v>40</v>
      </c>
      <c r="W29" s="88" t="s">
        <v>40</v>
      </c>
      <c r="X29" s="88" t="s">
        <v>40</v>
      </c>
    </row>
    <row r="30" spans="1:24" x14ac:dyDescent="0.45">
      <c r="A30" s="86" t="s">
        <v>52</v>
      </c>
      <c r="B30" s="86" t="s">
        <v>43</v>
      </c>
      <c r="C30" s="86" t="s">
        <v>44</v>
      </c>
      <c r="D30" s="86" t="s">
        <v>45</v>
      </c>
      <c r="E30" s="86" t="s">
        <v>34</v>
      </c>
      <c r="F30" s="88" t="s">
        <v>40</v>
      </c>
      <c r="G30" s="88" t="s">
        <v>40</v>
      </c>
      <c r="H30" s="88" t="s">
        <v>40</v>
      </c>
      <c r="I30" s="88" t="s">
        <v>40</v>
      </c>
      <c r="J30" s="88" t="s">
        <v>40</v>
      </c>
      <c r="K30" s="88" t="s">
        <v>40</v>
      </c>
      <c r="L30" s="88" t="s">
        <v>40</v>
      </c>
      <c r="M30" s="88" t="s">
        <v>40</v>
      </c>
      <c r="N30" s="88" t="s">
        <v>40</v>
      </c>
      <c r="O30" s="88" t="s">
        <v>40</v>
      </c>
      <c r="P30" s="88" t="s">
        <v>40</v>
      </c>
      <c r="Q30" s="88" t="s">
        <v>40</v>
      </c>
      <c r="R30" s="88" t="s">
        <v>40</v>
      </c>
      <c r="S30" s="88" t="s">
        <v>40</v>
      </c>
      <c r="T30" s="88" t="s">
        <v>40</v>
      </c>
      <c r="U30" s="88" t="s">
        <v>40</v>
      </c>
      <c r="V30" s="88" t="s">
        <v>40</v>
      </c>
      <c r="W30" s="88" t="s">
        <v>40</v>
      </c>
      <c r="X30" s="88" t="s">
        <v>40</v>
      </c>
    </row>
    <row r="31" spans="1:24" x14ac:dyDescent="0.45">
      <c r="A31" s="86" t="s">
        <v>53</v>
      </c>
      <c r="B31" s="86" t="s">
        <v>37</v>
      </c>
      <c r="C31" s="86" t="s">
        <v>38</v>
      </c>
      <c r="D31" s="86" t="s">
        <v>39</v>
      </c>
      <c r="E31" s="86" t="s">
        <v>34</v>
      </c>
      <c r="F31" s="88" t="s">
        <v>40</v>
      </c>
      <c r="G31" s="88" t="s">
        <v>40</v>
      </c>
      <c r="H31" s="88" t="s">
        <v>40</v>
      </c>
      <c r="I31" s="88" t="s">
        <v>40</v>
      </c>
      <c r="J31" s="88" t="s">
        <v>40</v>
      </c>
      <c r="K31" s="88" t="s">
        <v>40</v>
      </c>
      <c r="L31" s="88" t="s">
        <v>40</v>
      </c>
      <c r="M31" s="88" t="s">
        <v>40</v>
      </c>
      <c r="N31" s="89">
        <v>144.03056906781549</v>
      </c>
      <c r="O31" s="89">
        <v>146.5416068249944</v>
      </c>
      <c r="P31" s="89">
        <v>146.06053419056519</v>
      </c>
      <c r="Q31" s="89">
        <v>144.7307355096014</v>
      </c>
      <c r="R31" s="89">
        <v>140.40208034614179</v>
      </c>
      <c r="S31" s="89">
        <v>137.5312701502327</v>
      </c>
      <c r="T31" s="89">
        <v>135.69999999999999</v>
      </c>
      <c r="U31" s="89">
        <v>133.80000000000001</v>
      </c>
      <c r="V31" s="89">
        <v>132.6</v>
      </c>
      <c r="W31" s="89">
        <v>131.39999999999989</v>
      </c>
      <c r="X31" s="89">
        <v>130.19999999999999</v>
      </c>
    </row>
    <row r="32" spans="1:24" x14ac:dyDescent="0.45">
      <c r="A32" s="86" t="s">
        <v>53</v>
      </c>
      <c r="B32" s="86" t="s">
        <v>41</v>
      </c>
      <c r="C32" s="86" t="s">
        <v>42</v>
      </c>
      <c r="D32" s="86" t="s">
        <v>39</v>
      </c>
      <c r="E32" s="86" t="s">
        <v>34</v>
      </c>
      <c r="F32" s="88" t="s">
        <v>40</v>
      </c>
      <c r="G32" s="88" t="s">
        <v>40</v>
      </c>
      <c r="H32" s="88" t="s">
        <v>40</v>
      </c>
      <c r="I32" s="88" t="s">
        <v>40</v>
      </c>
      <c r="J32" s="88" t="s">
        <v>40</v>
      </c>
      <c r="K32" s="88" t="s">
        <v>40</v>
      </c>
      <c r="L32" s="88" t="s">
        <v>40</v>
      </c>
      <c r="M32" s="88" t="s">
        <v>40</v>
      </c>
      <c r="N32" s="88" t="s">
        <v>40</v>
      </c>
      <c r="O32" s="88" t="s">
        <v>40</v>
      </c>
      <c r="P32" s="88" t="s">
        <v>40</v>
      </c>
      <c r="Q32" s="88" t="s">
        <v>40</v>
      </c>
      <c r="R32" s="88" t="s">
        <v>40</v>
      </c>
      <c r="S32" s="88" t="s">
        <v>40</v>
      </c>
      <c r="T32" s="88" t="s">
        <v>40</v>
      </c>
      <c r="U32" s="88" t="s">
        <v>40</v>
      </c>
      <c r="V32" s="88" t="s">
        <v>40</v>
      </c>
      <c r="W32" s="88" t="s">
        <v>40</v>
      </c>
      <c r="X32" s="88" t="s">
        <v>40</v>
      </c>
    </row>
    <row r="33" spans="1:24" x14ac:dyDescent="0.45">
      <c r="A33" s="86" t="s">
        <v>53</v>
      </c>
      <c r="B33" s="86" t="s">
        <v>43</v>
      </c>
      <c r="C33" s="86" t="s">
        <v>44</v>
      </c>
      <c r="D33" s="86" t="s">
        <v>45</v>
      </c>
      <c r="E33" s="86" t="s">
        <v>34</v>
      </c>
      <c r="F33" s="88" t="s">
        <v>40</v>
      </c>
      <c r="G33" s="88" t="s">
        <v>40</v>
      </c>
      <c r="H33" s="88" t="s">
        <v>40</v>
      </c>
      <c r="I33" s="88" t="s">
        <v>40</v>
      </c>
      <c r="J33" s="88" t="s">
        <v>40</v>
      </c>
      <c r="K33" s="88" t="s">
        <v>40</v>
      </c>
      <c r="L33" s="88" t="s">
        <v>40</v>
      </c>
      <c r="M33" s="88" t="s">
        <v>40</v>
      </c>
      <c r="N33" s="88" t="s">
        <v>40</v>
      </c>
      <c r="O33" s="88" t="s">
        <v>40</v>
      </c>
      <c r="P33" s="88" t="s">
        <v>40</v>
      </c>
      <c r="Q33" s="88" t="s">
        <v>40</v>
      </c>
      <c r="R33" s="88" t="s">
        <v>40</v>
      </c>
      <c r="S33" s="88" t="s">
        <v>40</v>
      </c>
      <c r="T33" s="88" t="s">
        <v>40</v>
      </c>
      <c r="U33" s="88" t="s">
        <v>40</v>
      </c>
      <c r="V33" s="88" t="s">
        <v>40</v>
      </c>
      <c r="W33" s="88" t="s">
        <v>40</v>
      </c>
      <c r="X33" s="88" t="s">
        <v>40</v>
      </c>
    </row>
    <row r="34" spans="1:24" x14ac:dyDescent="0.45">
      <c r="A34" s="86" t="s">
        <v>54</v>
      </c>
      <c r="B34" s="86" t="s">
        <v>37</v>
      </c>
      <c r="C34" s="86" t="s">
        <v>38</v>
      </c>
      <c r="D34" s="86" t="s">
        <v>39</v>
      </c>
      <c r="E34" s="86" t="s">
        <v>34</v>
      </c>
      <c r="F34" s="88" t="s">
        <v>40</v>
      </c>
      <c r="G34" s="88" t="s">
        <v>40</v>
      </c>
      <c r="H34" s="88" t="s">
        <v>40</v>
      </c>
      <c r="I34" s="88" t="s">
        <v>40</v>
      </c>
      <c r="J34" s="88" t="s">
        <v>40</v>
      </c>
      <c r="K34" s="88" t="s">
        <v>40</v>
      </c>
      <c r="L34" s="88" t="s">
        <v>40</v>
      </c>
      <c r="M34" s="88" t="s">
        <v>40</v>
      </c>
      <c r="N34" s="89">
        <v>137.82381389780221</v>
      </c>
      <c r="O34" s="89">
        <v>143.13762841867421</v>
      </c>
      <c r="P34" s="89">
        <v>144.99667473492761</v>
      </c>
      <c r="Q34" s="89">
        <v>145.1548143710981</v>
      </c>
      <c r="R34" s="89">
        <v>138.83639122945709</v>
      </c>
      <c r="S34" s="89">
        <v>136.94581666314519</v>
      </c>
      <c r="T34" s="89">
        <v>136.8140536834201</v>
      </c>
      <c r="U34" s="89">
        <v>138.04718690272341</v>
      </c>
      <c r="V34" s="89">
        <v>136.60291774573579</v>
      </c>
      <c r="W34" s="89">
        <v>134.8916128975967</v>
      </c>
      <c r="X34" s="89">
        <v>133.2449197865748</v>
      </c>
    </row>
    <row r="35" spans="1:24" x14ac:dyDescent="0.45">
      <c r="A35" s="86" t="s">
        <v>54</v>
      </c>
      <c r="B35" s="86" t="s">
        <v>41</v>
      </c>
      <c r="C35" s="86" t="s">
        <v>42</v>
      </c>
      <c r="D35" s="86" t="s">
        <v>39</v>
      </c>
      <c r="E35" s="86" t="s">
        <v>34</v>
      </c>
      <c r="F35" s="88" t="s">
        <v>40</v>
      </c>
      <c r="G35" s="88" t="s">
        <v>40</v>
      </c>
      <c r="H35" s="88" t="s">
        <v>40</v>
      </c>
      <c r="I35" s="88" t="s">
        <v>40</v>
      </c>
      <c r="J35" s="88" t="s">
        <v>40</v>
      </c>
      <c r="K35" s="88" t="s">
        <v>40</v>
      </c>
      <c r="L35" s="88" t="s">
        <v>40</v>
      </c>
      <c r="M35" s="88" t="s">
        <v>40</v>
      </c>
      <c r="N35" s="88" t="s">
        <v>40</v>
      </c>
      <c r="O35" s="88" t="s">
        <v>40</v>
      </c>
      <c r="P35" s="88" t="s">
        <v>40</v>
      </c>
      <c r="Q35" s="88" t="s">
        <v>40</v>
      </c>
      <c r="R35" s="88" t="s">
        <v>40</v>
      </c>
      <c r="S35" s="88" t="s">
        <v>40</v>
      </c>
      <c r="T35" s="88" t="s">
        <v>40</v>
      </c>
      <c r="U35" s="88" t="s">
        <v>40</v>
      </c>
      <c r="V35" s="88" t="s">
        <v>40</v>
      </c>
      <c r="W35" s="88" t="s">
        <v>40</v>
      </c>
      <c r="X35" s="88" t="s">
        <v>40</v>
      </c>
    </row>
    <row r="36" spans="1:24" x14ac:dyDescent="0.45">
      <c r="A36" s="86" t="s">
        <v>54</v>
      </c>
      <c r="B36" s="86" t="s">
        <v>43</v>
      </c>
      <c r="C36" s="86" t="s">
        <v>44</v>
      </c>
      <c r="D36" s="86" t="s">
        <v>45</v>
      </c>
      <c r="E36" s="86" t="s">
        <v>34</v>
      </c>
      <c r="F36" s="88" t="s">
        <v>40</v>
      </c>
      <c r="G36" s="88" t="s">
        <v>40</v>
      </c>
      <c r="H36" s="88" t="s">
        <v>40</v>
      </c>
      <c r="I36" s="88" t="s">
        <v>40</v>
      </c>
      <c r="J36" s="88" t="s">
        <v>40</v>
      </c>
      <c r="K36" s="88" t="s">
        <v>40</v>
      </c>
      <c r="L36" s="88" t="s">
        <v>40</v>
      </c>
      <c r="M36" s="88" t="s">
        <v>40</v>
      </c>
      <c r="N36" s="88" t="s">
        <v>40</v>
      </c>
      <c r="O36" s="88" t="s">
        <v>40</v>
      </c>
      <c r="P36" s="88" t="s">
        <v>40</v>
      </c>
      <c r="Q36" s="88" t="s">
        <v>40</v>
      </c>
      <c r="R36" s="88" t="s">
        <v>40</v>
      </c>
      <c r="S36" s="88" t="s">
        <v>40</v>
      </c>
      <c r="T36" s="88" t="s">
        <v>40</v>
      </c>
      <c r="U36" s="88" t="s">
        <v>40</v>
      </c>
      <c r="V36" s="88" t="s">
        <v>40</v>
      </c>
      <c r="W36" s="88" t="s">
        <v>40</v>
      </c>
      <c r="X36" s="88" t="s">
        <v>40</v>
      </c>
    </row>
    <row r="37" spans="1:24" x14ac:dyDescent="0.45">
      <c r="A37" s="86" t="s">
        <v>55</v>
      </c>
      <c r="B37" s="86" t="s">
        <v>37</v>
      </c>
      <c r="C37" s="86" t="s">
        <v>38</v>
      </c>
      <c r="D37" s="86" t="s">
        <v>39</v>
      </c>
      <c r="E37" s="86" t="s">
        <v>34</v>
      </c>
      <c r="F37" s="88" t="s">
        <v>40</v>
      </c>
      <c r="G37" s="88" t="s">
        <v>40</v>
      </c>
      <c r="H37" s="88" t="s">
        <v>40</v>
      </c>
      <c r="I37" s="88" t="s">
        <v>40</v>
      </c>
      <c r="J37" s="88" t="s">
        <v>40</v>
      </c>
      <c r="K37" s="88" t="s">
        <v>40</v>
      </c>
      <c r="L37" s="88" t="s">
        <v>40</v>
      </c>
      <c r="M37" s="88" t="s">
        <v>40</v>
      </c>
      <c r="N37" s="89">
        <v>128.20208574358841</v>
      </c>
      <c r="O37" s="89">
        <v>132.49049098929541</v>
      </c>
      <c r="P37" s="89">
        <v>133.46147287983121</v>
      </c>
      <c r="Q37" s="89">
        <v>132.1814179255116</v>
      </c>
      <c r="R37" s="89">
        <v>126.9082926509095</v>
      </c>
      <c r="S37" s="89">
        <v>124.7707152075287</v>
      </c>
      <c r="T37" s="89">
        <v>124.8565502250855</v>
      </c>
      <c r="U37" s="89">
        <v>124.0437147830006</v>
      </c>
      <c r="V37" s="89">
        <v>122.9103794511559</v>
      </c>
      <c r="W37" s="89">
        <v>121.68502062663291</v>
      </c>
      <c r="X37" s="89">
        <v>120.47105363192961</v>
      </c>
    </row>
    <row r="38" spans="1:24" x14ac:dyDescent="0.45">
      <c r="A38" s="86" t="s">
        <v>55</v>
      </c>
      <c r="B38" s="86" t="s">
        <v>41</v>
      </c>
      <c r="C38" s="86" t="s">
        <v>42</v>
      </c>
      <c r="D38" s="86" t="s">
        <v>39</v>
      </c>
      <c r="E38" s="86" t="s">
        <v>34</v>
      </c>
      <c r="F38" s="88" t="s">
        <v>40</v>
      </c>
      <c r="G38" s="88" t="s">
        <v>40</v>
      </c>
      <c r="H38" s="88" t="s">
        <v>40</v>
      </c>
      <c r="I38" s="88" t="s">
        <v>40</v>
      </c>
      <c r="J38" s="88" t="s">
        <v>40</v>
      </c>
      <c r="K38" s="88" t="s">
        <v>40</v>
      </c>
      <c r="L38" s="88" t="s">
        <v>40</v>
      </c>
      <c r="M38" s="88" t="s">
        <v>40</v>
      </c>
      <c r="N38" s="88" t="s">
        <v>40</v>
      </c>
      <c r="O38" s="88" t="s">
        <v>40</v>
      </c>
      <c r="P38" s="88" t="s">
        <v>40</v>
      </c>
      <c r="Q38" s="88" t="s">
        <v>40</v>
      </c>
      <c r="R38" s="88" t="s">
        <v>40</v>
      </c>
      <c r="S38" s="88" t="s">
        <v>40</v>
      </c>
      <c r="T38" s="88" t="s">
        <v>40</v>
      </c>
      <c r="U38" s="88" t="s">
        <v>40</v>
      </c>
      <c r="V38" s="88" t="s">
        <v>40</v>
      </c>
      <c r="W38" s="88" t="s">
        <v>40</v>
      </c>
      <c r="X38" s="88" t="s">
        <v>40</v>
      </c>
    </row>
    <row r="39" spans="1:24" x14ac:dyDescent="0.45">
      <c r="A39" s="86" t="s">
        <v>55</v>
      </c>
      <c r="B39" s="86" t="s">
        <v>43</v>
      </c>
      <c r="C39" s="86" t="s">
        <v>44</v>
      </c>
      <c r="D39" s="86" t="s">
        <v>45</v>
      </c>
      <c r="E39" s="86" t="s">
        <v>34</v>
      </c>
      <c r="F39" s="88" t="s">
        <v>40</v>
      </c>
      <c r="G39" s="88" t="s">
        <v>40</v>
      </c>
      <c r="H39" s="88" t="s">
        <v>40</v>
      </c>
      <c r="I39" s="88" t="s">
        <v>40</v>
      </c>
      <c r="J39" s="88" t="s">
        <v>40</v>
      </c>
      <c r="K39" s="88" t="s">
        <v>40</v>
      </c>
      <c r="L39" s="88" t="s">
        <v>40</v>
      </c>
      <c r="M39" s="88" t="s">
        <v>40</v>
      </c>
      <c r="N39" s="88" t="s">
        <v>40</v>
      </c>
      <c r="O39" s="88" t="s">
        <v>40</v>
      </c>
      <c r="P39" s="88" t="s">
        <v>40</v>
      </c>
      <c r="Q39" s="88" t="s">
        <v>40</v>
      </c>
      <c r="R39" s="88" t="s">
        <v>40</v>
      </c>
      <c r="S39" s="88" t="s">
        <v>40</v>
      </c>
      <c r="T39" s="88" t="s">
        <v>40</v>
      </c>
      <c r="U39" s="88" t="s">
        <v>40</v>
      </c>
      <c r="V39" s="88" t="s">
        <v>40</v>
      </c>
      <c r="W39" s="88" t="s">
        <v>40</v>
      </c>
      <c r="X39" s="88" t="s">
        <v>40</v>
      </c>
    </row>
    <row r="40" spans="1:24" x14ac:dyDescent="0.45">
      <c r="A40" s="86" t="s">
        <v>56</v>
      </c>
      <c r="B40" s="86" t="s">
        <v>37</v>
      </c>
      <c r="C40" s="86" t="s">
        <v>38</v>
      </c>
      <c r="D40" s="86" t="s">
        <v>39</v>
      </c>
      <c r="E40" s="86" t="s">
        <v>34</v>
      </c>
      <c r="F40" s="88" t="s">
        <v>40</v>
      </c>
      <c r="G40" s="88" t="s">
        <v>40</v>
      </c>
      <c r="H40" s="88" t="s">
        <v>40</v>
      </c>
      <c r="I40" s="88" t="s">
        <v>40</v>
      </c>
      <c r="J40" s="88" t="s">
        <v>40</v>
      </c>
      <c r="K40" s="88" t="s">
        <v>40</v>
      </c>
      <c r="L40" s="88" t="s">
        <v>40</v>
      </c>
      <c r="M40" s="88" t="s">
        <v>40</v>
      </c>
      <c r="N40" s="89">
        <v>154.01455507962689</v>
      </c>
      <c r="O40" s="89">
        <v>159.36159031758331</v>
      </c>
      <c r="P40" s="89">
        <v>159.2332053149338</v>
      </c>
      <c r="Q40" s="89">
        <v>160.6303898514916</v>
      </c>
      <c r="R40" s="89">
        <v>156.29511447989461</v>
      </c>
      <c r="S40" s="89">
        <v>150.39084784953761</v>
      </c>
      <c r="T40" s="89">
        <v>144.15725304274869</v>
      </c>
      <c r="U40" s="89">
        <v>138.35681636320771</v>
      </c>
      <c r="V40" s="89">
        <v>136.75652417783371</v>
      </c>
      <c r="W40" s="89">
        <v>135.38845905729039</v>
      </c>
      <c r="X40" s="89">
        <v>134.1739388459838</v>
      </c>
    </row>
    <row r="41" spans="1:24" x14ac:dyDescent="0.45">
      <c r="A41" s="86" t="s">
        <v>56</v>
      </c>
      <c r="B41" s="86" t="s">
        <v>41</v>
      </c>
      <c r="C41" s="86" t="s">
        <v>42</v>
      </c>
      <c r="D41" s="86" t="s">
        <v>39</v>
      </c>
      <c r="E41" s="86" t="s">
        <v>34</v>
      </c>
      <c r="F41" s="88" t="s">
        <v>40</v>
      </c>
      <c r="G41" s="88" t="s">
        <v>40</v>
      </c>
      <c r="H41" s="88" t="s">
        <v>40</v>
      </c>
      <c r="I41" s="88" t="s">
        <v>40</v>
      </c>
      <c r="J41" s="88" t="s">
        <v>40</v>
      </c>
      <c r="K41" s="88" t="s">
        <v>40</v>
      </c>
      <c r="L41" s="88" t="s">
        <v>40</v>
      </c>
      <c r="M41" s="88" t="s">
        <v>40</v>
      </c>
      <c r="N41" s="89">
        <v>0</v>
      </c>
      <c r="O41" s="89">
        <v>0</v>
      </c>
      <c r="P41" s="89">
        <v>0</v>
      </c>
      <c r="Q41" s="89">
        <v>0</v>
      </c>
      <c r="R41" s="89">
        <v>0</v>
      </c>
      <c r="S41" s="89">
        <v>0</v>
      </c>
      <c r="T41" s="89">
        <v>0</v>
      </c>
      <c r="U41" s="89">
        <v>0</v>
      </c>
      <c r="V41" s="89">
        <v>0</v>
      </c>
      <c r="W41" s="89">
        <v>0</v>
      </c>
      <c r="X41" s="89">
        <v>0</v>
      </c>
    </row>
    <row r="42" spans="1:24" x14ac:dyDescent="0.45">
      <c r="A42" s="86" t="s">
        <v>56</v>
      </c>
      <c r="B42" s="86" t="s">
        <v>43</v>
      </c>
      <c r="C42" s="86" t="s">
        <v>44</v>
      </c>
      <c r="D42" s="86" t="s">
        <v>45</v>
      </c>
      <c r="E42" s="86" t="s">
        <v>34</v>
      </c>
      <c r="F42" s="88" t="s">
        <v>40</v>
      </c>
      <c r="G42" s="88" t="s">
        <v>40</v>
      </c>
      <c r="H42" s="88" t="s">
        <v>40</v>
      </c>
      <c r="I42" s="88" t="s">
        <v>40</v>
      </c>
      <c r="J42" s="88" t="s">
        <v>40</v>
      </c>
      <c r="K42" s="88" t="s">
        <v>40</v>
      </c>
      <c r="L42" s="88" t="s">
        <v>40</v>
      </c>
      <c r="M42" s="88" t="s">
        <v>40</v>
      </c>
      <c r="N42" s="89">
        <v>0</v>
      </c>
      <c r="O42" s="89">
        <v>0</v>
      </c>
      <c r="P42" s="89">
        <v>0</v>
      </c>
      <c r="Q42" s="89">
        <v>0</v>
      </c>
      <c r="R42" s="89">
        <v>0</v>
      </c>
      <c r="S42" s="89">
        <v>0</v>
      </c>
      <c r="T42" s="89">
        <v>0</v>
      </c>
      <c r="U42" s="89">
        <v>0</v>
      </c>
      <c r="V42" s="89">
        <v>0</v>
      </c>
      <c r="W42" s="89">
        <v>0</v>
      </c>
      <c r="X42" s="89">
        <v>0</v>
      </c>
    </row>
    <row r="43" spans="1:24" x14ac:dyDescent="0.45">
      <c r="A43" s="86" t="s">
        <v>57</v>
      </c>
      <c r="B43" s="86" t="s">
        <v>37</v>
      </c>
      <c r="C43" s="86" t="s">
        <v>38</v>
      </c>
      <c r="D43" s="86" t="s">
        <v>39</v>
      </c>
      <c r="E43" s="86" t="s">
        <v>34</v>
      </c>
      <c r="F43" s="88" t="s">
        <v>40</v>
      </c>
      <c r="G43" s="88" t="s">
        <v>40</v>
      </c>
      <c r="H43" s="88" t="s">
        <v>40</v>
      </c>
      <c r="I43" s="88" t="s">
        <v>40</v>
      </c>
      <c r="J43" s="88" t="s">
        <v>40</v>
      </c>
      <c r="K43" s="88" t="s">
        <v>40</v>
      </c>
      <c r="L43" s="88" t="s">
        <v>40</v>
      </c>
      <c r="M43" s="88" t="s">
        <v>40</v>
      </c>
      <c r="N43" s="89">
        <v>148.88289379242769</v>
      </c>
      <c r="O43" s="89">
        <v>152.94592790599219</v>
      </c>
      <c r="P43" s="89">
        <v>154.0740846106381</v>
      </c>
      <c r="Q43" s="89">
        <v>154.85451184012129</v>
      </c>
      <c r="R43" s="89">
        <v>149.38899390318679</v>
      </c>
      <c r="S43" s="89">
        <v>146.66033748566349</v>
      </c>
      <c r="T43" s="89">
        <v>146.9617259686886</v>
      </c>
      <c r="U43" s="89">
        <v>147.41471830656391</v>
      </c>
      <c r="V43" s="89">
        <v>146.6569983847117</v>
      </c>
      <c r="W43" s="89">
        <v>144.2680492242736</v>
      </c>
      <c r="X43" s="89">
        <v>142.3953426972985</v>
      </c>
    </row>
    <row r="44" spans="1:24" x14ac:dyDescent="0.45">
      <c r="A44" s="86" t="s">
        <v>57</v>
      </c>
      <c r="B44" s="86" t="s">
        <v>41</v>
      </c>
      <c r="C44" s="86" t="s">
        <v>42</v>
      </c>
      <c r="D44" s="86" t="s">
        <v>39</v>
      </c>
      <c r="E44" s="86" t="s">
        <v>34</v>
      </c>
      <c r="F44" s="88" t="s">
        <v>40</v>
      </c>
      <c r="G44" s="88" t="s">
        <v>40</v>
      </c>
      <c r="H44" s="88" t="s">
        <v>40</v>
      </c>
      <c r="I44" s="88" t="s">
        <v>40</v>
      </c>
      <c r="J44" s="88" t="s">
        <v>40</v>
      </c>
      <c r="K44" s="88" t="s">
        <v>40</v>
      </c>
      <c r="L44" s="88" t="s">
        <v>40</v>
      </c>
      <c r="M44" s="88" t="s">
        <v>40</v>
      </c>
      <c r="N44" s="88" t="s">
        <v>40</v>
      </c>
      <c r="O44" s="88" t="s">
        <v>40</v>
      </c>
      <c r="P44" s="88" t="s">
        <v>40</v>
      </c>
      <c r="Q44" s="88" t="s">
        <v>40</v>
      </c>
      <c r="R44" s="88" t="s">
        <v>40</v>
      </c>
      <c r="S44" s="88" t="s">
        <v>40</v>
      </c>
      <c r="T44" s="88" t="s">
        <v>40</v>
      </c>
      <c r="U44" s="88" t="s">
        <v>40</v>
      </c>
      <c r="V44" s="88" t="s">
        <v>40</v>
      </c>
      <c r="W44" s="88" t="s">
        <v>40</v>
      </c>
      <c r="X44" s="88" t="s">
        <v>40</v>
      </c>
    </row>
    <row r="45" spans="1:24" x14ac:dyDescent="0.45">
      <c r="A45" s="86" t="s">
        <v>57</v>
      </c>
      <c r="B45" s="86" t="s">
        <v>43</v>
      </c>
      <c r="C45" s="86" t="s">
        <v>44</v>
      </c>
      <c r="D45" s="86" t="s">
        <v>45</v>
      </c>
      <c r="E45" s="86" t="s">
        <v>34</v>
      </c>
      <c r="F45" s="88" t="s">
        <v>40</v>
      </c>
      <c r="G45" s="88" t="s">
        <v>40</v>
      </c>
      <c r="H45" s="88" t="s">
        <v>40</v>
      </c>
      <c r="I45" s="88" t="s">
        <v>40</v>
      </c>
      <c r="J45" s="88" t="s">
        <v>40</v>
      </c>
      <c r="K45" s="88" t="s">
        <v>40</v>
      </c>
      <c r="L45" s="88" t="s">
        <v>40</v>
      </c>
      <c r="M45" s="88" t="s">
        <v>40</v>
      </c>
      <c r="N45" s="88" t="s">
        <v>40</v>
      </c>
      <c r="O45" s="88" t="s">
        <v>40</v>
      </c>
      <c r="P45" s="88" t="s">
        <v>40</v>
      </c>
      <c r="Q45" s="88" t="s">
        <v>40</v>
      </c>
      <c r="R45" s="88" t="s">
        <v>40</v>
      </c>
      <c r="S45" s="88" t="s">
        <v>40</v>
      </c>
      <c r="T45" s="88" t="s">
        <v>40</v>
      </c>
      <c r="U45" s="88" t="s">
        <v>40</v>
      </c>
      <c r="V45" s="88" t="s">
        <v>40</v>
      </c>
      <c r="W45" s="88" t="s">
        <v>40</v>
      </c>
      <c r="X45" s="88" t="s">
        <v>40</v>
      </c>
    </row>
    <row r="46" spans="1:24" x14ac:dyDescent="0.45">
      <c r="A46" s="86" t="s">
        <v>58</v>
      </c>
      <c r="B46" s="86" t="s">
        <v>37</v>
      </c>
      <c r="C46" s="86" t="s">
        <v>38</v>
      </c>
      <c r="D46" s="86" t="s">
        <v>39</v>
      </c>
      <c r="E46" s="86" t="s">
        <v>34</v>
      </c>
      <c r="F46" s="88" t="s">
        <v>40</v>
      </c>
      <c r="G46" s="88" t="s">
        <v>40</v>
      </c>
      <c r="H46" s="88" t="s">
        <v>40</v>
      </c>
      <c r="I46" s="88" t="s">
        <v>40</v>
      </c>
      <c r="J46" s="88" t="s">
        <v>40</v>
      </c>
      <c r="K46" s="88" t="s">
        <v>40</v>
      </c>
      <c r="L46" s="88" t="s">
        <v>40</v>
      </c>
      <c r="M46" s="88" t="s">
        <v>40</v>
      </c>
      <c r="N46" s="89">
        <v>129.74004821842789</v>
      </c>
      <c r="O46" s="89">
        <v>136.85243125716389</v>
      </c>
      <c r="P46" s="89">
        <v>141.58970141812679</v>
      </c>
      <c r="Q46" s="89">
        <v>146.55958411526279</v>
      </c>
      <c r="R46" s="89">
        <v>140.93014721666631</v>
      </c>
      <c r="S46" s="89">
        <v>136.9423760368924</v>
      </c>
      <c r="T46" s="89">
        <v>134.77179295727819</v>
      </c>
      <c r="U46" s="89">
        <v>134.3897044493421</v>
      </c>
      <c r="V46" s="89">
        <v>132.6440309898247</v>
      </c>
      <c r="W46" s="89">
        <v>130.30486468766031</v>
      </c>
      <c r="X46" s="89">
        <v>128.02665755790031</v>
      </c>
    </row>
    <row r="47" spans="1:24" x14ac:dyDescent="0.45">
      <c r="A47" s="86" t="s">
        <v>58</v>
      </c>
      <c r="B47" s="86" t="s">
        <v>41</v>
      </c>
      <c r="C47" s="86" t="s">
        <v>42</v>
      </c>
      <c r="D47" s="86" t="s">
        <v>39</v>
      </c>
      <c r="E47" s="86" t="s">
        <v>34</v>
      </c>
      <c r="F47" s="88" t="s">
        <v>40</v>
      </c>
      <c r="G47" s="88" t="s">
        <v>40</v>
      </c>
      <c r="H47" s="88" t="s">
        <v>40</v>
      </c>
      <c r="I47" s="88" t="s">
        <v>40</v>
      </c>
      <c r="J47" s="88" t="s">
        <v>40</v>
      </c>
      <c r="K47" s="88" t="s">
        <v>40</v>
      </c>
      <c r="L47" s="88" t="s">
        <v>40</v>
      </c>
      <c r="M47" s="88" t="s">
        <v>40</v>
      </c>
      <c r="N47" s="89">
        <v>128.5377877776524</v>
      </c>
      <c r="O47" s="89">
        <v>136.31171411721371</v>
      </c>
      <c r="P47" s="89">
        <v>142.1135840589765</v>
      </c>
      <c r="Q47" s="89">
        <v>147.5869496891269</v>
      </c>
      <c r="R47" s="89">
        <v>142.9218200348659</v>
      </c>
      <c r="S47" s="89">
        <v>138.73860986341941</v>
      </c>
      <c r="T47" s="89">
        <v>136.39327211614949</v>
      </c>
      <c r="U47" s="89">
        <v>135.34229050556809</v>
      </c>
      <c r="V47" s="89">
        <v>133.64814043882529</v>
      </c>
      <c r="W47" s="89">
        <v>131.31248369822251</v>
      </c>
      <c r="X47" s="89">
        <v>128.92346546356791</v>
      </c>
    </row>
    <row r="48" spans="1:24" x14ac:dyDescent="0.45">
      <c r="A48" s="86" t="s">
        <v>58</v>
      </c>
      <c r="B48" s="86" t="s">
        <v>43</v>
      </c>
      <c r="C48" s="86" t="s">
        <v>44</v>
      </c>
      <c r="D48" s="86" t="s">
        <v>45</v>
      </c>
      <c r="E48" s="86" t="s">
        <v>34</v>
      </c>
      <c r="F48" s="88" t="s">
        <v>40</v>
      </c>
      <c r="G48" s="88" t="s">
        <v>40</v>
      </c>
      <c r="H48" s="88" t="s">
        <v>40</v>
      </c>
      <c r="I48" s="88" t="s">
        <v>40</v>
      </c>
      <c r="J48" s="88" t="s">
        <v>40</v>
      </c>
      <c r="K48" s="88" t="s">
        <v>40</v>
      </c>
      <c r="L48" s="88" t="s">
        <v>40</v>
      </c>
      <c r="M48" s="88" t="s">
        <v>40</v>
      </c>
      <c r="N48" s="89">
        <v>134.78262275502851</v>
      </c>
      <c r="O48" s="89">
        <v>139.11524333404461</v>
      </c>
      <c r="P48" s="89">
        <v>139.47421040293759</v>
      </c>
      <c r="Q48" s="89">
        <v>142.44239130346941</v>
      </c>
      <c r="R48" s="89">
        <v>132.0992457027464</v>
      </c>
      <c r="S48" s="89">
        <v>127.1889613467946</v>
      </c>
      <c r="T48" s="89">
        <v>123.5545963519381</v>
      </c>
      <c r="U48" s="89">
        <v>124.95861874549099</v>
      </c>
      <c r="V48" s="89">
        <v>123.6210583099781</v>
      </c>
      <c r="W48" s="89">
        <v>122.3097207671856</v>
      </c>
      <c r="X48" s="89">
        <v>120.962615840605</v>
      </c>
    </row>
    <row r="49" spans="1:24" x14ac:dyDescent="0.45">
      <c r="A49" s="86" t="s">
        <v>59</v>
      </c>
      <c r="B49" s="86" t="s">
        <v>37</v>
      </c>
      <c r="C49" s="86" t="s">
        <v>38</v>
      </c>
      <c r="D49" s="86" t="s">
        <v>39</v>
      </c>
      <c r="E49" s="86" t="s">
        <v>34</v>
      </c>
      <c r="F49" s="88" t="s">
        <v>40</v>
      </c>
      <c r="G49" s="88" t="s">
        <v>40</v>
      </c>
      <c r="H49" s="88" t="s">
        <v>40</v>
      </c>
      <c r="I49" s="88" t="s">
        <v>40</v>
      </c>
      <c r="J49" s="88" t="s">
        <v>40</v>
      </c>
      <c r="K49" s="88" t="s">
        <v>40</v>
      </c>
      <c r="L49" s="88" t="s">
        <v>40</v>
      </c>
      <c r="M49" s="88" t="s">
        <v>40</v>
      </c>
      <c r="N49" s="89">
        <v>149.3103214050137</v>
      </c>
      <c r="O49" s="89">
        <v>157.22386959647179</v>
      </c>
      <c r="P49" s="89">
        <v>160.26419983725469</v>
      </c>
      <c r="Q49" s="89">
        <v>161.13101132291749</v>
      </c>
      <c r="R49" s="89">
        <v>155.73755199240171</v>
      </c>
      <c r="S49" s="89">
        <v>154.61956139957229</v>
      </c>
      <c r="T49" s="89">
        <v>155.5984953913896</v>
      </c>
      <c r="U49" s="89">
        <v>155.39464385352829</v>
      </c>
      <c r="V49" s="89">
        <v>153.25652559336339</v>
      </c>
      <c r="W49" s="89">
        <v>150.1999121086466</v>
      </c>
      <c r="X49" s="89">
        <v>145.95287694766961</v>
      </c>
    </row>
    <row r="50" spans="1:24" x14ac:dyDescent="0.45">
      <c r="A50" s="86" t="s">
        <v>59</v>
      </c>
      <c r="B50" s="86" t="s">
        <v>41</v>
      </c>
      <c r="C50" s="86" t="s">
        <v>42</v>
      </c>
      <c r="D50" s="86" t="s">
        <v>39</v>
      </c>
      <c r="E50" s="86" t="s">
        <v>34</v>
      </c>
      <c r="F50" s="88" t="s">
        <v>40</v>
      </c>
      <c r="G50" s="88" t="s">
        <v>40</v>
      </c>
      <c r="H50" s="88" t="s">
        <v>40</v>
      </c>
      <c r="I50" s="88" t="s">
        <v>40</v>
      </c>
      <c r="J50" s="88" t="s">
        <v>40</v>
      </c>
      <c r="K50" s="88" t="s">
        <v>40</v>
      </c>
      <c r="L50" s="88" t="s">
        <v>40</v>
      </c>
      <c r="M50" s="88" t="s">
        <v>40</v>
      </c>
      <c r="N50" s="88" t="s">
        <v>40</v>
      </c>
      <c r="O50" s="88" t="s">
        <v>40</v>
      </c>
      <c r="P50" s="88" t="s">
        <v>40</v>
      </c>
      <c r="Q50" s="88" t="s">
        <v>40</v>
      </c>
      <c r="R50" s="88" t="s">
        <v>40</v>
      </c>
      <c r="S50" s="88" t="s">
        <v>40</v>
      </c>
      <c r="T50" s="88" t="s">
        <v>40</v>
      </c>
      <c r="U50" s="88" t="s">
        <v>40</v>
      </c>
      <c r="V50" s="88" t="s">
        <v>40</v>
      </c>
      <c r="W50" s="88" t="s">
        <v>40</v>
      </c>
      <c r="X50" s="88" t="s">
        <v>40</v>
      </c>
    </row>
    <row r="51" spans="1:24" x14ac:dyDescent="0.45">
      <c r="A51" s="86" t="s">
        <v>59</v>
      </c>
      <c r="B51" s="86" t="s">
        <v>43</v>
      </c>
      <c r="C51" s="86" t="s">
        <v>44</v>
      </c>
      <c r="D51" s="86" t="s">
        <v>45</v>
      </c>
      <c r="E51" s="86" t="s">
        <v>34</v>
      </c>
      <c r="F51" s="88" t="s">
        <v>40</v>
      </c>
      <c r="G51" s="88" t="s">
        <v>40</v>
      </c>
      <c r="H51" s="88" t="s">
        <v>40</v>
      </c>
      <c r="I51" s="88" t="s">
        <v>40</v>
      </c>
      <c r="J51" s="88" t="s">
        <v>40</v>
      </c>
      <c r="K51" s="88" t="s">
        <v>40</v>
      </c>
      <c r="L51" s="88" t="s">
        <v>40</v>
      </c>
      <c r="M51" s="88" t="s">
        <v>40</v>
      </c>
      <c r="N51" s="88" t="s">
        <v>40</v>
      </c>
      <c r="O51" s="88" t="s">
        <v>40</v>
      </c>
      <c r="P51" s="88" t="s">
        <v>40</v>
      </c>
      <c r="Q51" s="88" t="s">
        <v>40</v>
      </c>
      <c r="R51" s="88" t="s">
        <v>40</v>
      </c>
      <c r="S51" s="88" t="s">
        <v>40</v>
      </c>
      <c r="T51" s="88" t="s">
        <v>40</v>
      </c>
      <c r="U51" s="88" t="s">
        <v>40</v>
      </c>
      <c r="V51" s="88" t="s">
        <v>40</v>
      </c>
      <c r="W51" s="88" t="s">
        <v>40</v>
      </c>
      <c r="X51" s="88" t="s">
        <v>40</v>
      </c>
    </row>
    <row r="52" spans="1:24" x14ac:dyDescent="0.45">
      <c r="A52" s="86" t="s">
        <v>60</v>
      </c>
      <c r="B52" s="86" t="s">
        <v>37</v>
      </c>
      <c r="C52" s="86" t="s">
        <v>38</v>
      </c>
      <c r="D52" s="86" t="s">
        <v>39</v>
      </c>
      <c r="E52" s="86" t="s">
        <v>34</v>
      </c>
      <c r="F52" s="88" t="s">
        <v>40</v>
      </c>
      <c r="G52" s="88" t="s">
        <v>40</v>
      </c>
      <c r="H52" s="88" t="s">
        <v>40</v>
      </c>
      <c r="I52" s="88" t="s">
        <v>40</v>
      </c>
      <c r="J52" s="88" t="s">
        <v>40</v>
      </c>
      <c r="K52" s="88" t="s">
        <v>40</v>
      </c>
      <c r="L52" s="88" t="s">
        <v>40</v>
      </c>
      <c r="M52" s="88" t="s">
        <v>40</v>
      </c>
      <c r="N52" s="89">
        <v>147.05025085934551</v>
      </c>
      <c r="O52" s="89">
        <v>153.4429442867023</v>
      </c>
      <c r="P52" s="89">
        <v>156.90978245573879</v>
      </c>
      <c r="Q52" s="89">
        <v>158.25798785054019</v>
      </c>
      <c r="R52" s="89">
        <v>150.76235262077941</v>
      </c>
      <c r="S52" s="89">
        <v>145.02385387635269</v>
      </c>
      <c r="T52" s="89">
        <v>141.5411148367541</v>
      </c>
      <c r="U52" s="89">
        <v>139.73104449978709</v>
      </c>
      <c r="V52" s="89">
        <v>137.88920431113289</v>
      </c>
      <c r="W52" s="89">
        <v>135.85260861508209</v>
      </c>
      <c r="X52" s="89">
        <v>133.71933005437961</v>
      </c>
    </row>
    <row r="53" spans="1:24" x14ac:dyDescent="0.45">
      <c r="A53" s="86" t="s">
        <v>60</v>
      </c>
      <c r="B53" s="86" t="s">
        <v>41</v>
      </c>
      <c r="C53" s="86" t="s">
        <v>42</v>
      </c>
      <c r="D53" s="86" t="s">
        <v>39</v>
      </c>
      <c r="E53" s="86" t="s">
        <v>34</v>
      </c>
      <c r="F53" s="88" t="s">
        <v>40</v>
      </c>
      <c r="G53" s="88" t="s">
        <v>40</v>
      </c>
      <c r="H53" s="88" t="s">
        <v>40</v>
      </c>
      <c r="I53" s="88" t="s">
        <v>40</v>
      </c>
      <c r="J53" s="88" t="s">
        <v>40</v>
      </c>
      <c r="K53" s="88" t="s">
        <v>40</v>
      </c>
      <c r="L53" s="88" t="s">
        <v>40</v>
      </c>
      <c r="M53" s="88" t="s">
        <v>40</v>
      </c>
      <c r="N53" s="88" t="s">
        <v>40</v>
      </c>
      <c r="O53" s="88" t="s">
        <v>40</v>
      </c>
      <c r="P53" s="88" t="s">
        <v>40</v>
      </c>
      <c r="Q53" s="88" t="s">
        <v>40</v>
      </c>
      <c r="R53" s="88" t="s">
        <v>40</v>
      </c>
      <c r="S53" s="88" t="s">
        <v>40</v>
      </c>
      <c r="T53" s="88" t="s">
        <v>40</v>
      </c>
      <c r="U53" s="88" t="s">
        <v>40</v>
      </c>
      <c r="V53" s="88" t="s">
        <v>40</v>
      </c>
      <c r="W53" s="88" t="s">
        <v>40</v>
      </c>
      <c r="X53" s="88" t="s">
        <v>40</v>
      </c>
    </row>
    <row r="54" spans="1:24" x14ac:dyDescent="0.45">
      <c r="A54" s="86" t="s">
        <v>60</v>
      </c>
      <c r="B54" s="86" t="s">
        <v>43</v>
      </c>
      <c r="C54" s="86" t="s">
        <v>44</v>
      </c>
      <c r="D54" s="86" t="s">
        <v>45</v>
      </c>
      <c r="E54" s="86" t="s">
        <v>34</v>
      </c>
      <c r="F54" s="88" t="s">
        <v>40</v>
      </c>
      <c r="G54" s="88" t="s">
        <v>40</v>
      </c>
      <c r="H54" s="88" t="s">
        <v>40</v>
      </c>
      <c r="I54" s="88" t="s">
        <v>40</v>
      </c>
      <c r="J54" s="88" t="s">
        <v>40</v>
      </c>
      <c r="K54" s="88" t="s">
        <v>40</v>
      </c>
      <c r="L54" s="88" t="s">
        <v>40</v>
      </c>
      <c r="M54" s="88" t="s">
        <v>40</v>
      </c>
      <c r="N54" s="88" t="s">
        <v>40</v>
      </c>
      <c r="O54" s="88" t="s">
        <v>40</v>
      </c>
      <c r="P54" s="88" t="s">
        <v>40</v>
      </c>
      <c r="Q54" s="88" t="s">
        <v>40</v>
      </c>
      <c r="R54" s="88" t="s">
        <v>40</v>
      </c>
      <c r="S54" s="88" t="s">
        <v>40</v>
      </c>
      <c r="T54" s="88" t="s">
        <v>40</v>
      </c>
      <c r="U54" s="88" t="s">
        <v>40</v>
      </c>
      <c r="V54" s="88" t="s">
        <v>40</v>
      </c>
      <c r="W54" s="88" t="s">
        <v>40</v>
      </c>
      <c r="X54" s="88" t="s">
        <v>40</v>
      </c>
    </row>
    <row r="55" spans="1:24" x14ac:dyDescent="0.45">
      <c r="A55" s="86" t="s">
        <v>61</v>
      </c>
      <c r="B55" s="86" t="s">
        <v>37</v>
      </c>
      <c r="C55" s="86" t="s">
        <v>38</v>
      </c>
      <c r="D55" s="86" t="s">
        <v>39</v>
      </c>
      <c r="E55" s="86" t="s">
        <v>34</v>
      </c>
      <c r="F55" s="88" t="s">
        <v>40</v>
      </c>
      <c r="G55" s="88" t="s">
        <v>40</v>
      </c>
      <c r="H55" s="88" t="s">
        <v>40</v>
      </c>
      <c r="I55" s="88" t="s">
        <v>40</v>
      </c>
      <c r="J55" s="88" t="s">
        <v>40</v>
      </c>
      <c r="K55" s="88" t="s">
        <v>40</v>
      </c>
      <c r="L55" s="88" t="s">
        <v>40</v>
      </c>
      <c r="M55" s="88" t="s">
        <v>40</v>
      </c>
      <c r="N55" s="89">
        <v>149.00575281485101</v>
      </c>
      <c r="O55" s="89">
        <v>154.59016679237169</v>
      </c>
      <c r="P55" s="89">
        <v>152.6351979075838</v>
      </c>
      <c r="Q55" s="89">
        <v>155.1320920778675</v>
      </c>
      <c r="R55" s="89">
        <v>149.399382448621</v>
      </c>
      <c r="S55" s="89">
        <v>144.65471767164291</v>
      </c>
      <c r="T55" s="89">
        <v>139.3778925994273</v>
      </c>
      <c r="U55" s="89">
        <v>134.86480079218771</v>
      </c>
      <c r="V55" s="89">
        <v>132.8534344073486</v>
      </c>
      <c r="W55" s="89">
        <v>130.8332777963609</v>
      </c>
      <c r="X55" s="89">
        <v>128.8959273022391</v>
      </c>
    </row>
    <row r="56" spans="1:24" x14ac:dyDescent="0.45">
      <c r="A56" s="86" t="s">
        <v>61</v>
      </c>
      <c r="B56" s="86" t="s">
        <v>41</v>
      </c>
      <c r="C56" s="86" t="s">
        <v>42</v>
      </c>
      <c r="D56" s="86" t="s">
        <v>39</v>
      </c>
      <c r="E56" s="86" t="s">
        <v>34</v>
      </c>
      <c r="F56" s="88" t="s">
        <v>40</v>
      </c>
      <c r="G56" s="88" t="s">
        <v>40</v>
      </c>
      <c r="H56" s="88" t="s">
        <v>40</v>
      </c>
      <c r="I56" s="88" t="s">
        <v>40</v>
      </c>
      <c r="J56" s="88" t="s">
        <v>40</v>
      </c>
      <c r="K56" s="88" t="s">
        <v>40</v>
      </c>
      <c r="L56" s="88" t="s">
        <v>40</v>
      </c>
      <c r="M56" s="88" t="s">
        <v>40</v>
      </c>
      <c r="N56" s="88" t="s">
        <v>40</v>
      </c>
      <c r="O56" s="88" t="s">
        <v>40</v>
      </c>
      <c r="P56" s="88" t="s">
        <v>40</v>
      </c>
      <c r="Q56" s="88" t="s">
        <v>40</v>
      </c>
      <c r="R56" s="88" t="s">
        <v>40</v>
      </c>
      <c r="S56" s="88" t="s">
        <v>40</v>
      </c>
      <c r="T56" s="88" t="s">
        <v>40</v>
      </c>
      <c r="U56" s="88" t="s">
        <v>40</v>
      </c>
      <c r="V56" s="88" t="s">
        <v>40</v>
      </c>
      <c r="W56" s="88" t="s">
        <v>40</v>
      </c>
      <c r="X56" s="88" t="s">
        <v>40</v>
      </c>
    </row>
    <row r="57" spans="1:24" x14ac:dyDescent="0.45">
      <c r="A57" s="86" t="s">
        <v>61</v>
      </c>
      <c r="B57" s="86" t="s">
        <v>43</v>
      </c>
      <c r="C57" s="86" t="s">
        <v>44</v>
      </c>
      <c r="D57" s="86" t="s">
        <v>45</v>
      </c>
      <c r="E57" s="86" t="s">
        <v>34</v>
      </c>
      <c r="F57" s="88" t="s">
        <v>40</v>
      </c>
      <c r="G57" s="88" t="s">
        <v>40</v>
      </c>
      <c r="H57" s="88" t="s">
        <v>40</v>
      </c>
      <c r="I57" s="88" t="s">
        <v>40</v>
      </c>
      <c r="J57" s="88" t="s">
        <v>40</v>
      </c>
      <c r="K57" s="88" t="s">
        <v>40</v>
      </c>
      <c r="L57" s="88" t="s">
        <v>40</v>
      </c>
      <c r="M57" s="88" t="s">
        <v>40</v>
      </c>
      <c r="N57" s="88" t="s">
        <v>40</v>
      </c>
      <c r="O57" s="88" t="s">
        <v>40</v>
      </c>
      <c r="P57" s="88" t="s">
        <v>40</v>
      </c>
      <c r="Q57" s="88" t="s">
        <v>40</v>
      </c>
      <c r="R57" s="88" t="s">
        <v>40</v>
      </c>
      <c r="S57" s="88" t="s">
        <v>40</v>
      </c>
      <c r="T57" s="88" t="s">
        <v>40</v>
      </c>
      <c r="U57" s="88" t="s">
        <v>40</v>
      </c>
      <c r="V57" s="88" t="s">
        <v>40</v>
      </c>
      <c r="W57" s="88" t="s">
        <v>40</v>
      </c>
      <c r="X57" s="88" t="s">
        <v>40</v>
      </c>
    </row>
    <row r="58" spans="1:24" x14ac:dyDescent="0.45"/>
    <row r="59" spans="1:24" x14ac:dyDescent="0.45"/>
    <row r="60" spans="1:24" s="102" customFormat="1" x14ac:dyDescent="0.45">
      <c r="A60" s="100" t="s">
        <v>83</v>
      </c>
      <c r="B60" s="100"/>
      <c r="C60" s="100"/>
      <c r="D60" s="100"/>
      <c r="E60" s="100"/>
      <c r="F60" s="100"/>
      <c r="G60" s="100"/>
      <c r="H60" s="100"/>
      <c r="I60" s="100"/>
      <c r="J60" s="100"/>
      <c r="K60" s="100"/>
      <c r="L60" s="101"/>
      <c r="M60" s="101"/>
      <c r="N60" s="101"/>
      <c r="O60" s="101"/>
      <c r="P60" s="101"/>
      <c r="Q60" s="101"/>
      <c r="R60" s="101"/>
      <c r="S60" s="101"/>
      <c r="T60" s="101"/>
      <c r="U60" s="101"/>
      <c r="V60" s="101"/>
      <c r="W60" s="10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0D04-9185-4449-9AA6-8BD048798B9E}">
  <sheetPr codeName="Sheet4">
    <tabColor rgb="FFFFDB8E"/>
  </sheetPr>
  <dimension ref="A1:W103"/>
  <sheetViews>
    <sheetView showGridLines="0" zoomScale="80" zoomScaleNormal="80" workbookViewId="0">
      <pane ySplit="5" topLeftCell="A6"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2" customWidth="1"/>
    <col min="6" max="6" width="20.375" style="2" bestFit="1" customWidth="1"/>
    <col min="7" max="7" width="35.875" style="2" customWidth="1"/>
    <col min="8" max="8" width="7.875" style="2" customWidth="1"/>
    <col min="9" max="9" width="10" style="98" bestFit="1" customWidth="1"/>
    <col min="10" max="10" width="16.75" style="98" bestFit="1" customWidth="1"/>
    <col min="11" max="11" width="2.75" style="2" customWidth="1"/>
    <col min="12" max="12" width="9.375" style="92" customWidth="1"/>
    <col min="13" max="23" width="9" style="92" customWidth="1"/>
    <col min="24" max="16384" width="9" style="86" hidden="1"/>
  </cols>
  <sheetData>
    <row r="1" spans="1:23" ht="30.75" x14ac:dyDescent="0.45">
      <c r="A1" s="4" t="str">
        <f ca="1">RIGHT(CELL("filename", A1), LEN(CELL("filename", A1)) - SEARCH("]", CELL("filename", A1)))</f>
        <v>PCC.Inputs</v>
      </c>
      <c r="B1" s="4"/>
      <c r="C1" s="4"/>
      <c r="D1" s="5"/>
      <c r="E1" s="4"/>
      <c r="F1" s="4"/>
      <c r="G1" s="4"/>
      <c r="H1" s="4"/>
      <c r="I1" s="31"/>
      <c r="J1" s="31"/>
      <c r="K1" s="4"/>
      <c r="L1" s="37"/>
      <c r="M1" s="37"/>
      <c r="N1" s="37"/>
      <c r="O1" s="37"/>
      <c r="P1" s="37"/>
      <c r="Q1" s="37"/>
      <c r="R1" s="37"/>
      <c r="S1" s="37"/>
      <c r="T1" s="37"/>
      <c r="U1" s="37"/>
      <c r="V1" s="37"/>
      <c r="W1" s="37"/>
    </row>
    <row r="2" spans="1:23" x14ac:dyDescent="0.45">
      <c r="E2" s="1"/>
      <c r="F2" s="1"/>
      <c r="G2" s="1"/>
      <c r="H2" s="1"/>
      <c r="I2" s="32"/>
      <c r="J2" s="32"/>
      <c r="K2" s="1"/>
      <c r="L2" s="43" t="s">
        <v>18</v>
      </c>
      <c r="M2" s="43" t="s">
        <v>19</v>
      </c>
      <c r="N2" s="43" t="s">
        <v>20</v>
      </c>
      <c r="O2" s="43" t="s">
        <v>21</v>
      </c>
      <c r="P2" s="43" t="s">
        <v>22</v>
      </c>
      <c r="Q2" s="43" t="s">
        <v>23</v>
      </c>
      <c r="R2" s="43" t="s">
        <v>24</v>
      </c>
      <c r="S2" s="43" t="s">
        <v>25</v>
      </c>
      <c r="T2" s="43" t="s">
        <v>26</v>
      </c>
      <c r="U2" s="43" t="s">
        <v>27</v>
      </c>
      <c r="V2" s="43" t="s">
        <v>28</v>
      </c>
      <c r="W2" s="38"/>
    </row>
    <row r="3" spans="1:23" x14ac:dyDescent="0.45">
      <c r="E3" s="7" t="s">
        <v>62</v>
      </c>
      <c r="F3" s="7" t="s">
        <v>63</v>
      </c>
      <c r="G3" s="7" t="s">
        <v>64</v>
      </c>
      <c r="H3" s="7" t="s">
        <v>13</v>
      </c>
      <c r="I3" s="33" t="s">
        <v>65</v>
      </c>
      <c r="J3" s="33" t="s">
        <v>66</v>
      </c>
      <c r="K3" s="1"/>
      <c r="L3" s="38"/>
      <c r="M3" s="38"/>
      <c r="N3" s="38"/>
      <c r="O3" s="38"/>
      <c r="P3" s="38"/>
      <c r="Q3" s="38"/>
      <c r="R3" s="38"/>
      <c r="S3" s="38"/>
      <c r="T3" s="38"/>
      <c r="U3" s="38"/>
      <c r="V3" s="38"/>
      <c r="W3" s="38"/>
    </row>
    <row r="4" spans="1:23" x14ac:dyDescent="0.45">
      <c r="E4" s="1"/>
      <c r="F4" s="6"/>
      <c r="G4" s="1"/>
      <c r="H4" s="1"/>
      <c r="I4" s="32"/>
      <c r="J4" s="32"/>
      <c r="K4" s="1"/>
      <c r="L4" s="38"/>
      <c r="M4" s="38"/>
      <c r="N4" s="38"/>
      <c r="O4" s="38"/>
      <c r="P4" s="38"/>
      <c r="Q4" s="38"/>
      <c r="R4" s="38"/>
      <c r="S4" s="38"/>
      <c r="T4" s="38"/>
      <c r="U4" s="38"/>
      <c r="V4" s="38"/>
      <c r="W4" s="38"/>
    </row>
    <row r="5" spans="1:23" x14ac:dyDescent="0.45">
      <c r="E5" s="1"/>
      <c r="F5" s="1"/>
      <c r="G5" s="1"/>
      <c r="H5" s="1"/>
      <c r="I5" s="32"/>
      <c r="J5" s="32"/>
      <c r="K5" s="3"/>
      <c r="L5" s="38"/>
      <c r="M5" s="38"/>
      <c r="N5" s="38"/>
      <c r="O5" s="38"/>
      <c r="P5" s="38"/>
      <c r="Q5" s="38"/>
      <c r="R5" s="38"/>
      <c r="S5" s="38"/>
      <c r="T5" s="38"/>
      <c r="U5" s="38"/>
      <c r="V5" s="38"/>
      <c r="W5" s="38"/>
    </row>
    <row r="6" spans="1:23" x14ac:dyDescent="0.45">
      <c r="E6" s="1"/>
      <c r="F6" s="1"/>
      <c r="G6" s="1"/>
      <c r="H6" s="1"/>
      <c r="I6" s="32"/>
      <c r="J6" s="32"/>
      <c r="K6" s="8"/>
      <c r="L6" s="42"/>
      <c r="M6" s="42"/>
      <c r="N6" s="42"/>
      <c r="O6" s="42"/>
      <c r="P6" s="42"/>
      <c r="Q6" s="38"/>
      <c r="R6" s="38"/>
      <c r="S6" s="38"/>
      <c r="T6" s="38"/>
      <c r="U6" s="38"/>
      <c r="V6" s="38"/>
      <c r="W6" s="38"/>
    </row>
    <row r="7" spans="1:23" x14ac:dyDescent="0.45">
      <c r="A7" s="90" t="s">
        <v>67</v>
      </c>
      <c r="B7" s="90"/>
      <c r="C7" s="90"/>
      <c r="D7" s="90"/>
      <c r="E7" s="90"/>
      <c r="F7" s="90"/>
      <c r="G7" s="90"/>
      <c r="H7" s="90"/>
      <c r="I7" s="90"/>
      <c r="J7" s="90"/>
      <c r="K7" s="90"/>
      <c r="L7" s="91"/>
      <c r="M7" s="91"/>
      <c r="N7" s="91"/>
      <c r="O7" s="91"/>
      <c r="P7" s="91"/>
      <c r="Q7" s="91"/>
      <c r="R7" s="91"/>
      <c r="S7" s="91"/>
      <c r="T7" s="91"/>
      <c r="U7" s="91"/>
      <c r="V7" s="91"/>
      <c r="W7" s="91"/>
    </row>
    <row r="8" spans="1:23" x14ac:dyDescent="0.45">
      <c r="A8" s="1"/>
      <c r="E8" s="1"/>
      <c r="F8" s="1"/>
      <c r="G8" s="1"/>
      <c r="H8" s="1"/>
      <c r="I8" s="32"/>
      <c r="J8" s="32"/>
      <c r="K8" s="1"/>
      <c r="L8" s="38"/>
      <c r="M8" s="38"/>
      <c r="N8" s="38"/>
      <c r="O8" s="38"/>
      <c r="P8" s="38"/>
      <c r="Q8" s="38"/>
      <c r="R8" s="38"/>
      <c r="S8" s="38"/>
      <c r="T8" s="38"/>
      <c r="W8" s="38"/>
    </row>
    <row r="9" spans="1:23" x14ac:dyDescent="0.45">
      <c r="A9" s="1"/>
      <c r="E9" s="1" t="s">
        <v>36</v>
      </c>
      <c r="F9" s="1" t="s">
        <v>68</v>
      </c>
      <c r="G9" s="1" t="s">
        <v>69</v>
      </c>
      <c r="H9" s="1" t="s">
        <v>39</v>
      </c>
      <c r="I9" s="32" t="str" cm="1">
        <f t="array" ref="I9">_xlfn.IFS(E9="UUW","NWT",OR(E9="NES (NNE)",E9="NES (ESK)"),"NES",OR(E9="SSC (SST)",E9="SSC (CAM)"),"SSC",TRUE,E9)</f>
        <v>ANH</v>
      </c>
      <c r="J9" s="32" t="s">
        <v>37</v>
      </c>
      <c r="K9" s="8"/>
      <c r="L9" s="44"/>
      <c r="M9" s="45"/>
      <c r="N9" s="45"/>
      <c r="O9" s="45"/>
      <c r="P9" s="45"/>
      <c r="Q9" s="46">
        <f>SUMIFS(F_Inputs!N$7:N$132,F_Inputs!$A$7:$A$132,PCC.Inputs!$I9,F_Inputs!$B$7:$B$132,PCC.Inputs!$J9)</f>
        <v>134.99390587025869</v>
      </c>
      <c r="R9" s="46">
        <f>SUMIFS(F_Inputs!O$7:O$132,F_Inputs!$A$7:$A$132,PCC.Inputs!$I9,F_Inputs!$B$7:$B$132,PCC.Inputs!$J9)</f>
        <v>139.03659133118819</v>
      </c>
      <c r="S9" s="46">
        <f>SUMIFS(F_Inputs!P$7:P$132,F_Inputs!$A$7:$A$132,PCC.Inputs!$I9,F_Inputs!$B$7:$B$132,PCC.Inputs!$J9)</f>
        <v>138.72994372307599</v>
      </c>
      <c r="T9" s="46">
        <f>SUMIFS(F_Inputs!Q$7:Q$132,F_Inputs!$A$7:$A$132,PCC.Inputs!$I9,F_Inputs!$B$7:$B$132,PCC.Inputs!$J9)</f>
        <v>138.40088832477699</v>
      </c>
      <c r="U9" s="46">
        <f>SUMIFS(F_Inputs!R$7:R$132,F_Inputs!$A$7:$A$132,PCC.Inputs!$I9,F_Inputs!$B$7:$B$132,PCC.Inputs!$J9)</f>
        <v>131.947990588941</v>
      </c>
      <c r="V9" s="45"/>
      <c r="W9" s="38"/>
    </row>
    <row r="10" spans="1:23" hidden="1" outlineLevel="1" x14ac:dyDescent="0.45">
      <c r="A10" s="1"/>
      <c r="E10" s="1" t="s">
        <v>46</v>
      </c>
      <c r="F10" s="1" t="s">
        <v>68</v>
      </c>
      <c r="G10" s="1" t="s">
        <v>69</v>
      </c>
      <c r="H10" s="1" t="s">
        <v>39</v>
      </c>
      <c r="I10" s="32" t="str" cm="1">
        <f t="array" ref="I10">_xlfn.IFS(E10="UUW","NWT",OR(E10="NES (NNE)",E10="NES (ESK)"),"NES",OR(E10="SSC (SST)",E10="SSC (CAM)"),"SSC",TRUE,E10)</f>
        <v>WSH</v>
      </c>
      <c r="J10" s="32" t="s">
        <v>37</v>
      </c>
      <c r="K10" s="8"/>
      <c r="L10" s="44"/>
      <c r="M10" s="45"/>
      <c r="N10" s="45"/>
      <c r="O10" s="45"/>
      <c r="P10" s="45"/>
      <c r="Q10" s="46">
        <f>SUMIFS(F_Inputs!N$7:N$132,F_Inputs!$A$7:$A$132,PCC.Inputs!$I10,F_Inputs!$B$7:$B$132,PCC.Inputs!$J10)</f>
        <v>145.70440654750919</v>
      </c>
      <c r="R10" s="46">
        <f>SUMIFS(F_Inputs!O$7:O$132,F_Inputs!$A$7:$A$132,PCC.Inputs!$I10,F_Inputs!$B$7:$B$132,PCC.Inputs!$J10)</f>
        <v>151.45371379689391</v>
      </c>
      <c r="S10" s="46">
        <f>SUMIFS(F_Inputs!P$7:P$132,F_Inputs!$A$7:$A$132,PCC.Inputs!$I10,F_Inputs!$B$7:$B$132,PCC.Inputs!$J10)</f>
        <v>153.85332306630539</v>
      </c>
      <c r="T10" s="46">
        <f>SUMIFS(F_Inputs!Q$7:Q$132,F_Inputs!$A$7:$A$132,PCC.Inputs!$I10,F_Inputs!$B$7:$B$132,PCC.Inputs!$J10)</f>
        <v>154.7990234225025</v>
      </c>
      <c r="U10" s="46">
        <f>SUMIFS(F_Inputs!R$7:R$132,F_Inputs!$A$7:$A$132,PCC.Inputs!$I10,F_Inputs!$B$7:$B$132,PCC.Inputs!$J10)</f>
        <v>150.6851666194087</v>
      </c>
      <c r="V10" s="45"/>
      <c r="W10" s="38"/>
    </row>
    <row r="11" spans="1:23" hidden="1" outlineLevel="1" x14ac:dyDescent="0.45">
      <c r="A11" s="1"/>
      <c r="E11" s="1" t="s">
        <v>47</v>
      </c>
      <c r="F11" s="1" t="s">
        <v>68</v>
      </c>
      <c r="G11" s="1" t="s">
        <v>69</v>
      </c>
      <c r="H11" s="1" t="s">
        <v>39</v>
      </c>
      <c r="I11" s="32" t="str" cm="1">
        <f t="array" ref="I11">_xlfn.IFS(E11="UUW","NWT",OR(E11="NES (NNE)",E11="NES (ESK)"),"NES",OR(E11="SSC (SST)",E11="SSC (CAM)"),"SSC",TRUE,E11)</f>
        <v>HDD</v>
      </c>
      <c r="J11" s="32" t="s">
        <v>37</v>
      </c>
      <c r="K11" s="8"/>
      <c r="L11" s="44"/>
      <c r="M11" s="45"/>
      <c r="N11" s="45"/>
      <c r="O11" s="45"/>
      <c r="P11" s="45"/>
      <c r="Q11" s="46">
        <f>SUMIFS(F_Inputs!N$7:N$132,F_Inputs!$A$7:$A$132,PCC.Inputs!$I11,F_Inputs!$B$7:$B$132,PCC.Inputs!$J11)</f>
        <v>128.94098993391259</v>
      </c>
      <c r="R11" s="46">
        <f>SUMIFS(F_Inputs!O$7:O$132,F_Inputs!$A$7:$A$132,PCC.Inputs!$I11,F_Inputs!$B$7:$B$132,PCC.Inputs!$J11)</f>
        <v>131.379775224658</v>
      </c>
      <c r="S11" s="46">
        <f>SUMIFS(F_Inputs!P$7:P$132,F_Inputs!$A$7:$A$132,PCC.Inputs!$I11,F_Inputs!$B$7:$B$132,PCC.Inputs!$J11)</f>
        <v>133.6536725840005</v>
      </c>
      <c r="T11" s="46">
        <f>SUMIFS(F_Inputs!Q$7:Q$132,F_Inputs!$A$7:$A$132,PCC.Inputs!$I11,F_Inputs!$B$7:$B$132,PCC.Inputs!$J11)</f>
        <v>135.07889163186209</v>
      </c>
      <c r="U11" s="46">
        <f>SUMIFS(F_Inputs!R$7:R$132,F_Inputs!$A$7:$A$132,PCC.Inputs!$I11,F_Inputs!$B$7:$B$132,PCC.Inputs!$J11)</f>
        <v>130.59066086119751</v>
      </c>
      <c r="V11" s="45"/>
      <c r="W11" s="38"/>
    </row>
    <row r="12" spans="1:23" hidden="1" outlineLevel="1" x14ac:dyDescent="0.45">
      <c r="A12" s="1"/>
      <c r="E12" s="1" t="s">
        <v>48</v>
      </c>
      <c r="F12" s="1" t="s">
        <v>68</v>
      </c>
      <c r="G12" s="1" t="s">
        <v>69</v>
      </c>
      <c r="H12" s="1" t="s">
        <v>39</v>
      </c>
      <c r="I12" s="32" t="str" cm="1">
        <f t="array" ref="I12">_xlfn.IFS(E12="UUW","NWT",OR(E12="NES (NNE)",E12="NES (ESK)"),"NES",OR(E12="SSC (SST)",E12="SSC (CAM)"),"SSC",TRUE,E12)</f>
        <v>NES</v>
      </c>
      <c r="J12" s="32" t="s">
        <v>37</v>
      </c>
      <c r="K12" s="8"/>
      <c r="L12" s="44"/>
      <c r="M12" s="45"/>
      <c r="N12" s="45"/>
      <c r="O12" s="45"/>
      <c r="P12" s="45"/>
      <c r="Q12" s="46">
        <f>SUMIFS(F_Inputs!N$7:N$132,F_Inputs!$A$7:$A$132,PCC.Inputs!$I12,F_Inputs!$B$7:$B$132,PCC.Inputs!$J12)</f>
        <v>150.65616974618641</v>
      </c>
      <c r="R12" s="46">
        <f>SUMIFS(F_Inputs!O$7:O$132,F_Inputs!$A$7:$A$132,PCC.Inputs!$I12,F_Inputs!$B$7:$B$132,PCC.Inputs!$J12)</f>
        <v>156.2989600039657</v>
      </c>
      <c r="S12" s="46">
        <f>SUMIFS(F_Inputs!P$7:P$132,F_Inputs!$A$7:$A$132,PCC.Inputs!$I12,F_Inputs!$B$7:$B$132,PCC.Inputs!$J12)</f>
        <v>157.7171412984892</v>
      </c>
      <c r="T12" s="46">
        <f>SUMIFS(F_Inputs!Q$7:Q$132,F_Inputs!$A$7:$A$132,PCC.Inputs!$I12,F_Inputs!$B$7:$B$132,PCC.Inputs!$J12)</f>
        <v>159.10007510952079</v>
      </c>
      <c r="U12" s="46">
        <f>SUMIFS(F_Inputs!R$7:R$132,F_Inputs!$A$7:$A$132,PCC.Inputs!$I12,F_Inputs!$B$7:$B$132,PCC.Inputs!$J12)</f>
        <v>154.7120945772464</v>
      </c>
      <c r="V12" s="45"/>
      <c r="W12" s="38"/>
    </row>
    <row r="13" spans="1:23" hidden="1" outlineLevel="1" x14ac:dyDescent="0.45">
      <c r="A13" s="1"/>
      <c r="E13" s="9" t="s">
        <v>70</v>
      </c>
      <c r="F13" s="1" t="s">
        <v>68</v>
      </c>
      <c r="G13" s="1" t="s">
        <v>71</v>
      </c>
      <c r="H13" s="1" t="s">
        <v>39</v>
      </c>
      <c r="I13" s="32" t="str" cm="1">
        <f t="array" ref="I13">_xlfn.IFS(E13="UUW","NWT",OR(E13="NES (NNE)",E13="NES (ESK)"),"NES",OR(E13="SSC (SST)",E13="SSC (CAM)"),"SSC",TRUE,E13)</f>
        <v>NES</v>
      </c>
      <c r="J13" s="32" t="s">
        <v>41</v>
      </c>
      <c r="K13" s="8"/>
      <c r="L13" s="44"/>
      <c r="M13" s="45"/>
      <c r="N13" s="45"/>
      <c r="O13" s="45"/>
      <c r="P13" s="45"/>
      <c r="Q13" s="46">
        <f>SUMIFS(F_Inputs!N$7:N$132,F_Inputs!$A$7:$A$132,PCC.Inputs!$I13,F_Inputs!$B$7:$B$132,PCC.Inputs!$J13)</f>
        <v>145.9475528734543</v>
      </c>
      <c r="R13" s="46">
        <f>SUMIFS(F_Inputs!O$7:O$132,F_Inputs!$A$7:$A$132,PCC.Inputs!$I13,F_Inputs!$B$7:$B$132,PCC.Inputs!$J13)</f>
        <v>152.26499754166099</v>
      </c>
      <c r="S13" s="46">
        <f>SUMIFS(F_Inputs!P$7:P$132,F_Inputs!$A$7:$A$132,PCC.Inputs!$I13,F_Inputs!$B$7:$B$132,PCC.Inputs!$J13)</f>
        <v>155.2811726516158</v>
      </c>
      <c r="T13" s="46">
        <f>SUMIFS(F_Inputs!Q$7:Q$132,F_Inputs!$A$7:$A$132,PCC.Inputs!$I13,F_Inputs!$B$7:$B$132,PCC.Inputs!$J13)</f>
        <v>157.89836784371749</v>
      </c>
      <c r="U13" s="46">
        <f>SUMIFS(F_Inputs!R$7:R$132,F_Inputs!$A$7:$A$132,PCC.Inputs!$I13,F_Inputs!$B$7:$B$132,PCC.Inputs!$J13)</f>
        <v>154.40186264115709</v>
      </c>
      <c r="V13" s="45"/>
      <c r="W13" s="38"/>
    </row>
    <row r="14" spans="1:23" hidden="1" outlineLevel="1" x14ac:dyDescent="0.45">
      <c r="A14" s="1"/>
      <c r="E14" s="9" t="s">
        <v>72</v>
      </c>
      <c r="F14" s="1" t="s">
        <v>68</v>
      </c>
      <c r="G14" s="1" t="s">
        <v>73</v>
      </c>
      <c r="H14" s="1" t="s">
        <v>39</v>
      </c>
      <c r="I14" s="32" t="str" cm="1">
        <f t="array" ref="I14">_xlfn.IFS(E14="UUW","NWT",OR(E14="NES (NNE)",E14="NES (ESK)"),"NES",OR(E14="SSC (SST)",E14="SSC (CAM)"),"SSC",TRUE,E14)</f>
        <v>NES</v>
      </c>
      <c r="J14" s="32" t="s">
        <v>43</v>
      </c>
      <c r="K14" s="8"/>
      <c r="L14" s="44"/>
      <c r="M14" s="45"/>
      <c r="N14" s="45"/>
      <c r="O14" s="45"/>
      <c r="P14" s="45"/>
      <c r="Q14" s="46">
        <f>SUMIFS(F_Inputs!N$7:N$132,F_Inputs!$A$7:$A$132,PCC.Inputs!$I14,F_Inputs!$B$7:$B$132,PCC.Inputs!$J14)</f>
        <v>156.8240933940771</v>
      </c>
      <c r="R14" s="46">
        <f>SUMIFS(F_Inputs!O$7:O$132,F_Inputs!$A$7:$A$132,PCC.Inputs!$I14,F_Inputs!$B$7:$B$132,PCC.Inputs!$J14)</f>
        <v>161.572438942611</v>
      </c>
      <c r="S14" s="46">
        <f>SUMIFS(F_Inputs!P$7:P$132,F_Inputs!$A$7:$A$132,PCC.Inputs!$I14,F_Inputs!$B$7:$B$132,PCC.Inputs!$J14)</f>
        <v>160.90771502175591</v>
      </c>
      <c r="T14" s="46">
        <f>SUMIFS(F_Inputs!Q$7:Q$132,F_Inputs!$A$7:$A$132,PCC.Inputs!$I14,F_Inputs!$B$7:$B$132,PCC.Inputs!$J14)</f>
        <v>160.69273081957789</v>
      </c>
      <c r="U14" s="46">
        <f>SUMIFS(F_Inputs!R$7:R$132,F_Inputs!$A$7:$A$132,PCC.Inputs!$I14,F_Inputs!$B$7:$B$132,PCC.Inputs!$J14)</f>
        <v>155.13371669948111</v>
      </c>
      <c r="V14" s="45"/>
      <c r="W14" s="38"/>
    </row>
    <row r="15" spans="1:23" hidden="1" outlineLevel="1" x14ac:dyDescent="0.45">
      <c r="A15" s="1"/>
      <c r="E15" s="1" t="s">
        <v>49</v>
      </c>
      <c r="F15" s="1" t="s">
        <v>68</v>
      </c>
      <c r="G15" s="1" t="s">
        <v>69</v>
      </c>
      <c r="H15" s="1" t="s">
        <v>39</v>
      </c>
      <c r="I15" s="32" t="str" cm="1">
        <f t="array" ref="I15">_xlfn.IFS(E15="UUW","NWT",OR(E15="NES (NNE)",E15="NES (ESK)"),"NES",OR(E15="SSC (SST)",E15="SSC (CAM)"),"SSC",TRUE,E15)</f>
        <v>SVE</v>
      </c>
      <c r="J15" s="32" t="s">
        <v>37</v>
      </c>
      <c r="K15" s="8"/>
      <c r="L15" s="44"/>
      <c r="M15" s="45"/>
      <c r="N15" s="45"/>
      <c r="O15" s="45"/>
      <c r="P15" s="45"/>
      <c r="Q15" s="46">
        <f>SUMIFS(F_Inputs!N$7:N$132,F_Inputs!$A$7:$A$132,PCC.Inputs!$I15,F_Inputs!$B$7:$B$132,PCC.Inputs!$J15)</f>
        <v>133.69999999999999</v>
      </c>
      <c r="R15" s="46">
        <f>SUMIFS(F_Inputs!O$7:O$132,F_Inputs!$A$7:$A$132,PCC.Inputs!$I15,F_Inputs!$B$7:$B$132,PCC.Inputs!$J15)</f>
        <v>137.13333333333341</v>
      </c>
      <c r="S15" s="46">
        <f>SUMIFS(F_Inputs!P$7:P$132,F_Inputs!$A$7:$A$132,PCC.Inputs!$I15,F_Inputs!$B$7:$B$132,PCC.Inputs!$J15)</f>
        <v>138.4</v>
      </c>
      <c r="T15" s="46">
        <f>SUMIFS(F_Inputs!Q$7:Q$132,F_Inputs!$A$7:$A$132,PCC.Inputs!$I15,F_Inputs!$B$7:$B$132,PCC.Inputs!$J15)</f>
        <v>137.53195546546641</v>
      </c>
      <c r="U15" s="46">
        <f>SUMIFS(F_Inputs!R$7:R$132,F_Inputs!$A$7:$A$132,PCC.Inputs!$I15,F_Inputs!$B$7:$B$132,PCC.Inputs!$J15)</f>
        <v>131.25653047625369</v>
      </c>
      <c r="V15" s="45"/>
      <c r="W15" s="38"/>
    </row>
    <row r="16" spans="1:23" hidden="1" outlineLevel="1" x14ac:dyDescent="0.45">
      <c r="A16" s="1"/>
      <c r="E16" s="1" t="s">
        <v>50</v>
      </c>
      <c r="F16" s="1" t="s">
        <v>68</v>
      </c>
      <c r="G16" s="1" t="s">
        <v>69</v>
      </c>
      <c r="H16" s="1" t="s">
        <v>39</v>
      </c>
      <c r="I16" s="32" t="str" cm="1">
        <f t="array" ref="I16">_xlfn.IFS(E16="UUW","NWT",OR(E16="NES (NNE)",E16="NES (ESK)"),"NES",OR(E16="SSC (SST)",E16="SSC (CAM)"),"SSC",TRUE,E16)</f>
        <v>SWB</v>
      </c>
      <c r="J16" s="32" t="s">
        <v>37</v>
      </c>
      <c r="K16" s="8"/>
      <c r="L16" s="44"/>
      <c r="M16" s="45"/>
      <c r="N16" s="45"/>
      <c r="O16" s="45"/>
      <c r="P16" s="45"/>
      <c r="Q16" s="46">
        <f>SUMIFS(F_Inputs!N$7:N$132,F_Inputs!$A$7:$A$132,PCC.Inputs!$I16,F_Inputs!$B$7:$B$132,PCC.Inputs!$J16)</f>
        <v>146.01339378702161</v>
      </c>
      <c r="R16" s="46">
        <f>SUMIFS(F_Inputs!O$7:O$132,F_Inputs!$A$7:$A$132,PCC.Inputs!$I16,F_Inputs!$B$7:$B$132,PCC.Inputs!$J16)</f>
        <v>144.91414120469369</v>
      </c>
      <c r="S16" s="46">
        <f>SUMIFS(F_Inputs!P$7:P$132,F_Inputs!$A$7:$A$132,PCC.Inputs!$I16,F_Inputs!$B$7:$B$132,PCC.Inputs!$J16)</f>
        <v>142.08015103660441</v>
      </c>
      <c r="T16" s="46">
        <f>SUMIFS(F_Inputs!Q$7:Q$132,F_Inputs!$A$7:$A$132,PCC.Inputs!$I16,F_Inputs!$B$7:$B$132,PCC.Inputs!$J16)</f>
        <v>144.936321285498</v>
      </c>
      <c r="U16" s="46">
        <f>SUMIFS(F_Inputs!R$7:R$132,F_Inputs!$A$7:$A$132,PCC.Inputs!$I16,F_Inputs!$B$7:$B$132,PCC.Inputs!$J16)</f>
        <v>147.7929715049807</v>
      </c>
      <c r="V16" s="45"/>
      <c r="W16" s="38"/>
    </row>
    <row r="17" spans="1:23" hidden="1" outlineLevel="1" x14ac:dyDescent="0.45">
      <c r="A17" s="1"/>
      <c r="E17" s="1" t="s">
        <v>51</v>
      </c>
      <c r="F17" s="1" t="s">
        <v>68</v>
      </c>
      <c r="G17" s="1" t="s">
        <v>69</v>
      </c>
      <c r="H17" s="1" t="s">
        <v>39</v>
      </c>
      <c r="I17" s="32" t="str" cm="1">
        <f t="array" ref="I17">_xlfn.IFS(E17="UUW","NWT",OR(E17="NES (NNE)",E17="NES (ESK)"),"NES",OR(E17="SSC (SST)",E17="SSC (CAM)"),"SSC",TRUE,E17)</f>
        <v>SRN</v>
      </c>
      <c r="J17" s="32" t="s">
        <v>37</v>
      </c>
      <c r="K17" s="8"/>
      <c r="L17" s="44"/>
      <c r="M17" s="45"/>
      <c r="N17" s="45"/>
      <c r="O17" s="45"/>
      <c r="P17" s="45"/>
      <c r="Q17" s="46">
        <f>SUMIFS(F_Inputs!N$7:N$132,F_Inputs!$A$7:$A$132,PCC.Inputs!$I17,F_Inputs!$B$7:$B$132,PCC.Inputs!$J17)</f>
        <v>127.9631162358079</v>
      </c>
      <c r="R17" s="46">
        <f>SUMIFS(F_Inputs!O$7:O$132,F_Inputs!$A$7:$A$132,PCC.Inputs!$I17,F_Inputs!$B$7:$B$132,PCC.Inputs!$J17)</f>
        <v>131.7457647018056</v>
      </c>
      <c r="S17" s="46">
        <f>SUMIFS(F_Inputs!P$7:P$132,F_Inputs!$A$7:$A$132,PCC.Inputs!$I17,F_Inputs!$B$7:$B$132,PCC.Inputs!$J17)</f>
        <v>132.77548172827159</v>
      </c>
      <c r="T17" s="46">
        <f>SUMIFS(F_Inputs!Q$7:Q$132,F_Inputs!$A$7:$A$132,PCC.Inputs!$I17,F_Inputs!$B$7:$B$132,PCC.Inputs!$J17)</f>
        <v>133.42671993334321</v>
      </c>
      <c r="U17" s="46">
        <f>SUMIFS(F_Inputs!R$7:R$132,F_Inputs!$A$7:$A$132,PCC.Inputs!$I17,F_Inputs!$B$7:$B$132,PCC.Inputs!$J17)</f>
        <v>130.32223917674881</v>
      </c>
      <c r="V17" s="45"/>
      <c r="W17" s="38"/>
    </row>
    <row r="18" spans="1:23" hidden="1" outlineLevel="1" x14ac:dyDescent="0.45">
      <c r="A18" s="1"/>
      <c r="E18" s="1" t="s">
        <v>52</v>
      </c>
      <c r="F18" s="1" t="s">
        <v>68</v>
      </c>
      <c r="G18" s="1" t="s">
        <v>69</v>
      </c>
      <c r="H18" s="1" t="s">
        <v>39</v>
      </c>
      <c r="I18" s="32" t="str" cm="1">
        <f t="array" ref="I18">_xlfn.IFS(E18="UUW","NWT",OR(E18="NES (NNE)",E18="NES (ESK)"),"NES",OR(E18="SSC (SST)",E18="SSC (CAM)"),"SSC",TRUE,E18)</f>
        <v>TMS</v>
      </c>
      <c r="J18" s="32" t="s">
        <v>37</v>
      </c>
      <c r="K18" s="8"/>
      <c r="L18" s="44"/>
      <c r="M18" s="45"/>
      <c r="N18" s="45"/>
      <c r="O18" s="45"/>
      <c r="P18" s="45"/>
      <c r="Q18" s="46">
        <f>SUMIFS(F_Inputs!N$7:N$132,F_Inputs!$A$7:$A$132,PCC.Inputs!$I18,F_Inputs!$B$7:$B$132,PCC.Inputs!$J18)</f>
        <v>145.22165489487699</v>
      </c>
      <c r="R18" s="46">
        <f>SUMIFS(F_Inputs!O$7:O$132,F_Inputs!$A$7:$A$132,PCC.Inputs!$I18,F_Inputs!$B$7:$B$132,PCC.Inputs!$J18)</f>
        <v>147.55805721942619</v>
      </c>
      <c r="S18" s="46">
        <f>SUMIFS(F_Inputs!P$7:P$132,F_Inputs!$A$7:$A$132,PCC.Inputs!$I18,F_Inputs!$B$7:$B$132,PCC.Inputs!$J18)</f>
        <v>146.71431168046271</v>
      </c>
      <c r="T18" s="46">
        <f>SUMIFS(F_Inputs!Q$7:Q$132,F_Inputs!$A$7:$A$132,PCC.Inputs!$I18,F_Inputs!$B$7:$B$132,PCC.Inputs!$J18)</f>
        <v>145.3398957698729</v>
      </c>
      <c r="U18" s="46">
        <f>SUMIFS(F_Inputs!R$7:R$132,F_Inputs!$A$7:$A$132,PCC.Inputs!$I18,F_Inputs!$B$7:$B$132,PCC.Inputs!$J18)</f>
        <v>140.6556373438732</v>
      </c>
      <c r="V18" s="45"/>
      <c r="W18" s="38"/>
    </row>
    <row r="19" spans="1:23" hidden="1" outlineLevel="1" x14ac:dyDescent="0.45">
      <c r="A19" s="1"/>
      <c r="E19" s="1" t="s">
        <v>74</v>
      </c>
      <c r="F19" s="1" t="s">
        <v>68</v>
      </c>
      <c r="G19" s="1" t="s">
        <v>69</v>
      </c>
      <c r="H19" s="1" t="s">
        <v>39</v>
      </c>
      <c r="I19" s="32" t="str" cm="1">
        <f t="array" ref="I19">_xlfn.IFS(E19="UUW","NWT",OR(E19="NES (NNE)",E19="NES (ESK)"),"NES",OR(E19="SSC (SST)",E19="SSC (CAM)"),"SSC",TRUE,E19)</f>
        <v>NWT</v>
      </c>
      <c r="J19" s="32" t="s">
        <v>37</v>
      </c>
      <c r="K19" s="8"/>
      <c r="L19" s="44"/>
      <c r="M19" s="45"/>
      <c r="N19" s="45"/>
      <c r="O19" s="45"/>
      <c r="P19" s="45"/>
      <c r="Q19" s="46">
        <f>SUMIFS(F_Inputs!N$7:N$132,F_Inputs!$A$7:$A$132,PCC.Inputs!$I19,F_Inputs!$B$7:$B$132,PCC.Inputs!$J19)</f>
        <v>144.03056906781549</v>
      </c>
      <c r="R19" s="46">
        <f>SUMIFS(F_Inputs!O$7:O$132,F_Inputs!$A$7:$A$132,PCC.Inputs!$I19,F_Inputs!$B$7:$B$132,PCC.Inputs!$J19)</f>
        <v>146.5416068249944</v>
      </c>
      <c r="S19" s="46">
        <f>SUMIFS(F_Inputs!P$7:P$132,F_Inputs!$A$7:$A$132,PCC.Inputs!$I19,F_Inputs!$B$7:$B$132,PCC.Inputs!$J19)</f>
        <v>146.06053419056519</v>
      </c>
      <c r="T19" s="46">
        <f>SUMIFS(F_Inputs!Q$7:Q$132,F_Inputs!$A$7:$A$132,PCC.Inputs!$I19,F_Inputs!$B$7:$B$132,PCC.Inputs!$J19)</f>
        <v>144.7307355096014</v>
      </c>
      <c r="U19" s="46">
        <f>SUMIFS(F_Inputs!R$7:R$132,F_Inputs!$A$7:$A$132,PCC.Inputs!$I19,F_Inputs!$B$7:$B$132,PCC.Inputs!$J19)</f>
        <v>140.40208034614179</v>
      </c>
      <c r="V19" s="45"/>
      <c r="W19" s="38"/>
    </row>
    <row r="20" spans="1:23" hidden="1" outlineLevel="1" x14ac:dyDescent="0.45">
      <c r="A20" s="1"/>
      <c r="E20" s="1" t="s">
        <v>54</v>
      </c>
      <c r="F20" s="1" t="s">
        <v>68</v>
      </c>
      <c r="G20" s="1" t="s">
        <v>69</v>
      </c>
      <c r="H20" s="1" t="s">
        <v>39</v>
      </c>
      <c r="I20" s="32" t="str" cm="1">
        <f t="array" ref="I20">_xlfn.IFS(E20="UUW","NWT",OR(E20="NES (NNE)",E20="NES (ESK)"),"NES",OR(E20="SSC (SST)",E20="SSC (CAM)"),"SSC",TRUE,E20)</f>
        <v>WSX</v>
      </c>
      <c r="J20" s="32" t="s">
        <v>37</v>
      </c>
      <c r="K20" s="8"/>
      <c r="L20" s="44"/>
      <c r="M20" s="45"/>
      <c r="N20" s="45"/>
      <c r="O20" s="45"/>
      <c r="P20" s="45"/>
      <c r="Q20" s="46">
        <f>SUMIFS(F_Inputs!N$7:N$132,F_Inputs!$A$7:$A$132,PCC.Inputs!$I20,F_Inputs!$B$7:$B$132,PCC.Inputs!$J20)</f>
        <v>137.82381389780221</v>
      </c>
      <c r="R20" s="46">
        <f>SUMIFS(F_Inputs!O$7:O$132,F_Inputs!$A$7:$A$132,PCC.Inputs!$I20,F_Inputs!$B$7:$B$132,PCC.Inputs!$J20)</f>
        <v>143.13762841867421</v>
      </c>
      <c r="S20" s="46">
        <f>SUMIFS(F_Inputs!P$7:P$132,F_Inputs!$A$7:$A$132,PCC.Inputs!$I20,F_Inputs!$B$7:$B$132,PCC.Inputs!$J20)</f>
        <v>144.99667473492761</v>
      </c>
      <c r="T20" s="46">
        <f>SUMIFS(F_Inputs!Q$7:Q$132,F_Inputs!$A$7:$A$132,PCC.Inputs!$I20,F_Inputs!$B$7:$B$132,PCC.Inputs!$J20)</f>
        <v>145.1548143710981</v>
      </c>
      <c r="U20" s="46">
        <f>SUMIFS(F_Inputs!R$7:R$132,F_Inputs!$A$7:$A$132,PCC.Inputs!$I20,F_Inputs!$B$7:$B$132,PCC.Inputs!$J20)</f>
        <v>138.83639122945709</v>
      </c>
      <c r="V20" s="45"/>
      <c r="W20" s="38"/>
    </row>
    <row r="21" spans="1:23" hidden="1" outlineLevel="1" x14ac:dyDescent="0.45">
      <c r="A21" s="1"/>
      <c r="E21" s="1" t="s">
        <v>55</v>
      </c>
      <c r="F21" s="1" t="s">
        <v>68</v>
      </c>
      <c r="G21" s="1" t="s">
        <v>69</v>
      </c>
      <c r="H21" s="1" t="s">
        <v>39</v>
      </c>
      <c r="I21" s="32" t="str" cm="1">
        <f t="array" ref="I21">_xlfn.IFS(E21="UUW","NWT",OR(E21="NES (NNE)",E21="NES (ESK)"),"NES",OR(E21="SSC (SST)",E21="SSC (CAM)"),"SSC",TRUE,E21)</f>
        <v>YKY</v>
      </c>
      <c r="J21" s="32" t="s">
        <v>37</v>
      </c>
      <c r="K21" s="8"/>
      <c r="L21" s="44"/>
      <c r="M21" s="45"/>
      <c r="N21" s="45"/>
      <c r="O21" s="45"/>
      <c r="P21" s="45"/>
      <c r="Q21" s="46">
        <f>SUMIFS(F_Inputs!N$7:N$132,F_Inputs!$A$7:$A$132,PCC.Inputs!$I21,F_Inputs!$B$7:$B$132,PCC.Inputs!$J21)</f>
        <v>128.20208574358841</v>
      </c>
      <c r="R21" s="46">
        <f>SUMIFS(F_Inputs!O$7:O$132,F_Inputs!$A$7:$A$132,PCC.Inputs!$I21,F_Inputs!$B$7:$B$132,PCC.Inputs!$J21)</f>
        <v>132.49049098929541</v>
      </c>
      <c r="S21" s="46">
        <f>SUMIFS(F_Inputs!P$7:P$132,F_Inputs!$A$7:$A$132,PCC.Inputs!$I21,F_Inputs!$B$7:$B$132,PCC.Inputs!$J21)</f>
        <v>133.46147287983121</v>
      </c>
      <c r="T21" s="46">
        <f>SUMIFS(F_Inputs!Q$7:Q$132,F_Inputs!$A$7:$A$132,PCC.Inputs!$I21,F_Inputs!$B$7:$B$132,PCC.Inputs!$J21)</f>
        <v>132.1814179255116</v>
      </c>
      <c r="U21" s="46">
        <f>SUMIFS(F_Inputs!R$7:R$132,F_Inputs!$A$7:$A$132,PCC.Inputs!$I21,F_Inputs!$B$7:$B$132,PCC.Inputs!$J21)</f>
        <v>126.9082926509095</v>
      </c>
      <c r="V21" s="45"/>
      <c r="W21" s="38"/>
    </row>
    <row r="22" spans="1:23" hidden="1" outlineLevel="1" x14ac:dyDescent="0.45">
      <c r="A22" s="1"/>
      <c r="E22" s="1" t="s">
        <v>56</v>
      </c>
      <c r="F22" s="1" t="s">
        <v>68</v>
      </c>
      <c r="G22" s="1" t="s">
        <v>69</v>
      </c>
      <c r="H22" s="1" t="s">
        <v>39</v>
      </c>
      <c r="I22" s="32" t="str" cm="1">
        <f t="array" ref="I22">_xlfn.IFS(E22="UUW","NWT",OR(E22="NES (NNE)",E22="NES (ESK)"),"NES",OR(E22="SSC (SST)",E22="SSC (CAM)"),"SSC",TRUE,E22)</f>
        <v>AFW</v>
      </c>
      <c r="J22" s="32" t="s">
        <v>37</v>
      </c>
      <c r="K22" s="8"/>
      <c r="L22" s="44"/>
      <c r="M22" s="45"/>
      <c r="N22" s="45"/>
      <c r="O22" s="45"/>
      <c r="P22" s="45"/>
      <c r="Q22" s="46">
        <f>SUMIFS(F_Inputs!N$7:N$132,F_Inputs!$A$7:$A$132,PCC.Inputs!$I22,F_Inputs!$B$7:$B$132,PCC.Inputs!$J22)</f>
        <v>154.01455507962689</v>
      </c>
      <c r="R22" s="46">
        <f>SUMIFS(F_Inputs!O$7:O$132,F_Inputs!$A$7:$A$132,PCC.Inputs!$I22,F_Inputs!$B$7:$B$132,PCC.Inputs!$J22)</f>
        <v>159.36159031758331</v>
      </c>
      <c r="S22" s="46">
        <f>SUMIFS(F_Inputs!P$7:P$132,F_Inputs!$A$7:$A$132,PCC.Inputs!$I22,F_Inputs!$B$7:$B$132,PCC.Inputs!$J22)</f>
        <v>159.2332053149338</v>
      </c>
      <c r="T22" s="46">
        <f>SUMIFS(F_Inputs!Q$7:Q$132,F_Inputs!$A$7:$A$132,PCC.Inputs!$I22,F_Inputs!$B$7:$B$132,PCC.Inputs!$J22)</f>
        <v>160.6303898514916</v>
      </c>
      <c r="U22" s="46">
        <f>SUMIFS(F_Inputs!R$7:R$132,F_Inputs!$A$7:$A$132,PCC.Inputs!$I22,F_Inputs!$B$7:$B$132,PCC.Inputs!$J22)</f>
        <v>156.29511447989461</v>
      </c>
      <c r="V22" s="45"/>
      <c r="W22" s="38"/>
    </row>
    <row r="23" spans="1:23" hidden="1" outlineLevel="1" x14ac:dyDescent="0.45">
      <c r="A23" s="1"/>
      <c r="E23" s="1" t="s">
        <v>57</v>
      </c>
      <c r="F23" s="1" t="s">
        <v>68</v>
      </c>
      <c r="G23" s="1" t="s">
        <v>69</v>
      </c>
      <c r="H23" s="1" t="s">
        <v>39</v>
      </c>
      <c r="I23" s="32" t="str" cm="1">
        <f t="array" ref="I23">_xlfn.IFS(E23="UUW","NWT",OR(E23="NES (NNE)",E23="NES (ESK)"),"NES",OR(E23="SSC (SST)",E23="SSC (CAM)"),"SSC",TRUE,E23)</f>
        <v>BRL</v>
      </c>
      <c r="J23" s="32" t="s">
        <v>37</v>
      </c>
      <c r="K23" s="8"/>
      <c r="L23" s="44"/>
      <c r="M23" s="45"/>
      <c r="N23" s="45"/>
      <c r="O23" s="45"/>
      <c r="P23" s="45"/>
      <c r="Q23" s="46">
        <f>SUMIFS(F_Inputs!N$7:N$132,F_Inputs!$A$7:$A$132,PCC.Inputs!$I23,F_Inputs!$B$7:$B$132,PCC.Inputs!$J23)</f>
        <v>148.88289379242769</v>
      </c>
      <c r="R23" s="46">
        <f>SUMIFS(F_Inputs!O$7:O$132,F_Inputs!$A$7:$A$132,PCC.Inputs!$I23,F_Inputs!$B$7:$B$132,PCC.Inputs!$J23)</f>
        <v>152.94592790599219</v>
      </c>
      <c r="S23" s="46">
        <f>SUMIFS(F_Inputs!P$7:P$132,F_Inputs!$A$7:$A$132,PCC.Inputs!$I23,F_Inputs!$B$7:$B$132,PCC.Inputs!$J23)</f>
        <v>154.0740846106381</v>
      </c>
      <c r="T23" s="46">
        <f>SUMIFS(F_Inputs!Q$7:Q$132,F_Inputs!$A$7:$A$132,PCC.Inputs!$I23,F_Inputs!$B$7:$B$132,PCC.Inputs!$J23)</f>
        <v>154.85451184012129</v>
      </c>
      <c r="U23" s="46">
        <f>SUMIFS(F_Inputs!R$7:R$132,F_Inputs!$A$7:$A$132,PCC.Inputs!$I23,F_Inputs!$B$7:$B$132,PCC.Inputs!$J23)</f>
        <v>149.38899390318679</v>
      </c>
      <c r="V23" s="45"/>
      <c r="W23" s="38"/>
    </row>
    <row r="24" spans="1:23" hidden="1" outlineLevel="1" x14ac:dyDescent="0.45">
      <c r="A24" s="1"/>
      <c r="E24" s="1" t="s">
        <v>58</v>
      </c>
      <c r="F24" s="1" t="s">
        <v>68</v>
      </c>
      <c r="G24" s="1" t="s">
        <v>69</v>
      </c>
      <c r="H24" s="1" t="s">
        <v>39</v>
      </c>
      <c r="I24" s="32" t="str" cm="1">
        <f t="array" ref="I24">_xlfn.IFS(E24="UUW","NWT",OR(E24="NES (NNE)",E24="NES (ESK)"),"NES",OR(E24="SSC (SST)",E24="SSC (CAM)"),"SSC",TRUE,E24)</f>
        <v>SSC</v>
      </c>
      <c r="J24" s="32" t="s">
        <v>37</v>
      </c>
      <c r="K24" s="8"/>
      <c r="L24" s="44"/>
      <c r="M24" s="45"/>
      <c r="N24" s="45"/>
      <c r="O24" s="45"/>
      <c r="P24" s="45"/>
      <c r="Q24" s="46">
        <f>SUMIFS(F_Inputs!N$7:N$132,F_Inputs!$A$7:$A$132,PCC.Inputs!$I24,F_Inputs!$B$7:$B$132,PCC.Inputs!$J24)</f>
        <v>129.74004821842789</v>
      </c>
      <c r="R24" s="46">
        <f>SUMIFS(F_Inputs!O$7:O$132,F_Inputs!$A$7:$A$132,PCC.Inputs!$I24,F_Inputs!$B$7:$B$132,PCC.Inputs!$J24)</f>
        <v>136.85243125716389</v>
      </c>
      <c r="S24" s="46">
        <f>SUMIFS(F_Inputs!P$7:P$132,F_Inputs!$A$7:$A$132,PCC.Inputs!$I24,F_Inputs!$B$7:$B$132,PCC.Inputs!$J24)</f>
        <v>141.58970141812679</v>
      </c>
      <c r="T24" s="46">
        <f>SUMIFS(F_Inputs!Q$7:Q$132,F_Inputs!$A$7:$A$132,PCC.Inputs!$I24,F_Inputs!$B$7:$B$132,PCC.Inputs!$J24)</f>
        <v>146.55958411526279</v>
      </c>
      <c r="U24" s="46">
        <f>SUMIFS(F_Inputs!R$7:R$132,F_Inputs!$A$7:$A$132,PCC.Inputs!$I24,F_Inputs!$B$7:$B$132,PCC.Inputs!$J24)</f>
        <v>140.93014721666631</v>
      </c>
      <c r="V24" s="45"/>
      <c r="W24" s="38"/>
    </row>
    <row r="25" spans="1:23" hidden="1" outlineLevel="1" x14ac:dyDescent="0.45">
      <c r="A25" s="1"/>
      <c r="E25" s="1" t="s">
        <v>75</v>
      </c>
      <c r="F25" s="1" t="s">
        <v>68</v>
      </c>
      <c r="G25" s="1" t="s">
        <v>71</v>
      </c>
      <c r="H25" s="1" t="s">
        <v>39</v>
      </c>
      <c r="I25" s="32" t="str" cm="1">
        <f t="array" ref="I25">_xlfn.IFS(E25="UUW","NWT",OR(E25="NES (NNE)",E25="NES (ESK)"),"NES",OR(E25="SSC (SST)",E25="SSC (CAM)"),"SSC",TRUE,E25)</f>
        <v>SSC</v>
      </c>
      <c r="J25" s="32" t="s">
        <v>41</v>
      </c>
      <c r="K25" s="8"/>
      <c r="L25" s="44"/>
      <c r="M25" s="45"/>
      <c r="N25" s="45"/>
      <c r="O25" s="45"/>
      <c r="P25" s="45"/>
      <c r="Q25" s="46">
        <f>SUMIFS(F_Inputs!N$7:N$132,F_Inputs!$A$7:$A$132,PCC.Inputs!$I25,F_Inputs!$B$7:$B$132,PCC.Inputs!$J25)</f>
        <v>128.5377877776524</v>
      </c>
      <c r="R25" s="46">
        <f>SUMIFS(F_Inputs!O$7:O$132,F_Inputs!$A$7:$A$132,PCC.Inputs!$I25,F_Inputs!$B$7:$B$132,PCC.Inputs!$J25)</f>
        <v>136.31171411721371</v>
      </c>
      <c r="S25" s="46">
        <f>SUMIFS(F_Inputs!P$7:P$132,F_Inputs!$A$7:$A$132,PCC.Inputs!$I25,F_Inputs!$B$7:$B$132,PCC.Inputs!$J25)</f>
        <v>142.1135840589765</v>
      </c>
      <c r="T25" s="46">
        <f>SUMIFS(F_Inputs!Q$7:Q$132,F_Inputs!$A$7:$A$132,PCC.Inputs!$I25,F_Inputs!$B$7:$B$132,PCC.Inputs!$J25)</f>
        <v>147.5869496891269</v>
      </c>
      <c r="U25" s="46">
        <f>SUMIFS(F_Inputs!R$7:R$132,F_Inputs!$A$7:$A$132,PCC.Inputs!$I25,F_Inputs!$B$7:$B$132,PCC.Inputs!$J25)</f>
        <v>142.9218200348659</v>
      </c>
      <c r="V25" s="45"/>
      <c r="W25" s="38"/>
    </row>
    <row r="26" spans="1:23" hidden="1" outlineLevel="1" x14ac:dyDescent="0.45">
      <c r="A26" s="1"/>
      <c r="E26" s="1" t="s">
        <v>76</v>
      </c>
      <c r="F26" s="1" t="s">
        <v>68</v>
      </c>
      <c r="G26" s="1" t="s">
        <v>73</v>
      </c>
      <c r="H26" s="1" t="s">
        <v>39</v>
      </c>
      <c r="I26" s="32" t="str" cm="1">
        <f t="array" ref="I26">_xlfn.IFS(E26="UUW","NWT",OR(E26="NES (NNE)",E26="NES (ESK)"),"NES",OR(E26="SSC (SST)",E26="SSC (CAM)"),"SSC",TRUE,E26)</f>
        <v>SSC</v>
      </c>
      <c r="J26" s="32" t="s">
        <v>43</v>
      </c>
      <c r="K26" s="8"/>
      <c r="L26" s="44"/>
      <c r="M26" s="45"/>
      <c r="N26" s="45"/>
      <c r="O26" s="45"/>
      <c r="P26" s="45"/>
      <c r="Q26" s="46">
        <f>SUMIFS(F_Inputs!N$7:N$132,F_Inputs!$A$7:$A$132,PCC.Inputs!$I26,F_Inputs!$B$7:$B$132,PCC.Inputs!$J26)</f>
        <v>134.78262275502851</v>
      </c>
      <c r="R26" s="46">
        <f>SUMIFS(F_Inputs!O$7:O$132,F_Inputs!$A$7:$A$132,PCC.Inputs!$I26,F_Inputs!$B$7:$B$132,PCC.Inputs!$J26)</f>
        <v>139.11524333404461</v>
      </c>
      <c r="S26" s="46">
        <f>SUMIFS(F_Inputs!P$7:P$132,F_Inputs!$A$7:$A$132,PCC.Inputs!$I26,F_Inputs!$B$7:$B$132,PCC.Inputs!$J26)</f>
        <v>139.47421040293759</v>
      </c>
      <c r="T26" s="46">
        <f>SUMIFS(F_Inputs!Q$7:Q$132,F_Inputs!$A$7:$A$132,PCC.Inputs!$I26,F_Inputs!$B$7:$B$132,PCC.Inputs!$J26)</f>
        <v>142.44239130346941</v>
      </c>
      <c r="U26" s="46">
        <f>SUMIFS(F_Inputs!R$7:R$132,F_Inputs!$A$7:$A$132,PCC.Inputs!$I26,F_Inputs!$B$7:$B$132,PCC.Inputs!$J26)</f>
        <v>132.0992457027464</v>
      </c>
      <c r="V26" s="45"/>
      <c r="W26" s="38"/>
    </row>
    <row r="27" spans="1:23" hidden="1" outlineLevel="1" x14ac:dyDescent="0.45">
      <c r="A27" s="1"/>
      <c r="E27" s="1" t="s">
        <v>59</v>
      </c>
      <c r="F27" s="1" t="s">
        <v>68</v>
      </c>
      <c r="G27" s="1" t="s">
        <v>69</v>
      </c>
      <c r="H27" s="1" t="s">
        <v>39</v>
      </c>
      <c r="I27" s="32" t="str" cm="1">
        <f t="array" ref="I27">_xlfn.IFS(E27="UUW","NWT",OR(E27="NES (NNE)",E27="NES (ESK)"),"NES",OR(E27="SSC (SST)",E27="SSC (CAM)"),"SSC",TRUE,E27)</f>
        <v>PRT</v>
      </c>
      <c r="J27" s="32" t="s">
        <v>37</v>
      </c>
      <c r="K27" s="8"/>
      <c r="L27" s="44"/>
      <c r="M27" s="45"/>
      <c r="N27" s="45"/>
      <c r="O27" s="45"/>
      <c r="P27" s="45"/>
      <c r="Q27" s="46">
        <f>SUMIFS(F_Inputs!N$7:N$132,F_Inputs!$A$7:$A$132,PCC.Inputs!$I27,F_Inputs!$B$7:$B$132,PCC.Inputs!$J27)</f>
        <v>149.3103214050137</v>
      </c>
      <c r="R27" s="46">
        <f>SUMIFS(F_Inputs!O$7:O$132,F_Inputs!$A$7:$A$132,PCC.Inputs!$I27,F_Inputs!$B$7:$B$132,PCC.Inputs!$J27)</f>
        <v>157.22386959647179</v>
      </c>
      <c r="S27" s="46">
        <f>SUMIFS(F_Inputs!P$7:P$132,F_Inputs!$A$7:$A$132,PCC.Inputs!$I27,F_Inputs!$B$7:$B$132,PCC.Inputs!$J27)</f>
        <v>160.26419983725469</v>
      </c>
      <c r="T27" s="46">
        <f>SUMIFS(F_Inputs!Q$7:Q$132,F_Inputs!$A$7:$A$132,PCC.Inputs!$I27,F_Inputs!$B$7:$B$132,PCC.Inputs!$J27)</f>
        <v>161.13101132291749</v>
      </c>
      <c r="U27" s="46">
        <f>SUMIFS(F_Inputs!R$7:R$132,F_Inputs!$A$7:$A$132,PCC.Inputs!$I27,F_Inputs!$B$7:$B$132,PCC.Inputs!$J27)</f>
        <v>155.73755199240171</v>
      </c>
      <c r="V27" s="45"/>
      <c r="W27" s="38"/>
    </row>
    <row r="28" spans="1:23" hidden="1" outlineLevel="1" x14ac:dyDescent="0.45">
      <c r="A28" s="1"/>
      <c r="E28" s="1" t="s">
        <v>60</v>
      </c>
      <c r="F28" s="1" t="s">
        <v>68</v>
      </c>
      <c r="G28" s="1" t="s">
        <v>69</v>
      </c>
      <c r="H28" s="1" t="s">
        <v>39</v>
      </c>
      <c r="I28" s="32" t="str" cm="1">
        <f t="array" ref="I28">_xlfn.IFS(E28="UUW","NWT",OR(E28="NES (NNE)",E28="NES (ESK)"),"NES",OR(E28="SSC (SST)",E28="SSC (CAM)"),"SSC",TRUE,E28)</f>
        <v>SEW</v>
      </c>
      <c r="J28" s="32" t="s">
        <v>37</v>
      </c>
      <c r="K28" s="8"/>
      <c r="L28" s="44"/>
      <c r="M28" s="45"/>
      <c r="N28" s="45"/>
      <c r="O28" s="45"/>
      <c r="P28" s="45"/>
      <c r="Q28" s="46">
        <f>SUMIFS(F_Inputs!N$7:N$132,F_Inputs!$A$7:$A$132,PCC.Inputs!$I28,F_Inputs!$B$7:$B$132,PCC.Inputs!$J28)</f>
        <v>147.05025085934551</v>
      </c>
      <c r="R28" s="46">
        <f>SUMIFS(F_Inputs!O$7:O$132,F_Inputs!$A$7:$A$132,PCC.Inputs!$I28,F_Inputs!$B$7:$B$132,PCC.Inputs!$J28)</f>
        <v>153.4429442867023</v>
      </c>
      <c r="S28" s="46">
        <f>SUMIFS(F_Inputs!P$7:P$132,F_Inputs!$A$7:$A$132,PCC.Inputs!$I28,F_Inputs!$B$7:$B$132,PCC.Inputs!$J28)</f>
        <v>156.90978245573879</v>
      </c>
      <c r="T28" s="46">
        <f>SUMIFS(F_Inputs!Q$7:Q$132,F_Inputs!$A$7:$A$132,PCC.Inputs!$I28,F_Inputs!$B$7:$B$132,PCC.Inputs!$J28)</f>
        <v>158.25798785054019</v>
      </c>
      <c r="U28" s="46">
        <f>SUMIFS(F_Inputs!R$7:R$132,F_Inputs!$A$7:$A$132,PCC.Inputs!$I28,F_Inputs!$B$7:$B$132,PCC.Inputs!$J28)</f>
        <v>150.76235262077941</v>
      </c>
      <c r="V28" s="45"/>
      <c r="W28" s="38"/>
    </row>
    <row r="29" spans="1:23" hidden="1" outlineLevel="1" x14ac:dyDescent="0.45">
      <c r="A29" s="1"/>
      <c r="E29" s="1" t="s">
        <v>61</v>
      </c>
      <c r="F29" s="1" t="s">
        <v>68</v>
      </c>
      <c r="G29" s="1" t="s">
        <v>69</v>
      </c>
      <c r="H29" s="1" t="s">
        <v>39</v>
      </c>
      <c r="I29" s="32" t="str" cm="1">
        <f t="array" ref="I29">_xlfn.IFS(E29="UUW","NWT",OR(E29="NES (NNE)",E29="NES (ESK)"),"NES",OR(E29="SSC (SST)",E29="SSC (CAM)"),"SSC",TRUE,E29)</f>
        <v>SES</v>
      </c>
      <c r="J29" s="32" t="s">
        <v>37</v>
      </c>
      <c r="K29" s="8"/>
      <c r="L29" s="44"/>
      <c r="M29" s="45"/>
      <c r="N29" s="45"/>
      <c r="O29" s="45"/>
      <c r="P29" s="45"/>
      <c r="Q29" s="46">
        <f>SUMIFS(F_Inputs!N$7:N$132,F_Inputs!$A$7:$A$132,PCC.Inputs!$I29,F_Inputs!$B$7:$B$132,PCC.Inputs!$J29)</f>
        <v>149.00575281485101</v>
      </c>
      <c r="R29" s="46">
        <f>SUMIFS(F_Inputs!O$7:O$132,F_Inputs!$A$7:$A$132,PCC.Inputs!$I29,F_Inputs!$B$7:$B$132,PCC.Inputs!$J29)</f>
        <v>154.59016679237169</v>
      </c>
      <c r="S29" s="46">
        <f>SUMIFS(F_Inputs!P$7:P$132,F_Inputs!$A$7:$A$132,PCC.Inputs!$I29,F_Inputs!$B$7:$B$132,PCC.Inputs!$J29)</f>
        <v>152.6351979075838</v>
      </c>
      <c r="T29" s="46">
        <f>SUMIFS(F_Inputs!Q$7:Q$132,F_Inputs!$A$7:$A$132,PCC.Inputs!$I29,F_Inputs!$B$7:$B$132,PCC.Inputs!$J29)</f>
        <v>155.1320920778675</v>
      </c>
      <c r="U29" s="46">
        <f>SUMIFS(F_Inputs!R$7:R$132,F_Inputs!$A$7:$A$132,PCC.Inputs!$I29,F_Inputs!$B$7:$B$132,PCC.Inputs!$J29)</f>
        <v>149.399382448621</v>
      </c>
      <c r="V29" s="45"/>
      <c r="W29" s="38"/>
    </row>
    <row r="30" spans="1:23" collapsed="1" x14ac:dyDescent="0.45">
      <c r="A30" s="1"/>
      <c r="E30" s="1"/>
      <c r="F30" s="1"/>
      <c r="G30" s="1"/>
      <c r="H30" s="1"/>
      <c r="I30" s="32"/>
      <c r="J30" s="32"/>
      <c r="K30" s="1"/>
      <c r="L30" s="38"/>
      <c r="M30" s="38"/>
      <c r="N30" s="38"/>
      <c r="O30" s="38"/>
      <c r="P30" s="38"/>
      <c r="Q30" s="38"/>
      <c r="R30" s="38"/>
      <c r="S30" s="38"/>
      <c r="T30" s="38"/>
      <c r="W30" s="38"/>
    </row>
    <row r="31" spans="1:23" x14ac:dyDescent="0.45">
      <c r="A31" s="90" t="s">
        <v>77</v>
      </c>
      <c r="B31" s="90"/>
      <c r="C31" s="90"/>
      <c r="D31" s="90"/>
      <c r="E31" s="90"/>
      <c r="F31" s="90"/>
      <c r="G31" s="90"/>
      <c r="H31" s="90"/>
      <c r="I31" s="90"/>
      <c r="J31" s="90"/>
      <c r="K31" s="90"/>
      <c r="L31" s="91"/>
      <c r="M31" s="91"/>
      <c r="N31" s="91"/>
      <c r="O31" s="91"/>
      <c r="P31" s="91"/>
      <c r="Q31" s="91"/>
      <c r="R31" s="91"/>
      <c r="S31" s="91"/>
      <c r="T31" s="91"/>
      <c r="U31" s="91"/>
      <c r="V31" s="91"/>
      <c r="W31" s="91"/>
    </row>
    <row r="32" spans="1:23" x14ac:dyDescent="0.45">
      <c r="A32" s="93"/>
      <c r="B32" s="94"/>
      <c r="C32" s="94"/>
      <c r="D32" s="94"/>
      <c r="E32" s="94"/>
      <c r="F32" s="94"/>
      <c r="G32" s="94"/>
      <c r="H32" s="94"/>
      <c r="I32" s="95"/>
      <c r="J32" s="95"/>
      <c r="K32" s="94"/>
      <c r="L32" s="96"/>
      <c r="M32" s="96"/>
      <c r="N32" s="96"/>
      <c r="O32" s="96"/>
      <c r="P32" s="96"/>
      <c r="Q32" s="96"/>
      <c r="R32" s="96"/>
      <c r="S32" s="96"/>
      <c r="T32" s="96"/>
      <c r="U32" s="96"/>
      <c r="V32" s="96"/>
      <c r="W32" s="96"/>
    </row>
    <row r="33" spans="1:23" x14ac:dyDescent="0.45">
      <c r="A33" s="1"/>
      <c r="E33" s="1" t="s">
        <v>36</v>
      </c>
      <c r="F33" s="1" t="s">
        <v>68</v>
      </c>
      <c r="G33" s="1" t="s">
        <v>69</v>
      </c>
      <c r="H33" s="1" t="s">
        <v>39</v>
      </c>
      <c r="I33" s="34"/>
      <c r="J33" s="34"/>
      <c r="K33" s="8"/>
      <c r="L33" s="97">
        <v>133.30000000000001</v>
      </c>
      <c r="M33" s="97">
        <v>135.4</v>
      </c>
      <c r="N33" s="97">
        <v>135.6</v>
      </c>
      <c r="O33" s="97">
        <v>136.80000000000001</v>
      </c>
      <c r="P33" s="97">
        <v>136.9</v>
      </c>
      <c r="Q33" s="45"/>
      <c r="R33" s="45"/>
      <c r="S33" s="45"/>
      <c r="T33" s="45"/>
      <c r="U33" s="45"/>
      <c r="V33" s="45"/>
    </row>
    <row r="34" spans="1:23" hidden="1" outlineLevel="1" x14ac:dyDescent="0.45">
      <c r="A34" s="1"/>
      <c r="E34" s="1" t="s">
        <v>46</v>
      </c>
      <c r="F34" s="1" t="s">
        <v>68</v>
      </c>
      <c r="G34" s="1" t="s">
        <v>69</v>
      </c>
      <c r="H34" s="1" t="s">
        <v>39</v>
      </c>
      <c r="I34" s="34"/>
      <c r="J34" s="34"/>
      <c r="K34" s="8"/>
      <c r="L34" s="97" t="s">
        <v>78</v>
      </c>
      <c r="M34" s="97" t="s">
        <v>78</v>
      </c>
      <c r="N34" s="97" t="s">
        <v>78</v>
      </c>
      <c r="O34" s="97" t="s">
        <v>78</v>
      </c>
      <c r="P34" s="97" t="s">
        <v>78</v>
      </c>
      <c r="Q34" s="45"/>
      <c r="R34" s="45"/>
      <c r="S34" s="45"/>
      <c r="T34" s="45"/>
      <c r="U34" s="45"/>
      <c r="V34" s="45"/>
      <c r="W34" s="38"/>
    </row>
    <row r="35" spans="1:23" hidden="1" outlineLevel="1" x14ac:dyDescent="0.45">
      <c r="A35" s="1"/>
      <c r="E35" s="1" t="s">
        <v>47</v>
      </c>
      <c r="F35" s="1" t="s">
        <v>68</v>
      </c>
      <c r="G35" s="1" t="s">
        <v>69</v>
      </c>
      <c r="H35" s="1" t="s">
        <v>39</v>
      </c>
      <c r="I35" s="34"/>
      <c r="J35" s="34"/>
      <c r="K35" s="8"/>
      <c r="L35" s="97" t="s">
        <v>78</v>
      </c>
      <c r="M35" s="97" t="s">
        <v>78</v>
      </c>
      <c r="N35" s="97" t="s">
        <v>78</v>
      </c>
      <c r="O35" s="97" t="s">
        <v>78</v>
      </c>
      <c r="P35" s="97">
        <v>141.4</v>
      </c>
      <c r="Q35" s="45"/>
      <c r="R35" s="45"/>
      <c r="S35" s="45"/>
      <c r="T35" s="45"/>
      <c r="U35" s="45"/>
      <c r="V35" s="45"/>
      <c r="W35" s="38"/>
    </row>
    <row r="36" spans="1:23" hidden="1" outlineLevel="1" x14ac:dyDescent="0.45">
      <c r="A36" s="1"/>
      <c r="E36" s="1" t="s">
        <v>48</v>
      </c>
      <c r="F36" s="1" t="s">
        <v>68</v>
      </c>
      <c r="G36" s="1" t="s">
        <v>69</v>
      </c>
      <c r="H36" s="1" t="s">
        <v>39</v>
      </c>
      <c r="I36" s="34"/>
      <c r="J36" s="34"/>
      <c r="K36" s="8"/>
      <c r="L36" s="97" t="s">
        <v>78</v>
      </c>
      <c r="M36" s="97" t="s">
        <v>78</v>
      </c>
      <c r="N36" s="97" t="s">
        <v>78</v>
      </c>
      <c r="O36" s="97" t="s">
        <v>78</v>
      </c>
      <c r="P36" s="97" t="s">
        <v>78</v>
      </c>
      <c r="Q36" s="45"/>
      <c r="R36" s="45"/>
      <c r="S36" s="45"/>
      <c r="T36" s="45"/>
      <c r="U36" s="45"/>
      <c r="V36" s="45"/>
      <c r="W36" s="38"/>
    </row>
    <row r="37" spans="1:23" hidden="1" outlineLevel="1" x14ac:dyDescent="0.45">
      <c r="A37" s="1"/>
      <c r="E37" s="9" t="s">
        <v>70</v>
      </c>
      <c r="F37" s="1" t="s">
        <v>68</v>
      </c>
      <c r="G37" s="1" t="s">
        <v>71</v>
      </c>
      <c r="H37" s="1" t="s">
        <v>39</v>
      </c>
      <c r="I37" s="34"/>
      <c r="J37" s="34"/>
      <c r="K37" s="8"/>
      <c r="L37" s="97" t="s">
        <v>78</v>
      </c>
      <c r="M37" s="97" t="s">
        <v>78</v>
      </c>
      <c r="N37" s="97" t="s">
        <v>78</v>
      </c>
      <c r="O37" s="97" t="s">
        <v>78</v>
      </c>
      <c r="P37" s="97" t="s">
        <v>78</v>
      </c>
      <c r="Q37" s="45"/>
      <c r="R37" s="45"/>
      <c r="S37" s="45"/>
      <c r="T37" s="45"/>
      <c r="U37" s="45"/>
      <c r="V37" s="45"/>
      <c r="W37" s="38"/>
    </row>
    <row r="38" spans="1:23" hidden="1" outlineLevel="1" x14ac:dyDescent="0.45">
      <c r="A38" s="1"/>
      <c r="E38" s="9" t="s">
        <v>72</v>
      </c>
      <c r="F38" s="1" t="s">
        <v>68</v>
      </c>
      <c r="G38" s="1" t="s">
        <v>73</v>
      </c>
      <c r="H38" s="1" t="s">
        <v>39</v>
      </c>
      <c r="I38" s="34"/>
      <c r="J38" s="34"/>
      <c r="K38" s="8"/>
      <c r="L38" s="97" t="s">
        <v>78</v>
      </c>
      <c r="M38" s="97" t="s">
        <v>78</v>
      </c>
      <c r="N38" s="97" t="s">
        <v>78</v>
      </c>
      <c r="O38" s="97" t="s">
        <v>78</v>
      </c>
      <c r="P38" s="97" t="s">
        <v>78</v>
      </c>
      <c r="Q38" s="45"/>
      <c r="R38" s="45"/>
      <c r="S38" s="45"/>
      <c r="T38" s="45"/>
      <c r="U38" s="45"/>
      <c r="V38" s="45"/>
      <c r="W38" s="38"/>
    </row>
    <row r="39" spans="1:23" hidden="1" outlineLevel="1" x14ac:dyDescent="0.45">
      <c r="A39" s="1"/>
      <c r="E39" s="1" t="s">
        <v>49</v>
      </c>
      <c r="F39" s="1" t="s">
        <v>68</v>
      </c>
      <c r="G39" s="1" t="s">
        <v>69</v>
      </c>
      <c r="H39" s="1" t="s">
        <v>39</v>
      </c>
      <c r="I39" s="34"/>
      <c r="J39" s="34"/>
      <c r="K39" s="8"/>
      <c r="L39" s="97" t="s">
        <v>78</v>
      </c>
      <c r="M39" s="97" t="s">
        <v>78</v>
      </c>
      <c r="N39" s="97" t="s">
        <v>78</v>
      </c>
      <c r="O39" s="97" t="s">
        <v>78</v>
      </c>
      <c r="P39" s="97">
        <v>132.76</v>
      </c>
      <c r="Q39" s="45"/>
      <c r="R39" s="45"/>
      <c r="S39" s="45"/>
      <c r="T39" s="45"/>
      <c r="U39" s="45"/>
      <c r="V39" s="45"/>
      <c r="W39" s="38"/>
    </row>
    <row r="40" spans="1:23" hidden="1" outlineLevel="1" x14ac:dyDescent="0.45">
      <c r="A40" s="1"/>
      <c r="E40" s="1" t="s">
        <v>50</v>
      </c>
      <c r="F40" s="1" t="s">
        <v>68</v>
      </c>
      <c r="G40" s="1" t="s">
        <v>69</v>
      </c>
      <c r="H40" s="1" t="s">
        <v>39</v>
      </c>
      <c r="I40" s="34"/>
      <c r="J40" s="34"/>
      <c r="K40" s="8"/>
      <c r="L40" s="97" t="s">
        <v>78</v>
      </c>
      <c r="M40" s="97" t="s">
        <v>78</v>
      </c>
      <c r="N40" s="97" t="s">
        <v>78</v>
      </c>
      <c r="O40" s="97" t="s">
        <v>78</v>
      </c>
      <c r="P40" s="97" t="s">
        <v>78</v>
      </c>
      <c r="Q40" s="45"/>
      <c r="R40" s="45"/>
      <c r="S40" s="45"/>
      <c r="T40" s="45"/>
      <c r="U40" s="45"/>
      <c r="V40" s="45"/>
      <c r="W40" s="38"/>
    </row>
    <row r="41" spans="1:23" hidden="1" outlineLevel="1" x14ac:dyDescent="0.45">
      <c r="A41" s="1"/>
      <c r="E41" s="1" t="s">
        <v>51</v>
      </c>
      <c r="F41" s="1" t="s">
        <v>68</v>
      </c>
      <c r="G41" s="1" t="s">
        <v>69</v>
      </c>
      <c r="H41" s="1" t="s">
        <v>39</v>
      </c>
      <c r="I41" s="34"/>
      <c r="J41" s="34"/>
      <c r="K41" s="8"/>
      <c r="L41" s="97">
        <v>134.80000000000001</v>
      </c>
      <c r="M41" s="97">
        <v>129.69999999999999</v>
      </c>
      <c r="N41" s="97">
        <v>131.29</v>
      </c>
      <c r="O41" s="97">
        <v>128.9</v>
      </c>
      <c r="P41" s="97">
        <v>129.9</v>
      </c>
      <c r="Q41" s="45"/>
      <c r="R41" s="45"/>
      <c r="S41" s="45"/>
      <c r="T41" s="45"/>
      <c r="U41" s="45"/>
      <c r="V41" s="45"/>
      <c r="W41" s="38"/>
    </row>
    <row r="42" spans="1:23" hidden="1" outlineLevel="1" x14ac:dyDescent="0.45">
      <c r="A42" s="1"/>
      <c r="E42" s="1" t="s">
        <v>52</v>
      </c>
      <c r="F42" s="1" t="s">
        <v>68</v>
      </c>
      <c r="G42" s="1" t="s">
        <v>69</v>
      </c>
      <c r="H42" s="1" t="s">
        <v>39</v>
      </c>
      <c r="I42" s="34"/>
      <c r="J42" s="34"/>
      <c r="K42" s="8"/>
      <c r="L42" s="97">
        <v>150.71411128961589</v>
      </c>
      <c r="M42" s="97">
        <v>150.31191704396085</v>
      </c>
      <c r="N42" s="97">
        <v>149.90972279830581</v>
      </c>
      <c r="O42" s="97">
        <v>149.50752855265077</v>
      </c>
      <c r="P42" s="97">
        <v>149.10533430699573</v>
      </c>
      <c r="Q42" s="45"/>
      <c r="R42" s="45"/>
      <c r="S42" s="45"/>
      <c r="T42" s="45"/>
      <c r="U42" s="45"/>
      <c r="V42" s="45"/>
      <c r="W42" s="38"/>
    </row>
    <row r="43" spans="1:23" hidden="1" outlineLevel="1" x14ac:dyDescent="0.45">
      <c r="A43" s="1"/>
      <c r="E43" s="1" t="s">
        <v>74</v>
      </c>
      <c r="F43" s="1" t="s">
        <v>68</v>
      </c>
      <c r="G43" s="1" t="s">
        <v>69</v>
      </c>
      <c r="H43" s="1" t="s">
        <v>39</v>
      </c>
      <c r="I43" s="34"/>
      <c r="J43" s="34"/>
      <c r="K43" s="8"/>
      <c r="L43" s="97">
        <v>130</v>
      </c>
      <c r="M43" s="97">
        <v>129.6</v>
      </c>
      <c r="N43" s="97">
        <v>138.9</v>
      </c>
      <c r="O43" s="97">
        <v>141.9</v>
      </c>
      <c r="P43" s="97">
        <v>143.69999999999999</v>
      </c>
      <c r="Q43" s="45"/>
      <c r="R43" s="45"/>
      <c r="S43" s="45"/>
      <c r="T43" s="45"/>
      <c r="U43" s="45"/>
      <c r="V43" s="45"/>
      <c r="W43" s="38"/>
    </row>
    <row r="44" spans="1:23" hidden="1" outlineLevel="1" x14ac:dyDescent="0.45">
      <c r="A44" s="1"/>
      <c r="E44" s="1" t="s">
        <v>54</v>
      </c>
      <c r="F44" s="1" t="s">
        <v>68</v>
      </c>
      <c r="G44" s="1" t="s">
        <v>69</v>
      </c>
      <c r="H44" s="1" t="s">
        <v>39</v>
      </c>
      <c r="I44" s="34"/>
      <c r="J44" s="34"/>
      <c r="K44" s="8"/>
      <c r="L44" s="97">
        <v>138</v>
      </c>
      <c r="M44" s="97">
        <v>137.6</v>
      </c>
      <c r="N44" s="97">
        <v>140.69999999999999</v>
      </c>
      <c r="O44" s="97">
        <v>142.80000000000001</v>
      </c>
      <c r="P44" s="97">
        <v>146.19999999999999</v>
      </c>
      <c r="Q44" s="45"/>
      <c r="R44" s="45"/>
      <c r="S44" s="45"/>
      <c r="T44" s="45"/>
      <c r="U44" s="45"/>
      <c r="V44" s="45"/>
      <c r="W44" s="38"/>
    </row>
    <row r="45" spans="1:23" hidden="1" outlineLevel="1" x14ac:dyDescent="0.45">
      <c r="A45" s="1"/>
      <c r="E45" s="1" t="s">
        <v>55</v>
      </c>
      <c r="F45" s="1" t="s">
        <v>68</v>
      </c>
      <c r="G45" s="1" t="s">
        <v>69</v>
      </c>
      <c r="H45" s="1" t="s">
        <v>39</v>
      </c>
      <c r="I45" s="34"/>
      <c r="J45" s="34"/>
      <c r="K45" s="8"/>
      <c r="L45" s="97">
        <v>133.30000000000001</v>
      </c>
      <c r="M45" s="97">
        <v>133.1</v>
      </c>
      <c r="N45" s="97">
        <v>134.5</v>
      </c>
      <c r="O45" s="97">
        <v>133</v>
      </c>
      <c r="P45" s="97">
        <v>133.5</v>
      </c>
      <c r="Q45" s="45"/>
      <c r="R45" s="45"/>
      <c r="S45" s="45"/>
      <c r="T45" s="45"/>
      <c r="U45" s="45"/>
      <c r="V45" s="45"/>
      <c r="W45" s="38"/>
    </row>
    <row r="46" spans="1:23" hidden="1" outlineLevel="1" x14ac:dyDescent="0.45">
      <c r="A46" s="1"/>
      <c r="E46" s="1" t="s">
        <v>56</v>
      </c>
      <c r="F46" s="1" t="s">
        <v>68</v>
      </c>
      <c r="G46" s="1" t="s">
        <v>69</v>
      </c>
      <c r="H46" s="1" t="s">
        <v>39</v>
      </c>
      <c r="I46" s="34"/>
      <c r="J46" s="34"/>
      <c r="K46" s="8"/>
      <c r="L46" s="97">
        <v>148.30000000000001</v>
      </c>
      <c r="M46" s="97">
        <v>151.6</v>
      </c>
      <c r="N46" s="97">
        <v>153.80000000000001</v>
      </c>
      <c r="O46" s="97">
        <v>151</v>
      </c>
      <c r="P46" s="97">
        <v>158.80000000000001</v>
      </c>
      <c r="Q46" s="45"/>
      <c r="R46" s="45"/>
      <c r="S46" s="45"/>
      <c r="T46" s="45"/>
      <c r="U46" s="45"/>
      <c r="V46" s="45"/>
      <c r="W46" s="38"/>
    </row>
    <row r="47" spans="1:23" hidden="1" outlineLevel="1" x14ac:dyDescent="0.45">
      <c r="A47" s="1"/>
      <c r="E47" s="1" t="s">
        <v>57</v>
      </c>
      <c r="F47" s="1" t="s">
        <v>68</v>
      </c>
      <c r="G47" s="1" t="s">
        <v>69</v>
      </c>
      <c r="H47" s="1" t="s">
        <v>39</v>
      </c>
      <c r="I47" s="34"/>
      <c r="J47" s="34"/>
      <c r="K47" s="8"/>
      <c r="L47" s="97">
        <v>143</v>
      </c>
      <c r="M47" s="97">
        <v>141.1</v>
      </c>
      <c r="N47" s="97">
        <v>144.1</v>
      </c>
      <c r="O47" s="97">
        <v>144.5</v>
      </c>
      <c r="P47" s="97">
        <v>148.30000000000001</v>
      </c>
      <c r="Q47" s="45"/>
      <c r="R47" s="45"/>
      <c r="S47" s="45"/>
      <c r="T47" s="45"/>
      <c r="U47" s="45"/>
      <c r="V47" s="45"/>
      <c r="W47" s="38"/>
    </row>
    <row r="48" spans="1:23" hidden="1" outlineLevel="1" x14ac:dyDescent="0.45">
      <c r="A48" s="1"/>
      <c r="E48" s="1" t="s">
        <v>58</v>
      </c>
      <c r="F48" s="1" t="s">
        <v>68</v>
      </c>
      <c r="G48" s="1" t="s">
        <v>69</v>
      </c>
      <c r="H48" s="1" t="s">
        <v>39</v>
      </c>
      <c r="I48" s="34"/>
      <c r="J48" s="34"/>
      <c r="K48" s="8"/>
      <c r="L48" s="97">
        <v>129.25</v>
      </c>
      <c r="M48" s="97">
        <v>129.59</v>
      </c>
      <c r="N48" s="97">
        <v>129.85</v>
      </c>
      <c r="O48" s="97">
        <v>133.09</v>
      </c>
      <c r="P48" s="97">
        <v>136.41</v>
      </c>
      <c r="Q48" s="45"/>
      <c r="R48" s="45"/>
      <c r="S48" s="45"/>
      <c r="T48" s="45"/>
      <c r="U48" s="45"/>
      <c r="V48" s="45"/>
      <c r="W48" s="38"/>
    </row>
    <row r="49" spans="1:23" hidden="1" outlineLevel="1" x14ac:dyDescent="0.45">
      <c r="A49" s="1"/>
      <c r="E49" s="1" t="s">
        <v>75</v>
      </c>
      <c r="F49" s="1" t="s">
        <v>68</v>
      </c>
      <c r="G49" s="1" t="s">
        <v>71</v>
      </c>
      <c r="H49" s="1" t="s">
        <v>39</v>
      </c>
      <c r="I49" s="34"/>
      <c r="J49" s="34"/>
      <c r="K49" s="8"/>
      <c r="L49" s="97" t="s">
        <v>78</v>
      </c>
      <c r="M49" s="97" t="s">
        <v>78</v>
      </c>
      <c r="N49" s="97" t="s">
        <v>78</v>
      </c>
      <c r="O49" s="97" t="s">
        <v>78</v>
      </c>
      <c r="P49" s="97" t="s">
        <v>78</v>
      </c>
      <c r="Q49" s="45"/>
      <c r="R49" s="45"/>
      <c r="S49" s="45"/>
      <c r="T49" s="45"/>
      <c r="U49" s="45"/>
      <c r="V49" s="45"/>
      <c r="W49" s="38"/>
    </row>
    <row r="50" spans="1:23" hidden="1" outlineLevel="1" x14ac:dyDescent="0.45">
      <c r="A50" s="1"/>
      <c r="E50" s="1" t="s">
        <v>76</v>
      </c>
      <c r="F50" s="1" t="s">
        <v>68</v>
      </c>
      <c r="G50" s="1" t="s">
        <v>73</v>
      </c>
      <c r="H50" s="1" t="s">
        <v>39</v>
      </c>
      <c r="I50" s="34"/>
      <c r="J50" s="34"/>
      <c r="K50" s="8"/>
      <c r="L50" s="97" t="s">
        <v>78</v>
      </c>
      <c r="M50" s="97" t="s">
        <v>78</v>
      </c>
      <c r="N50" s="97" t="s">
        <v>78</v>
      </c>
      <c r="O50" s="97" t="s">
        <v>78</v>
      </c>
      <c r="P50" s="97" t="s">
        <v>78</v>
      </c>
      <c r="Q50" s="45"/>
      <c r="R50" s="45"/>
      <c r="S50" s="45"/>
      <c r="T50" s="45"/>
      <c r="U50" s="45"/>
      <c r="V50" s="45"/>
      <c r="W50" s="38"/>
    </row>
    <row r="51" spans="1:23" hidden="1" outlineLevel="1" x14ac:dyDescent="0.45">
      <c r="A51" s="1"/>
      <c r="E51" s="1" t="s">
        <v>59</v>
      </c>
      <c r="F51" s="1" t="s">
        <v>68</v>
      </c>
      <c r="G51" s="1" t="s">
        <v>69</v>
      </c>
      <c r="H51" s="1" t="s">
        <v>39</v>
      </c>
      <c r="I51" s="34"/>
      <c r="J51" s="34"/>
      <c r="K51" s="8"/>
      <c r="L51" s="97">
        <v>145.55000000000001</v>
      </c>
      <c r="M51" s="97">
        <v>143.29</v>
      </c>
      <c r="N51" s="97">
        <v>145.1</v>
      </c>
      <c r="O51" s="97">
        <v>147.54</v>
      </c>
      <c r="P51" s="97">
        <v>152.38999999999999</v>
      </c>
      <c r="Q51" s="45"/>
      <c r="R51" s="45"/>
      <c r="S51" s="45"/>
      <c r="T51" s="45"/>
      <c r="U51" s="45"/>
      <c r="V51" s="45"/>
      <c r="W51" s="38"/>
    </row>
    <row r="52" spans="1:23" hidden="1" outlineLevel="1" x14ac:dyDescent="0.45">
      <c r="A52" s="1"/>
      <c r="E52" s="1" t="s">
        <v>60</v>
      </c>
      <c r="F52" s="1" t="s">
        <v>68</v>
      </c>
      <c r="G52" s="1" t="s">
        <v>69</v>
      </c>
      <c r="H52" s="1" t="s">
        <v>39</v>
      </c>
      <c r="I52" s="34"/>
      <c r="J52" s="34"/>
      <c r="K52" s="8"/>
      <c r="L52" s="97" t="s">
        <v>78</v>
      </c>
      <c r="M52" s="97" t="s">
        <v>78</v>
      </c>
      <c r="N52" s="97" t="s">
        <v>78</v>
      </c>
      <c r="O52" s="97" t="s">
        <v>78</v>
      </c>
      <c r="P52" s="97" t="s">
        <v>78</v>
      </c>
      <c r="Q52" s="45"/>
      <c r="R52" s="45"/>
      <c r="S52" s="45"/>
      <c r="T52" s="45"/>
      <c r="U52" s="45"/>
      <c r="V52" s="45"/>
      <c r="W52" s="38"/>
    </row>
    <row r="53" spans="1:23" hidden="1" outlineLevel="1" x14ac:dyDescent="0.45">
      <c r="A53" s="1"/>
      <c r="E53" s="1" t="s">
        <v>61</v>
      </c>
      <c r="F53" s="1" t="s">
        <v>68</v>
      </c>
      <c r="G53" s="1" t="s">
        <v>69</v>
      </c>
      <c r="H53" s="1" t="s">
        <v>39</v>
      </c>
      <c r="I53" s="34"/>
      <c r="J53" s="34"/>
      <c r="K53" s="8"/>
      <c r="L53" s="97">
        <v>161.1</v>
      </c>
      <c r="M53" s="97">
        <v>160.9</v>
      </c>
      <c r="N53" s="97">
        <v>159.72999999999999</v>
      </c>
      <c r="O53" s="97">
        <v>158.80000000000001</v>
      </c>
      <c r="P53" s="97">
        <v>162.62</v>
      </c>
      <c r="Q53" s="45"/>
      <c r="R53" s="45"/>
      <c r="S53" s="45"/>
      <c r="T53" s="45"/>
      <c r="U53" s="45"/>
      <c r="V53" s="45"/>
      <c r="W53" s="38"/>
    </row>
    <row r="54" spans="1:23" collapsed="1" x14ac:dyDescent="0.45">
      <c r="A54" s="1"/>
      <c r="B54" s="2"/>
    </row>
    <row r="55" spans="1:23" x14ac:dyDescent="0.45">
      <c r="A55" s="90" t="s">
        <v>79</v>
      </c>
      <c r="B55" s="90"/>
      <c r="C55" s="90"/>
      <c r="D55" s="90"/>
      <c r="E55" s="90"/>
      <c r="F55" s="90"/>
      <c r="G55" s="90"/>
      <c r="H55" s="90"/>
      <c r="I55" s="90"/>
      <c r="J55" s="90"/>
      <c r="K55" s="90"/>
      <c r="L55" s="91"/>
      <c r="M55" s="91"/>
      <c r="N55" s="91"/>
      <c r="O55" s="91"/>
      <c r="P55" s="91"/>
      <c r="Q55" s="91"/>
      <c r="R55" s="91"/>
      <c r="S55" s="91"/>
      <c r="T55" s="91"/>
      <c r="U55" s="91"/>
      <c r="V55" s="91"/>
      <c r="W55" s="91"/>
    </row>
    <row r="56" spans="1:23" x14ac:dyDescent="0.45">
      <c r="A56" s="1"/>
      <c r="B56" s="2"/>
      <c r="E56" s="1"/>
      <c r="F56" s="1"/>
      <c r="G56" s="1"/>
      <c r="H56" s="1"/>
      <c r="I56" s="1"/>
      <c r="J56" s="1"/>
      <c r="K56" s="1"/>
      <c r="L56" s="38"/>
      <c r="M56" s="38"/>
      <c r="N56" s="38"/>
      <c r="O56" s="38"/>
      <c r="P56" s="38"/>
      <c r="Q56" s="38"/>
    </row>
    <row r="57" spans="1:23" x14ac:dyDescent="0.45">
      <c r="A57" s="1"/>
      <c r="B57" s="2"/>
      <c r="E57" s="1" t="s">
        <v>36</v>
      </c>
      <c r="F57" s="1" t="s">
        <v>68</v>
      </c>
      <c r="G57" s="1" t="s">
        <v>80</v>
      </c>
      <c r="H57" s="1" t="s">
        <v>39</v>
      </c>
      <c r="I57" s="34"/>
      <c r="J57" s="34"/>
      <c r="L57" s="97">
        <v>133.30000000000001</v>
      </c>
      <c r="M57" s="97">
        <v>131.9</v>
      </c>
      <c r="N57" s="97">
        <v>130.5</v>
      </c>
      <c r="O57" s="97">
        <v>129.10000000000002</v>
      </c>
      <c r="P57" s="97">
        <v>127.70000000000002</v>
      </c>
      <c r="Q57" s="45"/>
      <c r="R57" s="45"/>
      <c r="S57" s="45"/>
      <c r="T57" s="45"/>
      <c r="U57" s="45"/>
      <c r="V57" s="45"/>
    </row>
    <row r="58" spans="1:23" hidden="1" outlineLevel="1" x14ac:dyDescent="0.45">
      <c r="A58" s="1"/>
      <c r="B58" s="2"/>
      <c r="E58" s="1" t="s">
        <v>46</v>
      </c>
      <c r="F58" s="1" t="s">
        <v>68</v>
      </c>
      <c r="G58" s="1" t="s">
        <v>80</v>
      </c>
      <c r="H58" s="1" t="s">
        <v>39</v>
      </c>
      <c r="I58" s="34"/>
      <c r="J58" s="34"/>
      <c r="L58" s="97" t="s">
        <v>78</v>
      </c>
      <c r="M58" s="97" t="s">
        <v>78</v>
      </c>
      <c r="N58" s="97" t="s">
        <v>78</v>
      </c>
      <c r="O58" s="97" t="s">
        <v>78</v>
      </c>
      <c r="P58" s="97" t="s">
        <v>40</v>
      </c>
      <c r="Q58" s="45"/>
      <c r="R58" s="45"/>
      <c r="S58" s="45"/>
      <c r="T58" s="45"/>
      <c r="U58" s="45"/>
      <c r="V58" s="45"/>
    </row>
    <row r="59" spans="1:23" hidden="1" outlineLevel="1" x14ac:dyDescent="0.45">
      <c r="A59" s="1"/>
      <c r="B59" s="2"/>
      <c r="E59" s="1" t="s">
        <v>47</v>
      </c>
      <c r="F59" s="1" t="s">
        <v>68</v>
      </c>
      <c r="G59" s="1" t="s">
        <v>80</v>
      </c>
      <c r="H59" s="1" t="s">
        <v>39</v>
      </c>
      <c r="I59" s="34"/>
      <c r="J59" s="34"/>
      <c r="L59" s="97" t="s">
        <v>78</v>
      </c>
      <c r="M59" s="97" t="s">
        <v>78</v>
      </c>
      <c r="N59" s="97" t="s">
        <v>78</v>
      </c>
      <c r="O59" s="97" t="s">
        <v>78</v>
      </c>
      <c r="P59" s="97">
        <v>128.37</v>
      </c>
      <c r="Q59" s="45"/>
      <c r="R59" s="45"/>
      <c r="S59" s="45"/>
      <c r="T59" s="45"/>
      <c r="U59" s="45"/>
      <c r="V59" s="45"/>
    </row>
    <row r="60" spans="1:23" hidden="1" outlineLevel="1" x14ac:dyDescent="0.45">
      <c r="A60" s="1"/>
      <c r="B60" s="2"/>
      <c r="E60" s="1" t="s">
        <v>48</v>
      </c>
      <c r="F60" s="1" t="s">
        <v>68</v>
      </c>
      <c r="G60" s="1" t="s">
        <v>80</v>
      </c>
      <c r="H60" s="1" t="s">
        <v>39</v>
      </c>
      <c r="I60" s="34"/>
      <c r="J60" s="34"/>
      <c r="L60" s="97" t="s">
        <v>78</v>
      </c>
      <c r="M60" s="97" t="s">
        <v>78</v>
      </c>
      <c r="N60" s="97" t="s">
        <v>78</v>
      </c>
      <c r="O60" s="97" t="s">
        <v>78</v>
      </c>
      <c r="P60" s="97" t="s">
        <v>78</v>
      </c>
      <c r="Q60" s="45"/>
      <c r="R60" s="45"/>
      <c r="S60" s="45"/>
      <c r="T60" s="45"/>
      <c r="U60" s="45"/>
      <c r="V60" s="45"/>
    </row>
    <row r="61" spans="1:23" hidden="1" outlineLevel="1" x14ac:dyDescent="0.45">
      <c r="A61" s="1"/>
      <c r="B61" s="2"/>
      <c r="E61" s="9" t="s">
        <v>70</v>
      </c>
      <c r="F61" s="1" t="s">
        <v>68</v>
      </c>
      <c r="G61" s="1" t="s">
        <v>80</v>
      </c>
      <c r="H61" s="1" t="s">
        <v>39</v>
      </c>
      <c r="I61" s="34"/>
      <c r="J61" s="34"/>
      <c r="L61" s="97" t="s">
        <v>78</v>
      </c>
      <c r="M61" s="97" t="s">
        <v>78</v>
      </c>
      <c r="N61" s="97" t="s">
        <v>78</v>
      </c>
      <c r="O61" s="97" t="s">
        <v>78</v>
      </c>
      <c r="P61" s="97" t="s">
        <v>78</v>
      </c>
      <c r="Q61" s="45"/>
      <c r="R61" s="45"/>
      <c r="S61" s="45"/>
      <c r="T61" s="45"/>
      <c r="U61" s="45"/>
      <c r="V61" s="45"/>
    </row>
    <row r="62" spans="1:23" hidden="1" outlineLevel="1" x14ac:dyDescent="0.45">
      <c r="A62" s="1"/>
      <c r="B62" s="2"/>
      <c r="E62" s="9" t="s">
        <v>72</v>
      </c>
      <c r="F62" s="1" t="s">
        <v>68</v>
      </c>
      <c r="G62" s="1" t="s">
        <v>80</v>
      </c>
      <c r="H62" s="1" t="s">
        <v>39</v>
      </c>
      <c r="I62" s="34"/>
      <c r="J62" s="34"/>
      <c r="L62" s="97" t="s">
        <v>78</v>
      </c>
      <c r="M62" s="97" t="s">
        <v>78</v>
      </c>
      <c r="N62" s="97" t="s">
        <v>78</v>
      </c>
      <c r="O62" s="97" t="s">
        <v>78</v>
      </c>
      <c r="P62" s="97" t="s">
        <v>78</v>
      </c>
      <c r="Q62" s="45"/>
      <c r="R62" s="45"/>
      <c r="S62" s="45"/>
      <c r="T62" s="45"/>
      <c r="U62" s="45"/>
      <c r="V62" s="45"/>
    </row>
    <row r="63" spans="1:23" hidden="1" outlineLevel="1" x14ac:dyDescent="0.45">
      <c r="A63" s="1"/>
      <c r="B63" s="2"/>
      <c r="E63" s="1" t="s">
        <v>49</v>
      </c>
      <c r="F63" s="1" t="s">
        <v>68</v>
      </c>
      <c r="G63" s="1" t="s">
        <v>80</v>
      </c>
      <c r="H63" s="1" t="s">
        <v>39</v>
      </c>
      <c r="I63" s="34"/>
      <c r="J63" s="34"/>
      <c r="L63" s="97" t="s">
        <v>78</v>
      </c>
      <c r="M63" s="97" t="s">
        <v>78</v>
      </c>
      <c r="N63" s="97" t="s">
        <v>78</v>
      </c>
      <c r="O63" s="97" t="s">
        <v>78</v>
      </c>
      <c r="P63" s="97">
        <v>128.37</v>
      </c>
      <c r="Q63" s="45"/>
      <c r="R63" s="45"/>
      <c r="S63" s="45"/>
      <c r="T63" s="45"/>
      <c r="U63" s="45"/>
      <c r="V63" s="45"/>
    </row>
    <row r="64" spans="1:23" hidden="1" outlineLevel="1" x14ac:dyDescent="0.45">
      <c r="A64" s="1"/>
      <c r="B64" s="2"/>
      <c r="E64" s="1" t="s">
        <v>50</v>
      </c>
      <c r="F64" s="1" t="s">
        <v>68</v>
      </c>
      <c r="G64" s="1" t="s">
        <v>80</v>
      </c>
      <c r="H64" s="1" t="s">
        <v>39</v>
      </c>
      <c r="I64" s="34"/>
      <c r="J64" s="34"/>
      <c r="L64" s="97" t="s">
        <v>78</v>
      </c>
      <c r="M64" s="97" t="s">
        <v>78</v>
      </c>
      <c r="N64" s="97" t="s">
        <v>78</v>
      </c>
      <c r="O64" s="97" t="s">
        <v>78</v>
      </c>
      <c r="P64" s="97" t="s">
        <v>78</v>
      </c>
      <c r="Q64" s="45"/>
      <c r="R64" s="45"/>
      <c r="S64" s="45"/>
      <c r="T64" s="45"/>
      <c r="U64" s="45"/>
      <c r="V64" s="45"/>
    </row>
    <row r="65" spans="1:23" hidden="1" outlineLevel="1" x14ac:dyDescent="0.45">
      <c r="A65" s="1"/>
      <c r="B65" s="2"/>
      <c r="E65" s="1" t="s">
        <v>51</v>
      </c>
      <c r="F65" s="1" t="s">
        <v>68</v>
      </c>
      <c r="G65" s="1" t="s">
        <v>80</v>
      </c>
      <c r="H65" s="1" t="s">
        <v>39</v>
      </c>
      <c r="I65" s="34"/>
      <c r="J65" s="34"/>
      <c r="L65" s="97">
        <v>147.19999999999999</v>
      </c>
      <c r="M65" s="97">
        <v>144.5</v>
      </c>
      <c r="N65" s="97">
        <v>141.80000000000001</v>
      </c>
      <c r="O65" s="97">
        <v>139.10000000000002</v>
      </c>
      <c r="P65" s="97">
        <v>136.40000000000003</v>
      </c>
      <c r="Q65" s="45"/>
      <c r="R65" s="45"/>
      <c r="S65" s="45"/>
      <c r="T65" s="45"/>
      <c r="U65" s="45"/>
      <c r="V65" s="45"/>
    </row>
    <row r="66" spans="1:23" hidden="1" outlineLevel="1" x14ac:dyDescent="0.45">
      <c r="A66" s="1"/>
      <c r="B66" s="2"/>
      <c r="E66" s="1" t="s">
        <v>52</v>
      </c>
      <c r="F66" s="1" t="s">
        <v>68</v>
      </c>
      <c r="G66" s="1" t="s">
        <v>80</v>
      </c>
      <c r="H66" s="1" t="s">
        <v>39</v>
      </c>
      <c r="I66" s="34"/>
      <c r="J66" s="34"/>
      <c r="L66" s="97" t="s">
        <v>78</v>
      </c>
      <c r="M66" s="97" t="s">
        <v>78</v>
      </c>
      <c r="N66" s="97" t="s">
        <v>78</v>
      </c>
      <c r="O66" s="97" t="s">
        <v>78</v>
      </c>
      <c r="P66" s="97" t="s">
        <v>78</v>
      </c>
      <c r="Q66" s="45"/>
      <c r="R66" s="45"/>
      <c r="S66" s="45"/>
      <c r="T66" s="45"/>
      <c r="U66" s="45"/>
      <c r="V66" s="45"/>
    </row>
    <row r="67" spans="1:23" hidden="1" outlineLevel="1" x14ac:dyDescent="0.45">
      <c r="A67" s="1"/>
      <c r="B67" s="2"/>
      <c r="E67" s="1" t="s">
        <v>74</v>
      </c>
      <c r="F67" s="1" t="s">
        <v>68</v>
      </c>
      <c r="G67" s="1" t="s">
        <v>80</v>
      </c>
      <c r="H67" s="1" t="s">
        <v>39</v>
      </c>
      <c r="I67" s="34"/>
      <c r="J67" s="34"/>
      <c r="L67" s="97" t="s">
        <v>78</v>
      </c>
      <c r="M67" s="97" t="s">
        <v>78</v>
      </c>
      <c r="N67" s="97" t="s">
        <v>78</v>
      </c>
      <c r="O67" s="97" t="s">
        <v>78</v>
      </c>
      <c r="P67" s="97" t="s">
        <v>78</v>
      </c>
      <c r="Q67" s="45"/>
      <c r="R67" s="45"/>
      <c r="S67" s="45"/>
      <c r="T67" s="45"/>
      <c r="U67" s="45"/>
      <c r="V67" s="45"/>
    </row>
    <row r="68" spans="1:23" hidden="1" outlineLevel="1" x14ac:dyDescent="0.45">
      <c r="A68" s="1"/>
      <c r="B68" s="2"/>
      <c r="E68" s="1" t="s">
        <v>54</v>
      </c>
      <c r="F68" s="1" t="s">
        <v>68</v>
      </c>
      <c r="G68" s="1" t="s">
        <v>80</v>
      </c>
      <c r="H68" s="1" t="s">
        <v>39</v>
      </c>
      <c r="I68" s="34"/>
      <c r="J68" s="34"/>
      <c r="L68" s="97">
        <v>137</v>
      </c>
      <c r="M68" s="97">
        <v>135</v>
      </c>
      <c r="N68" s="97">
        <v>134</v>
      </c>
      <c r="O68" s="97">
        <v>133</v>
      </c>
      <c r="P68" s="97">
        <v>132</v>
      </c>
      <c r="Q68" s="45"/>
      <c r="R68" s="45"/>
      <c r="S68" s="45"/>
      <c r="T68" s="45"/>
      <c r="U68" s="45"/>
      <c r="V68" s="45"/>
    </row>
    <row r="69" spans="1:23" hidden="1" outlineLevel="1" x14ac:dyDescent="0.45">
      <c r="A69" s="1"/>
      <c r="B69" s="2"/>
      <c r="E69" s="1" t="s">
        <v>55</v>
      </c>
      <c r="F69" s="1" t="s">
        <v>68</v>
      </c>
      <c r="G69" s="1" t="s">
        <v>80</v>
      </c>
      <c r="H69" s="1" t="s">
        <v>39</v>
      </c>
      <c r="I69" s="34"/>
      <c r="J69" s="34"/>
      <c r="L69" s="97">
        <v>143.69999999999999</v>
      </c>
      <c r="M69" s="97">
        <v>142.6</v>
      </c>
      <c r="N69" s="97">
        <v>141.5</v>
      </c>
      <c r="O69" s="97">
        <v>140.4</v>
      </c>
      <c r="P69" s="97">
        <v>139.30000000000001</v>
      </c>
      <c r="Q69" s="45"/>
      <c r="R69" s="45"/>
      <c r="S69" s="45"/>
      <c r="T69" s="45"/>
      <c r="U69" s="45"/>
      <c r="V69" s="45"/>
    </row>
    <row r="70" spans="1:23" hidden="1" outlineLevel="1" x14ac:dyDescent="0.45">
      <c r="A70" s="1"/>
      <c r="B70" s="2"/>
      <c r="E70" s="1" t="s">
        <v>56</v>
      </c>
      <c r="F70" s="1" t="s">
        <v>68</v>
      </c>
      <c r="G70" s="1" t="s">
        <v>80</v>
      </c>
      <c r="H70" s="1" t="s">
        <v>39</v>
      </c>
      <c r="I70" s="34"/>
      <c r="J70" s="34"/>
      <c r="L70" s="97">
        <v>158.4</v>
      </c>
      <c r="M70" s="97">
        <v>156.30000000000001</v>
      </c>
      <c r="N70" s="97">
        <v>155.6</v>
      </c>
      <c r="O70" s="97">
        <v>153.30000000000001</v>
      </c>
      <c r="P70" s="97">
        <v>150.30000000000001</v>
      </c>
      <c r="Q70" s="45"/>
      <c r="R70" s="45"/>
      <c r="S70" s="45"/>
      <c r="T70" s="45"/>
      <c r="U70" s="45"/>
      <c r="V70" s="45"/>
    </row>
    <row r="71" spans="1:23" hidden="1" outlineLevel="1" x14ac:dyDescent="0.45">
      <c r="A71" s="1"/>
      <c r="B71" s="2"/>
      <c r="E71" s="1" t="s">
        <v>57</v>
      </c>
      <c r="F71" s="1" t="s">
        <v>68</v>
      </c>
      <c r="G71" s="1" t="s">
        <v>80</v>
      </c>
      <c r="H71" s="1" t="s">
        <v>39</v>
      </c>
      <c r="I71" s="34"/>
      <c r="J71" s="34"/>
      <c r="L71" s="97">
        <v>145.6</v>
      </c>
      <c r="M71" s="97">
        <v>145.4</v>
      </c>
      <c r="N71" s="97">
        <v>144.5</v>
      </c>
      <c r="O71" s="97">
        <v>143.6</v>
      </c>
      <c r="P71" s="97">
        <v>142.80000000000001</v>
      </c>
      <c r="Q71" s="45"/>
      <c r="R71" s="45"/>
      <c r="S71" s="45"/>
      <c r="T71" s="45"/>
      <c r="U71" s="45"/>
      <c r="V71" s="45"/>
    </row>
    <row r="72" spans="1:23" hidden="1" outlineLevel="1" x14ac:dyDescent="0.45">
      <c r="A72" s="1"/>
      <c r="B72" s="2"/>
      <c r="E72" s="1" t="s">
        <v>58</v>
      </c>
      <c r="F72" s="1" t="s">
        <v>68</v>
      </c>
      <c r="G72" s="1" t="s">
        <v>80</v>
      </c>
      <c r="H72" s="1" t="s">
        <v>39</v>
      </c>
      <c r="I72" s="34"/>
      <c r="J72" s="34"/>
      <c r="L72" s="97" t="s">
        <v>78</v>
      </c>
      <c r="M72" s="97" t="s">
        <v>78</v>
      </c>
      <c r="N72" s="97" t="s">
        <v>78</v>
      </c>
      <c r="O72" s="97" t="s">
        <v>78</v>
      </c>
      <c r="P72" s="97" t="s">
        <v>78</v>
      </c>
      <c r="Q72" s="45"/>
      <c r="R72" s="45"/>
      <c r="S72" s="45"/>
      <c r="T72" s="45"/>
      <c r="U72" s="45"/>
      <c r="V72" s="45"/>
    </row>
    <row r="73" spans="1:23" hidden="1" outlineLevel="1" x14ac:dyDescent="0.45">
      <c r="A73" s="1"/>
      <c r="B73" s="2"/>
      <c r="E73" s="1" t="s">
        <v>75</v>
      </c>
      <c r="F73" s="1" t="s">
        <v>68</v>
      </c>
      <c r="G73" s="1" t="s">
        <v>80</v>
      </c>
      <c r="H73" s="1" t="s">
        <v>39</v>
      </c>
      <c r="I73" s="34"/>
      <c r="J73" s="34"/>
      <c r="L73" s="97" t="s">
        <v>78</v>
      </c>
      <c r="M73" s="97" t="s">
        <v>78</v>
      </c>
      <c r="N73" s="97" t="s">
        <v>78</v>
      </c>
      <c r="O73" s="97" t="s">
        <v>78</v>
      </c>
      <c r="P73" s="97" t="s">
        <v>78</v>
      </c>
      <c r="Q73" s="45"/>
      <c r="R73" s="45"/>
      <c r="S73" s="45"/>
      <c r="T73" s="45"/>
      <c r="U73" s="45"/>
      <c r="V73" s="45"/>
    </row>
    <row r="74" spans="1:23" hidden="1" outlineLevel="1" x14ac:dyDescent="0.45">
      <c r="A74" s="1"/>
      <c r="B74" s="2"/>
      <c r="E74" s="1" t="s">
        <v>76</v>
      </c>
      <c r="F74" s="1" t="s">
        <v>68</v>
      </c>
      <c r="G74" s="1" t="s">
        <v>80</v>
      </c>
      <c r="H74" s="1" t="s">
        <v>39</v>
      </c>
      <c r="I74" s="34"/>
      <c r="J74" s="34"/>
      <c r="L74" s="97" t="s">
        <v>78</v>
      </c>
      <c r="M74" s="97" t="s">
        <v>78</v>
      </c>
      <c r="N74" s="97" t="s">
        <v>78</v>
      </c>
      <c r="O74" s="97" t="s">
        <v>78</v>
      </c>
      <c r="P74" s="97" t="s">
        <v>78</v>
      </c>
      <c r="Q74" s="45"/>
      <c r="R74" s="45"/>
      <c r="S74" s="45"/>
      <c r="T74" s="45"/>
      <c r="U74" s="45"/>
      <c r="V74" s="45"/>
    </row>
    <row r="75" spans="1:23" hidden="1" outlineLevel="1" x14ac:dyDescent="0.45">
      <c r="A75" s="1"/>
      <c r="B75" s="2"/>
      <c r="E75" s="1" t="s">
        <v>59</v>
      </c>
      <c r="F75" s="1" t="s">
        <v>68</v>
      </c>
      <c r="G75" s="1" t="s">
        <v>80</v>
      </c>
      <c r="H75" s="1" t="s">
        <v>39</v>
      </c>
      <c r="I75" s="34"/>
      <c r="J75" s="34"/>
      <c r="L75" s="97">
        <v>147.29</v>
      </c>
      <c r="M75" s="97">
        <v>146.63</v>
      </c>
      <c r="N75" s="97">
        <v>145.96</v>
      </c>
      <c r="O75" s="97">
        <v>145.29</v>
      </c>
      <c r="P75" s="97">
        <v>144.61000000000001</v>
      </c>
      <c r="Q75" s="45"/>
      <c r="R75" s="45"/>
      <c r="S75" s="45"/>
      <c r="T75" s="45"/>
      <c r="U75" s="45"/>
      <c r="V75" s="45"/>
    </row>
    <row r="76" spans="1:23" hidden="1" outlineLevel="1" x14ac:dyDescent="0.45">
      <c r="A76" s="1"/>
      <c r="B76" s="2"/>
      <c r="E76" s="1" t="s">
        <v>60</v>
      </c>
      <c r="F76" s="1" t="s">
        <v>68</v>
      </c>
      <c r="G76" s="1" t="s">
        <v>80</v>
      </c>
      <c r="H76" s="1" t="s">
        <v>39</v>
      </c>
      <c r="I76" s="34"/>
      <c r="J76" s="34"/>
      <c r="L76" s="97" t="s">
        <v>78</v>
      </c>
      <c r="M76" s="97" t="s">
        <v>78</v>
      </c>
      <c r="N76" s="97" t="s">
        <v>78</v>
      </c>
      <c r="O76" s="97" t="s">
        <v>78</v>
      </c>
      <c r="P76" s="97" t="s">
        <v>78</v>
      </c>
      <c r="Q76" s="45"/>
      <c r="R76" s="45"/>
      <c r="S76" s="45"/>
      <c r="T76" s="45"/>
      <c r="U76" s="45"/>
      <c r="V76" s="45"/>
    </row>
    <row r="77" spans="1:23" hidden="1" outlineLevel="1" x14ac:dyDescent="0.45">
      <c r="A77" s="1"/>
      <c r="B77" s="2"/>
      <c r="E77" s="1" t="s">
        <v>61</v>
      </c>
      <c r="F77" s="1" t="s">
        <v>68</v>
      </c>
      <c r="G77" s="1" t="s">
        <v>80</v>
      </c>
      <c r="H77" s="1" t="s">
        <v>39</v>
      </c>
      <c r="I77" s="34"/>
      <c r="J77" s="34"/>
      <c r="L77" s="97">
        <v>162.80000000000001</v>
      </c>
      <c r="M77" s="97">
        <v>161.19999999999999</v>
      </c>
      <c r="N77" s="97">
        <v>160</v>
      </c>
      <c r="O77" s="97">
        <v>158.80000000000001</v>
      </c>
      <c r="P77" s="97">
        <v>157.69999999999999</v>
      </c>
      <c r="Q77" s="45"/>
      <c r="R77" s="45"/>
      <c r="S77" s="45"/>
      <c r="T77" s="45"/>
      <c r="U77" s="45"/>
      <c r="V77" s="45"/>
    </row>
    <row r="78" spans="1:23" collapsed="1" x14ac:dyDescent="0.45">
      <c r="A78" s="1"/>
      <c r="B78" s="2"/>
      <c r="E78" s="1"/>
      <c r="F78" s="1"/>
      <c r="G78" s="1"/>
      <c r="H78" s="1"/>
      <c r="I78" s="1"/>
      <c r="J78" s="1"/>
      <c r="K78" s="1"/>
      <c r="L78" s="99"/>
      <c r="M78" s="99"/>
      <c r="N78" s="99"/>
      <c r="O78" s="99"/>
      <c r="P78" s="99"/>
      <c r="Q78" s="99"/>
      <c r="R78" s="99"/>
      <c r="S78" s="99"/>
      <c r="T78" s="99"/>
      <c r="V78" s="99"/>
    </row>
    <row r="79" spans="1:23" x14ac:dyDescent="0.45">
      <c r="A79" s="90" t="s">
        <v>81</v>
      </c>
      <c r="B79" s="90"/>
      <c r="C79" s="90"/>
      <c r="D79" s="90"/>
      <c r="E79" s="90"/>
      <c r="F79" s="90"/>
      <c r="G79" s="90"/>
      <c r="H79" s="90"/>
      <c r="I79" s="90"/>
      <c r="J79" s="90"/>
      <c r="K79" s="90"/>
      <c r="L79" s="91"/>
      <c r="M79" s="91"/>
      <c r="N79" s="91"/>
      <c r="O79" s="91"/>
      <c r="P79" s="91"/>
      <c r="Q79" s="91"/>
      <c r="R79" s="91"/>
      <c r="S79" s="91"/>
      <c r="T79" s="91"/>
      <c r="U79" s="91"/>
      <c r="V79" s="91"/>
      <c r="W79" s="91"/>
    </row>
    <row r="80" spans="1:23" x14ac:dyDescent="0.45">
      <c r="A80" s="94"/>
      <c r="B80" s="93"/>
      <c r="C80" s="94"/>
      <c r="D80" s="94"/>
      <c r="E80" s="94"/>
      <c r="F80" s="94"/>
      <c r="G80" s="94"/>
      <c r="H80" s="94"/>
      <c r="I80" s="95"/>
      <c r="J80" s="95"/>
      <c r="K80" s="94"/>
      <c r="L80" s="96"/>
      <c r="M80" s="96"/>
      <c r="N80" s="96"/>
      <c r="O80" s="96"/>
      <c r="P80" s="96"/>
      <c r="Q80" s="96"/>
      <c r="R80" s="96"/>
      <c r="S80" s="96"/>
      <c r="T80" s="96"/>
      <c r="U80" s="96"/>
      <c r="V80" s="96"/>
      <c r="W80" s="96"/>
    </row>
    <row r="81" spans="5:22" x14ac:dyDescent="0.45">
      <c r="E81" s="1" t="s">
        <v>36</v>
      </c>
      <c r="F81" s="1" t="s">
        <v>68</v>
      </c>
      <c r="G81" s="1" t="s">
        <v>82</v>
      </c>
      <c r="H81" s="1" t="s">
        <v>39</v>
      </c>
      <c r="I81" s="34"/>
      <c r="J81" s="34"/>
      <c r="L81" s="45"/>
      <c r="M81" s="45"/>
      <c r="N81" s="45"/>
      <c r="O81" s="45"/>
      <c r="P81" s="45"/>
      <c r="Q81" s="97">
        <v>135.59087631573109</v>
      </c>
      <c r="R81" s="97">
        <v>133.92000000000002</v>
      </c>
      <c r="S81" s="97">
        <v>132.30000000000001</v>
      </c>
      <c r="T81" s="97">
        <v>130.68000000000004</v>
      </c>
      <c r="U81" s="97">
        <v>127.44</v>
      </c>
      <c r="V81" s="97">
        <v>127.44000000000003</v>
      </c>
    </row>
    <row r="82" spans="5:22" hidden="1" outlineLevel="1" x14ac:dyDescent="0.45">
      <c r="E82" s="1" t="s">
        <v>46</v>
      </c>
      <c r="F82" s="1" t="s">
        <v>68</v>
      </c>
      <c r="G82" s="1" t="s">
        <v>82</v>
      </c>
      <c r="H82" s="1" t="s">
        <v>39</v>
      </c>
      <c r="I82" s="34"/>
      <c r="J82" s="34"/>
      <c r="L82" s="45"/>
      <c r="M82" s="45"/>
      <c r="N82" s="45"/>
      <c r="O82" s="45"/>
      <c r="P82" s="45"/>
      <c r="Q82" s="97">
        <v>155.81055216354875</v>
      </c>
      <c r="R82" s="97">
        <v>153.68099999999998</v>
      </c>
      <c r="S82" s="97">
        <v>152.12866666666665</v>
      </c>
      <c r="T82" s="97">
        <v>150.57633333333331</v>
      </c>
      <c r="U82" s="97">
        <v>145.44999999999999</v>
      </c>
      <c r="V82" s="97">
        <v>145.45363333333333</v>
      </c>
    </row>
    <row r="83" spans="5:22" hidden="1" outlineLevel="1" x14ac:dyDescent="0.45">
      <c r="E83" s="1" t="s">
        <v>47</v>
      </c>
      <c r="F83" s="1" t="s">
        <v>68</v>
      </c>
      <c r="G83" s="1" t="s">
        <v>82</v>
      </c>
      <c r="H83" s="1" t="s">
        <v>39</v>
      </c>
      <c r="I83" s="34"/>
      <c r="J83" s="34"/>
      <c r="L83" s="45"/>
      <c r="M83" s="45"/>
      <c r="N83" s="45"/>
      <c r="O83" s="45"/>
      <c r="P83" s="45"/>
      <c r="Q83" s="97">
        <v>133.39011190472544</v>
      </c>
      <c r="R83" s="97">
        <v>132.26546666666667</v>
      </c>
      <c r="S83" s="97">
        <v>131.06426666666667</v>
      </c>
      <c r="T83" s="97">
        <v>129.86306666666667</v>
      </c>
      <c r="U83" s="97">
        <v>127.86</v>
      </c>
      <c r="V83" s="97">
        <v>127.86106666666666</v>
      </c>
    </row>
    <row r="84" spans="5:22" hidden="1" outlineLevel="1" x14ac:dyDescent="0.45">
      <c r="E84" s="1" t="s">
        <v>48</v>
      </c>
      <c r="F84" s="1" t="s">
        <v>68</v>
      </c>
      <c r="G84" s="1" t="s">
        <v>82</v>
      </c>
      <c r="H84" s="1" t="s">
        <v>39</v>
      </c>
      <c r="I84" s="34"/>
      <c r="J84" s="34"/>
      <c r="L84" s="45"/>
      <c r="M84" s="45"/>
      <c r="N84" s="45"/>
      <c r="O84" s="45"/>
      <c r="P84" s="45"/>
      <c r="Q84" s="97">
        <v>151.17270927162315</v>
      </c>
      <c r="R84" s="97">
        <v>149.42826666666664</v>
      </c>
      <c r="S84" s="97">
        <v>147.92193333333333</v>
      </c>
      <c r="T84" s="97">
        <v>146.26496666666665</v>
      </c>
      <c r="U84" s="97">
        <v>142.65</v>
      </c>
      <c r="V84" s="97">
        <v>142.64976666666666</v>
      </c>
    </row>
    <row r="85" spans="5:22" hidden="1" outlineLevel="1" x14ac:dyDescent="0.45">
      <c r="E85" s="9" t="s">
        <v>70</v>
      </c>
      <c r="F85" s="1" t="s">
        <v>68</v>
      </c>
      <c r="G85" s="1" t="s">
        <v>82</v>
      </c>
      <c r="H85" s="1" t="s">
        <v>39</v>
      </c>
      <c r="I85" s="34"/>
      <c r="J85" s="34"/>
      <c r="L85" s="45"/>
      <c r="M85" s="45"/>
      <c r="N85" s="45"/>
      <c r="O85" s="45"/>
      <c r="P85" s="45"/>
      <c r="Q85" s="97" t="s">
        <v>78</v>
      </c>
      <c r="R85" s="97" t="s">
        <v>78</v>
      </c>
      <c r="S85" s="97" t="s">
        <v>78</v>
      </c>
      <c r="T85" s="97" t="s">
        <v>78</v>
      </c>
      <c r="U85" s="97" t="s">
        <v>78</v>
      </c>
      <c r="V85" s="97" t="s">
        <v>78</v>
      </c>
    </row>
    <row r="86" spans="5:22" hidden="1" outlineLevel="1" x14ac:dyDescent="0.45">
      <c r="E86" s="9" t="s">
        <v>72</v>
      </c>
      <c r="F86" s="1" t="s">
        <v>68</v>
      </c>
      <c r="G86" s="1" t="s">
        <v>82</v>
      </c>
      <c r="H86" s="1" t="s">
        <v>39</v>
      </c>
      <c r="I86" s="34"/>
      <c r="J86" s="34"/>
      <c r="L86" s="45"/>
      <c r="M86" s="45"/>
      <c r="N86" s="45"/>
      <c r="O86" s="45"/>
      <c r="P86" s="45"/>
      <c r="Q86" s="97" t="s">
        <v>78</v>
      </c>
      <c r="R86" s="97" t="s">
        <v>78</v>
      </c>
      <c r="S86" s="97" t="s">
        <v>78</v>
      </c>
      <c r="T86" s="97" t="s">
        <v>78</v>
      </c>
      <c r="U86" s="97" t="s">
        <v>78</v>
      </c>
      <c r="V86" s="97" t="s">
        <v>78</v>
      </c>
    </row>
    <row r="87" spans="5:22" hidden="1" outlineLevel="1" x14ac:dyDescent="0.45">
      <c r="E87" s="1" t="s">
        <v>49</v>
      </c>
      <c r="F87" s="1" t="s">
        <v>68</v>
      </c>
      <c r="G87" s="1" t="s">
        <v>82</v>
      </c>
      <c r="H87" s="1" t="s">
        <v>39</v>
      </c>
      <c r="I87" s="34"/>
      <c r="J87" s="34"/>
      <c r="L87" s="45"/>
      <c r="M87" s="45"/>
      <c r="N87" s="45"/>
      <c r="O87" s="45"/>
      <c r="P87" s="45"/>
      <c r="Q87" s="97">
        <v>130.11639719453362</v>
      </c>
      <c r="R87" s="97">
        <v>129.1893</v>
      </c>
      <c r="S87" s="97">
        <v>128.27859999999998</v>
      </c>
      <c r="T87" s="97">
        <v>127.36789999999999</v>
      </c>
      <c r="U87" s="97">
        <v>125.55</v>
      </c>
      <c r="V87" s="97">
        <v>125.54649999999999</v>
      </c>
    </row>
    <row r="88" spans="5:22" hidden="1" outlineLevel="1" x14ac:dyDescent="0.45">
      <c r="E88" s="1" t="s">
        <v>50</v>
      </c>
      <c r="F88" s="1" t="s">
        <v>68</v>
      </c>
      <c r="G88" s="1" t="s">
        <v>82</v>
      </c>
      <c r="H88" s="1" t="s">
        <v>39</v>
      </c>
      <c r="I88" s="34"/>
      <c r="J88" s="34"/>
      <c r="L88" s="45"/>
      <c r="M88" s="45"/>
      <c r="N88" s="45"/>
      <c r="O88" s="45"/>
      <c r="P88" s="45"/>
      <c r="Q88" s="97">
        <v>146.31797762547529</v>
      </c>
      <c r="R88" s="97">
        <v>144.39400000000001</v>
      </c>
      <c r="S88" s="97">
        <v>142.642</v>
      </c>
      <c r="T88" s="97">
        <v>140.744</v>
      </c>
      <c r="U88" s="97">
        <v>136.94999999999999</v>
      </c>
      <c r="V88" s="97">
        <v>136.94799999999998</v>
      </c>
    </row>
    <row r="89" spans="5:22" hidden="1" outlineLevel="1" x14ac:dyDescent="0.45">
      <c r="E89" s="1" t="s">
        <v>51</v>
      </c>
      <c r="F89" s="1" t="s">
        <v>68</v>
      </c>
      <c r="G89" s="1" t="s">
        <v>82</v>
      </c>
      <c r="H89" s="1" t="s">
        <v>39</v>
      </c>
      <c r="I89" s="34"/>
      <c r="J89" s="34"/>
      <c r="L89" s="45"/>
      <c r="M89" s="45"/>
      <c r="N89" s="45"/>
      <c r="O89" s="45"/>
      <c r="P89" s="45"/>
      <c r="Q89" s="97">
        <v>128.75369761639615</v>
      </c>
      <c r="R89" s="97">
        <v>126.68699999999998</v>
      </c>
      <c r="S89" s="97">
        <v>125.40733333333331</v>
      </c>
      <c r="T89" s="97">
        <v>122.46409999999999</v>
      </c>
      <c r="U89" s="97">
        <v>118.75</v>
      </c>
      <c r="V89" s="97">
        <v>118.75306666666664</v>
      </c>
    </row>
    <row r="90" spans="5:22" hidden="1" outlineLevel="1" x14ac:dyDescent="0.45">
      <c r="E90" s="1" t="s">
        <v>52</v>
      </c>
      <c r="F90" s="1" t="s">
        <v>68</v>
      </c>
      <c r="G90" s="1" t="s">
        <v>82</v>
      </c>
      <c r="H90" s="1" t="s">
        <v>39</v>
      </c>
      <c r="I90" s="34"/>
      <c r="J90" s="34"/>
      <c r="L90" s="45"/>
      <c r="M90" s="45"/>
      <c r="N90" s="45"/>
      <c r="O90" s="45"/>
      <c r="P90" s="45"/>
      <c r="Q90" s="97">
        <v>146.29119514109132</v>
      </c>
      <c r="R90" s="97">
        <v>144.32806666666664</v>
      </c>
      <c r="S90" s="97">
        <v>142.57686666666663</v>
      </c>
      <c r="T90" s="97">
        <v>140.97159999999997</v>
      </c>
      <c r="U90" s="97">
        <v>136.74</v>
      </c>
      <c r="V90" s="97">
        <v>136.73953333333333</v>
      </c>
    </row>
    <row r="91" spans="5:22" hidden="1" outlineLevel="1" x14ac:dyDescent="0.45">
      <c r="E91" s="1" t="s">
        <v>74</v>
      </c>
      <c r="F91" s="1" t="s">
        <v>68</v>
      </c>
      <c r="G91" s="1" t="s">
        <v>82</v>
      </c>
      <c r="H91" s="1" t="s">
        <v>39</v>
      </c>
      <c r="I91" s="34"/>
      <c r="J91" s="34"/>
      <c r="L91" s="45"/>
      <c r="M91" s="45"/>
      <c r="N91" s="45"/>
      <c r="O91" s="45"/>
      <c r="P91" s="45"/>
      <c r="Q91" s="97">
        <v>143.98725872038253</v>
      </c>
      <c r="R91" s="97">
        <v>142.12799999999999</v>
      </c>
      <c r="S91" s="97">
        <v>140.256</v>
      </c>
      <c r="T91" s="97">
        <v>138.38399999999999</v>
      </c>
      <c r="U91" s="97">
        <v>134.93</v>
      </c>
      <c r="V91" s="97">
        <v>134.928</v>
      </c>
    </row>
    <row r="92" spans="5:22" hidden="1" outlineLevel="1" x14ac:dyDescent="0.45">
      <c r="E92" s="1" t="s">
        <v>54</v>
      </c>
      <c r="F92" s="1" t="s">
        <v>68</v>
      </c>
      <c r="G92" s="1" t="s">
        <v>82</v>
      </c>
      <c r="H92" s="1" t="s">
        <v>39</v>
      </c>
      <c r="I92" s="34"/>
      <c r="J92" s="34"/>
      <c r="L92" s="45"/>
      <c r="M92" s="45"/>
      <c r="N92" s="45"/>
      <c r="O92" s="45"/>
      <c r="P92" s="45"/>
      <c r="Q92" s="97">
        <v>137.97276495924646</v>
      </c>
      <c r="R92" s="97">
        <v>137.69550000000001</v>
      </c>
      <c r="S92" s="97">
        <v>137.55766666666668</v>
      </c>
      <c r="T92" s="97">
        <v>137.41983333333334</v>
      </c>
      <c r="U92" s="97">
        <v>136.59</v>
      </c>
      <c r="V92" s="97">
        <v>136.59283333333335</v>
      </c>
    </row>
    <row r="93" spans="5:22" hidden="1" outlineLevel="1" x14ac:dyDescent="0.45">
      <c r="E93" s="1" t="s">
        <v>55</v>
      </c>
      <c r="F93" s="1" t="s">
        <v>68</v>
      </c>
      <c r="G93" s="1" t="s">
        <v>82</v>
      </c>
      <c r="H93" s="1" t="s">
        <v>39</v>
      </c>
      <c r="I93" s="34"/>
      <c r="J93" s="34"/>
      <c r="L93" s="45"/>
      <c r="M93" s="45"/>
      <c r="N93" s="45"/>
      <c r="O93" s="45"/>
      <c r="P93" s="45"/>
      <c r="Q93" s="97">
        <v>127.30305697210653</v>
      </c>
      <c r="R93" s="97">
        <v>125.12319999999998</v>
      </c>
      <c r="S93" s="97">
        <v>121.91819999999998</v>
      </c>
      <c r="T93" s="97">
        <v>118.71319999999999</v>
      </c>
      <c r="U93" s="97">
        <v>116.79</v>
      </c>
      <c r="V93" s="97">
        <v>116.7902</v>
      </c>
    </row>
    <row r="94" spans="5:22" hidden="1" outlineLevel="1" x14ac:dyDescent="0.45">
      <c r="E94" s="1" t="s">
        <v>56</v>
      </c>
      <c r="F94" s="1" t="s">
        <v>68</v>
      </c>
      <c r="G94" s="1" t="s">
        <v>82</v>
      </c>
      <c r="H94" s="1" t="s">
        <v>39</v>
      </c>
      <c r="I94" s="34"/>
      <c r="J94" s="34"/>
      <c r="L94" s="45"/>
      <c r="M94" s="45"/>
      <c r="N94" s="45"/>
      <c r="O94" s="45"/>
      <c r="P94" s="45"/>
      <c r="Q94" s="97">
        <v>156.96516721671509</v>
      </c>
      <c r="R94" s="97">
        <v>152.4633</v>
      </c>
      <c r="S94" s="97">
        <v>147.50009999999997</v>
      </c>
      <c r="T94" s="97">
        <v>143.77770000000001</v>
      </c>
      <c r="U94" s="97">
        <v>135.71</v>
      </c>
      <c r="V94" s="97">
        <v>135.71250000000001</v>
      </c>
    </row>
    <row r="95" spans="5:22" hidden="1" outlineLevel="1" x14ac:dyDescent="0.45">
      <c r="E95" s="1" t="s">
        <v>57</v>
      </c>
      <c r="F95" s="1" t="s">
        <v>68</v>
      </c>
      <c r="G95" s="1" t="s">
        <v>82</v>
      </c>
      <c r="H95" s="1" t="s">
        <v>39</v>
      </c>
      <c r="I95" s="34"/>
      <c r="J95" s="34"/>
      <c r="L95" s="45"/>
      <c r="M95" s="45"/>
      <c r="N95" s="45"/>
      <c r="O95" s="45"/>
      <c r="P95" s="45"/>
      <c r="Q95" s="97">
        <v>148.85349477898805</v>
      </c>
      <c r="R95" s="97">
        <v>146.9314</v>
      </c>
      <c r="S95" s="97">
        <v>144.99613333333335</v>
      </c>
      <c r="T95" s="97">
        <v>143.06086666666667</v>
      </c>
      <c r="U95" s="97">
        <v>139.49</v>
      </c>
      <c r="V95" s="97">
        <v>139.48806666666667</v>
      </c>
    </row>
    <row r="96" spans="5:22" hidden="1" outlineLevel="1" x14ac:dyDescent="0.45">
      <c r="E96" s="1" t="s">
        <v>58</v>
      </c>
      <c r="F96" s="1" t="s">
        <v>68</v>
      </c>
      <c r="G96" s="1" t="s">
        <v>82</v>
      </c>
      <c r="H96" s="1" t="s">
        <v>39</v>
      </c>
      <c r="I96" s="34"/>
      <c r="J96" s="34"/>
      <c r="L96" s="45"/>
      <c r="M96" s="45"/>
      <c r="N96" s="45"/>
      <c r="O96" s="45"/>
      <c r="P96" s="45"/>
      <c r="Q96" s="97" t="s">
        <v>78</v>
      </c>
      <c r="R96" s="97" t="s">
        <v>78</v>
      </c>
      <c r="S96" s="97" t="s">
        <v>78</v>
      </c>
      <c r="T96" s="97" t="s">
        <v>78</v>
      </c>
      <c r="U96" s="97" t="s">
        <v>78</v>
      </c>
      <c r="V96" s="97" t="s">
        <v>78</v>
      </c>
    </row>
    <row r="97" spans="1:23" hidden="1" outlineLevel="1" x14ac:dyDescent="0.45">
      <c r="E97" s="1" t="s">
        <v>75</v>
      </c>
      <c r="F97" s="1" t="s">
        <v>68</v>
      </c>
      <c r="G97" s="1" t="s">
        <v>82</v>
      </c>
      <c r="H97" s="1" t="s">
        <v>39</v>
      </c>
      <c r="I97" s="34"/>
      <c r="J97" s="34"/>
      <c r="L97" s="45"/>
      <c r="M97" s="45"/>
      <c r="N97" s="45"/>
      <c r="O97" s="45"/>
      <c r="P97" s="45"/>
      <c r="Q97" s="97">
        <v>128.3124960987829</v>
      </c>
      <c r="R97" s="97">
        <v>128.11879999999999</v>
      </c>
      <c r="S97" s="97">
        <v>127.99016666666665</v>
      </c>
      <c r="T97" s="97">
        <v>127.73289999999999</v>
      </c>
      <c r="U97" s="97">
        <v>127.35</v>
      </c>
      <c r="V97" s="97">
        <v>127.34699999999999</v>
      </c>
    </row>
    <row r="98" spans="1:23" hidden="1" outlineLevel="1" x14ac:dyDescent="0.45">
      <c r="E98" s="1" t="s">
        <v>76</v>
      </c>
      <c r="F98" s="1" t="s">
        <v>68</v>
      </c>
      <c r="G98" s="1" t="s">
        <v>82</v>
      </c>
      <c r="H98" s="1" t="s">
        <v>39</v>
      </c>
      <c r="I98" s="34"/>
      <c r="J98" s="34"/>
      <c r="L98" s="45"/>
      <c r="M98" s="45"/>
      <c r="N98" s="45"/>
      <c r="O98" s="45"/>
      <c r="P98" s="45"/>
      <c r="Q98" s="97">
        <v>134.95880913322492</v>
      </c>
      <c r="R98" s="97">
        <v>133.18239999999997</v>
      </c>
      <c r="S98" s="97">
        <v>131.42999999999998</v>
      </c>
      <c r="T98" s="97">
        <v>129.81239999999997</v>
      </c>
      <c r="U98" s="97">
        <v>126.31</v>
      </c>
      <c r="V98" s="97">
        <v>126.30759999999999</v>
      </c>
    </row>
    <row r="99" spans="1:23" hidden="1" outlineLevel="1" x14ac:dyDescent="0.45">
      <c r="E99" s="1" t="s">
        <v>59</v>
      </c>
      <c r="F99" s="1" t="s">
        <v>68</v>
      </c>
      <c r="G99" s="1" t="s">
        <v>82</v>
      </c>
      <c r="H99" s="1" t="s">
        <v>39</v>
      </c>
      <c r="I99" s="34"/>
      <c r="J99" s="34"/>
      <c r="L99" s="45"/>
      <c r="M99" s="45"/>
      <c r="N99" s="45"/>
      <c r="O99" s="45"/>
      <c r="P99" s="45"/>
      <c r="Q99" s="97">
        <v>150.85333766738594</v>
      </c>
      <c r="R99" s="97">
        <v>148.90540000000001</v>
      </c>
      <c r="S99" s="97">
        <v>147.095</v>
      </c>
      <c r="T99" s="97">
        <v>145.13373333333334</v>
      </c>
      <c r="U99" s="97">
        <v>141.36000000000001</v>
      </c>
      <c r="V99" s="97">
        <v>141.36206666666669</v>
      </c>
    </row>
    <row r="100" spans="1:23" hidden="1" outlineLevel="1" x14ac:dyDescent="0.45">
      <c r="E100" s="1" t="s">
        <v>60</v>
      </c>
      <c r="F100" s="1" t="s">
        <v>68</v>
      </c>
      <c r="G100" s="1" t="s">
        <v>82</v>
      </c>
      <c r="H100" s="1" t="s">
        <v>39</v>
      </c>
      <c r="I100" s="34"/>
      <c r="J100" s="34"/>
      <c r="L100" s="45"/>
      <c r="M100" s="45"/>
      <c r="N100" s="45"/>
      <c r="O100" s="45"/>
      <c r="P100" s="45"/>
      <c r="Q100" s="97">
        <v>144.70114863905428</v>
      </c>
      <c r="R100" s="97">
        <v>142.416</v>
      </c>
      <c r="S100" s="97">
        <v>139.82399999999998</v>
      </c>
      <c r="T100" s="97">
        <v>137.376</v>
      </c>
      <c r="U100" s="97">
        <v>133.63</v>
      </c>
      <c r="V100" s="97">
        <v>133.63200000000001</v>
      </c>
    </row>
    <row r="101" spans="1:23" hidden="1" outlineLevel="1" x14ac:dyDescent="0.45">
      <c r="E101" s="1" t="s">
        <v>61</v>
      </c>
      <c r="F101" s="1" t="s">
        <v>68</v>
      </c>
      <c r="G101" s="1" t="s">
        <v>82</v>
      </c>
      <c r="H101" s="1" t="s">
        <v>39</v>
      </c>
      <c r="I101" s="34"/>
      <c r="J101" s="34"/>
      <c r="L101" s="45"/>
      <c r="M101" s="45"/>
      <c r="N101" s="45"/>
      <c r="O101" s="45"/>
      <c r="P101" s="45"/>
      <c r="Q101" s="97">
        <v>149.40520725792797</v>
      </c>
      <c r="R101" s="97">
        <v>147.24599999999998</v>
      </c>
      <c r="S101" s="97">
        <v>145.31246666666664</v>
      </c>
      <c r="T101" s="97">
        <v>143.08146666666664</v>
      </c>
      <c r="U101" s="97">
        <v>138.91999999999999</v>
      </c>
      <c r="V101" s="97">
        <v>138.9169333333333</v>
      </c>
    </row>
    <row r="102" spans="1:23" collapsed="1" x14ac:dyDescent="0.45">
      <c r="U102" s="96"/>
    </row>
    <row r="103" spans="1:23" x14ac:dyDescent="0.45">
      <c r="A103" s="100" t="s">
        <v>83</v>
      </c>
      <c r="B103" s="100"/>
      <c r="C103" s="100"/>
      <c r="D103" s="100"/>
      <c r="E103" s="100"/>
      <c r="F103" s="100"/>
      <c r="G103" s="100"/>
      <c r="H103" s="100"/>
      <c r="I103" s="100"/>
      <c r="J103" s="100"/>
      <c r="K103" s="100"/>
      <c r="L103" s="101"/>
      <c r="M103" s="101"/>
      <c r="N103" s="101"/>
      <c r="O103" s="101"/>
      <c r="P103" s="101"/>
      <c r="Q103" s="101"/>
      <c r="R103" s="101"/>
      <c r="S103" s="101"/>
      <c r="T103" s="101"/>
      <c r="U103" s="101"/>
      <c r="V103" s="101"/>
      <c r="W103" s="101"/>
    </row>
  </sheetData>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EBFC-B7A4-496E-B0D3-6B19E23E097B}">
  <sheetPr codeName="Sheet5">
    <tabColor rgb="FFFFDB8E"/>
  </sheetPr>
  <dimension ref="A1:Z84"/>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 style="86" bestFit="1" customWidth="1"/>
    <col min="6" max="6" width="20.375" style="86" customWidth="1"/>
    <col min="7" max="7" width="57.5" style="86" bestFit="1" customWidth="1"/>
    <col min="8" max="8" width="7.875" style="86" customWidth="1"/>
    <col min="9" max="9" width="10.75" style="98" customWidth="1"/>
    <col min="10" max="10" width="2.75" style="86" customWidth="1"/>
    <col min="11" max="23" width="9" style="99" customWidth="1"/>
    <col min="24" max="26" width="0" style="99" hidden="1" customWidth="1"/>
    <col min="27" max="16384" width="9" style="99" hidden="1"/>
  </cols>
  <sheetData>
    <row r="1" spans="1:24" s="37" customFormat="1" ht="30.75" x14ac:dyDescent="0.35">
      <c r="A1" s="4" t="str">
        <f ca="1">RIGHT(CELL("filename", A1), LEN(CELL("filename", A1)) - SEARCH("]", CELL("filename", A1)))</f>
        <v>NHH.Inputs</v>
      </c>
      <c r="B1" s="4"/>
      <c r="C1" s="4"/>
      <c r="D1" s="5"/>
      <c r="E1" s="4"/>
      <c r="F1" s="4"/>
      <c r="G1" s="4"/>
      <c r="H1" s="4"/>
      <c r="I1" s="31"/>
      <c r="J1" s="4"/>
    </row>
    <row r="2" spans="1:24" s="38" customFormat="1" ht="13.15" x14ac:dyDescent="0.35">
      <c r="A2" s="6"/>
      <c r="B2" s="1"/>
      <c r="C2" s="1"/>
      <c r="D2" s="1"/>
      <c r="E2" s="1"/>
      <c r="F2" s="1"/>
      <c r="G2" s="1"/>
      <c r="H2" s="1"/>
      <c r="I2" s="32"/>
      <c r="J2" s="1"/>
      <c r="K2" s="43" t="s">
        <v>15</v>
      </c>
      <c r="L2" s="43" t="s">
        <v>16</v>
      </c>
      <c r="M2" s="43" t="s">
        <v>17</v>
      </c>
      <c r="N2" s="43" t="s">
        <v>18</v>
      </c>
      <c r="O2" s="43" t="s">
        <v>19</v>
      </c>
      <c r="P2" s="43" t="s">
        <v>20</v>
      </c>
      <c r="Q2" s="43" t="s">
        <v>21</v>
      </c>
      <c r="R2" s="43" t="s">
        <v>22</v>
      </c>
      <c r="S2" s="43" t="s">
        <v>23</v>
      </c>
      <c r="T2" s="43" t="s">
        <v>24</v>
      </c>
      <c r="U2" s="43" t="s">
        <v>25</v>
      </c>
      <c r="V2" s="43" t="s">
        <v>26</v>
      </c>
      <c r="W2" s="43"/>
      <c r="X2" s="43"/>
    </row>
    <row r="3" spans="1:24" s="38" customFormat="1" ht="13.15" x14ac:dyDescent="0.35">
      <c r="A3" s="6"/>
      <c r="B3" s="1"/>
      <c r="C3" s="1"/>
      <c r="D3" s="1"/>
      <c r="E3" s="7" t="s">
        <v>62</v>
      </c>
      <c r="F3" s="7" t="s">
        <v>63</v>
      </c>
      <c r="G3" s="7" t="s">
        <v>64</v>
      </c>
      <c r="H3" s="7" t="s">
        <v>13</v>
      </c>
      <c r="I3" s="33" t="s">
        <v>65</v>
      </c>
      <c r="J3" s="1"/>
    </row>
    <row r="4" spans="1:24" s="38" customFormat="1" ht="13.15" x14ac:dyDescent="0.35">
      <c r="A4" s="6"/>
      <c r="B4" s="1"/>
      <c r="C4" s="1"/>
      <c r="D4" s="1"/>
      <c r="E4" s="1"/>
      <c r="F4" s="6"/>
      <c r="G4" s="1"/>
      <c r="H4" s="1"/>
      <c r="I4" s="32"/>
      <c r="J4" s="1"/>
    </row>
    <row r="5" spans="1:24" s="38" customFormat="1" ht="13.15" x14ac:dyDescent="0.35">
      <c r="A5" s="6"/>
      <c r="B5" s="1"/>
      <c r="C5" s="1"/>
      <c r="D5" s="1"/>
      <c r="E5" s="1"/>
      <c r="F5" s="1"/>
      <c r="G5" s="1"/>
      <c r="H5" s="1"/>
      <c r="I5" s="32"/>
      <c r="J5" s="3"/>
    </row>
    <row r="6" spans="1:24" s="38" customFormat="1" ht="13.15" x14ac:dyDescent="0.35">
      <c r="A6" s="6"/>
      <c r="B6" s="1"/>
      <c r="C6" s="1"/>
      <c r="D6" s="1"/>
      <c r="E6" s="1"/>
      <c r="F6" s="1"/>
      <c r="G6" s="1"/>
      <c r="H6" s="1"/>
      <c r="I6" s="32"/>
      <c r="J6" s="8"/>
      <c r="K6" s="42"/>
      <c r="L6" s="42"/>
      <c r="M6" s="42"/>
      <c r="N6" s="42"/>
      <c r="O6" s="42"/>
      <c r="P6" s="42"/>
      <c r="Q6" s="42"/>
      <c r="R6" s="42"/>
      <c r="S6" s="42"/>
      <c r="T6" s="42"/>
      <c r="U6" s="42"/>
      <c r="V6" s="42"/>
      <c r="W6" s="42"/>
      <c r="X6" s="42"/>
    </row>
    <row r="7" spans="1:24" s="91" customFormat="1" ht="13.15" x14ac:dyDescent="0.35">
      <c r="A7" s="90" t="s">
        <v>84</v>
      </c>
      <c r="B7" s="90"/>
      <c r="C7" s="90"/>
      <c r="D7" s="90"/>
      <c r="E7" s="90"/>
      <c r="F7" s="90"/>
      <c r="G7" s="90"/>
      <c r="H7" s="90"/>
      <c r="I7" s="90"/>
      <c r="J7" s="90"/>
    </row>
    <row r="8" spans="1:24" s="38" customFormat="1" ht="13.15" x14ac:dyDescent="0.35">
      <c r="A8" s="1"/>
      <c r="B8" s="1"/>
      <c r="C8" s="1"/>
      <c r="D8" s="1"/>
      <c r="E8" s="1"/>
      <c r="F8" s="1"/>
      <c r="G8" s="1"/>
      <c r="H8" s="1"/>
      <c r="I8" s="103"/>
      <c r="J8" s="103"/>
    </row>
    <row r="9" spans="1:24" s="38" customFormat="1" ht="13.15" x14ac:dyDescent="0.4">
      <c r="A9" s="1"/>
      <c r="B9" s="1"/>
      <c r="C9" s="1"/>
      <c r="D9" s="1"/>
      <c r="E9" s="1" t="s">
        <v>36</v>
      </c>
      <c r="F9" s="1" t="s">
        <v>85</v>
      </c>
      <c r="G9" s="1" t="s">
        <v>86</v>
      </c>
      <c r="H9" s="1" t="s">
        <v>45</v>
      </c>
      <c r="I9" s="34"/>
      <c r="J9" s="103"/>
      <c r="K9" s="97">
        <v>256.18669812729894</v>
      </c>
      <c r="L9" s="97">
        <v>268.71515007748133</v>
      </c>
      <c r="M9" s="97">
        <v>271.72210410562474</v>
      </c>
      <c r="N9" s="97">
        <v>269.13362289216855</v>
      </c>
      <c r="O9" s="97">
        <v>266.50319612384959</v>
      </c>
      <c r="P9" s="97">
        <v>266.79385040446863</v>
      </c>
      <c r="Q9" s="97">
        <v>273.94122279526317</v>
      </c>
      <c r="R9" s="97">
        <v>290.27595497144318</v>
      </c>
      <c r="S9" s="97">
        <v>283.89642438596104</v>
      </c>
      <c r="T9" s="45"/>
      <c r="U9" s="45"/>
      <c r="V9" s="45"/>
    </row>
    <row r="10" spans="1:24" s="38" customFormat="1" ht="13.15" hidden="1" outlineLevel="1" x14ac:dyDescent="0.4">
      <c r="A10" s="1"/>
      <c r="B10" s="1"/>
      <c r="C10" s="1"/>
      <c r="D10" s="1"/>
      <c r="E10" s="1" t="s">
        <v>46</v>
      </c>
      <c r="F10" s="1" t="s">
        <v>85</v>
      </c>
      <c r="G10" s="1" t="s">
        <v>86</v>
      </c>
      <c r="H10" s="1" t="s">
        <v>45</v>
      </c>
      <c r="I10" s="34"/>
      <c r="J10" s="103"/>
      <c r="K10" s="97">
        <v>180.52190113981817</v>
      </c>
      <c r="L10" s="97">
        <v>167.389590634531</v>
      </c>
      <c r="M10" s="97">
        <v>170.56504619197139</v>
      </c>
      <c r="N10" s="97">
        <v>174.88706734860099</v>
      </c>
      <c r="O10" s="97">
        <v>168.65167798016324</v>
      </c>
      <c r="P10" s="97">
        <v>173.24098709785636</v>
      </c>
      <c r="Q10" s="97">
        <v>168.75673713247463</v>
      </c>
      <c r="R10" s="97">
        <v>177.95660646660153</v>
      </c>
      <c r="S10" s="97">
        <v>174.23922431940841</v>
      </c>
      <c r="T10" s="45"/>
      <c r="U10" s="45"/>
      <c r="V10" s="45"/>
    </row>
    <row r="11" spans="1:24" s="38" customFormat="1" ht="13.15" hidden="1" outlineLevel="1" x14ac:dyDescent="0.4">
      <c r="A11" s="1"/>
      <c r="B11" s="1"/>
      <c r="C11" s="1"/>
      <c r="D11" s="1"/>
      <c r="E11" s="1" t="s">
        <v>47</v>
      </c>
      <c r="F11" s="1" t="s">
        <v>85</v>
      </c>
      <c r="G11" s="1" t="s">
        <v>86</v>
      </c>
      <c r="H11" s="1" t="s">
        <v>45</v>
      </c>
      <c r="I11" s="34"/>
      <c r="J11" s="103"/>
      <c r="K11" s="97">
        <v>18.638319709805753</v>
      </c>
      <c r="L11" s="97">
        <v>17.402594390897615</v>
      </c>
      <c r="M11" s="97">
        <v>17.267476924450875</v>
      </c>
      <c r="N11" s="97">
        <v>18.428014787353771</v>
      </c>
      <c r="O11" s="97">
        <v>17.031066531364086</v>
      </c>
      <c r="P11" s="97">
        <v>18.454920799753616</v>
      </c>
      <c r="Q11" s="97">
        <v>18.64056205649408</v>
      </c>
      <c r="R11" s="97">
        <v>14.757258414171357</v>
      </c>
      <c r="S11" s="97">
        <v>14.412147653597705</v>
      </c>
      <c r="T11" s="45"/>
      <c r="U11" s="45"/>
      <c r="V11" s="45"/>
    </row>
    <row r="12" spans="1:24" s="38" customFormat="1" ht="13.15" hidden="1" outlineLevel="1" x14ac:dyDescent="0.4">
      <c r="A12" s="1"/>
      <c r="B12" s="1"/>
      <c r="C12" s="1"/>
      <c r="D12" s="1"/>
      <c r="E12" s="1" t="s">
        <v>48</v>
      </c>
      <c r="F12" s="1" t="s">
        <v>85</v>
      </c>
      <c r="G12" s="1" t="s">
        <v>86</v>
      </c>
      <c r="H12" s="1" t="s">
        <v>45</v>
      </c>
      <c r="I12" s="34"/>
      <c r="J12" s="103"/>
      <c r="K12" s="97">
        <v>248.5</v>
      </c>
      <c r="L12" s="97">
        <v>232.83</v>
      </c>
      <c r="M12" s="97">
        <v>227.61</v>
      </c>
      <c r="N12" s="97">
        <v>226</v>
      </c>
      <c r="O12" s="97">
        <v>216.34</v>
      </c>
      <c r="P12" s="97">
        <v>226.86</v>
      </c>
      <c r="Q12" s="97">
        <v>214.54</v>
      </c>
      <c r="R12" s="97">
        <v>212.08</v>
      </c>
      <c r="S12" s="97">
        <v>210.35</v>
      </c>
      <c r="T12" s="45"/>
      <c r="U12" s="45"/>
      <c r="V12" s="45"/>
    </row>
    <row r="13" spans="1:24" s="38" customFormat="1" ht="13.15" hidden="1" outlineLevel="1" x14ac:dyDescent="0.4">
      <c r="A13" s="1"/>
      <c r="B13" s="1"/>
      <c r="C13" s="1"/>
      <c r="D13" s="1"/>
      <c r="E13" s="1" t="s">
        <v>70</v>
      </c>
      <c r="F13" s="1" t="s">
        <v>85</v>
      </c>
      <c r="G13" s="1" t="s">
        <v>86</v>
      </c>
      <c r="H13" s="1" t="s">
        <v>45</v>
      </c>
      <c r="I13" s="34"/>
      <c r="J13" s="103"/>
      <c r="K13" s="97">
        <v>157.13999999999999</v>
      </c>
      <c r="L13" s="97">
        <v>152.21</v>
      </c>
      <c r="M13" s="97">
        <v>149.84</v>
      </c>
      <c r="N13" s="97">
        <v>149.5</v>
      </c>
      <c r="O13" s="97">
        <v>141.30000000000001</v>
      </c>
      <c r="P13" s="97">
        <v>146.43</v>
      </c>
      <c r="Q13" s="97">
        <v>139.32</v>
      </c>
      <c r="R13" s="97">
        <v>138.85</v>
      </c>
      <c r="S13" s="97">
        <v>137.69999999999999</v>
      </c>
      <c r="T13" s="45"/>
      <c r="U13" s="45"/>
      <c r="V13" s="45"/>
    </row>
    <row r="14" spans="1:24" s="38" customFormat="1" ht="13.15" hidden="1" outlineLevel="1" x14ac:dyDescent="0.4">
      <c r="A14" s="1"/>
      <c r="B14" s="1"/>
      <c r="C14" s="1"/>
      <c r="D14" s="1"/>
      <c r="E14" s="1" t="s">
        <v>72</v>
      </c>
      <c r="F14" s="1" t="s">
        <v>85</v>
      </c>
      <c r="G14" s="1" t="s">
        <v>86</v>
      </c>
      <c r="H14" s="1" t="s">
        <v>45</v>
      </c>
      <c r="I14" s="34"/>
      <c r="J14" s="103"/>
      <c r="K14" s="97">
        <v>91.36</v>
      </c>
      <c r="L14" s="97">
        <v>80.62</v>
      </c>
      <c r="M14" s="97">
        <v>77.78</v>
      </c>
      <c r="N14" s="97">
        <v>76.5</v>
      </c>
      <c r="O14" s="97">
        <v>75.03</v>
      </c>
      <c r="P14" s="97">
        <v>80.42</v>
      </c>
      <c r="Q14" s="97">
        <v>75.22</v>
      </c>
      <c r="R14" s="97">
        <v>73.22</v>
      </c>
      <c r="S14" s="97">
        <v>72.650000000000006</v>
      </c>
      <c r="T14" s="45"/>
      <c r="U14" s="45"/>
      <c r="V14" s="45"/>
    </row>
    <row r="15" spans="1:24" s="38" customFormat="1" ht="13.15" hidden="1" outlineLevel="1" x14ac:dyDescent="0.4">
      <c r="A15" s="1"/>
      <c r="B15" s="1"/>
      <c r="C15" s="1"/>
      <c r="D15" s="1"/>
      <c r="E15" s="1" t="s">
        <v>49</v>
      </c>
      <c r="F15" s="1" t="s">
        <v>85</v>
      </c>
      <c r="G15" s="1" t="s">
        <v>86</v>
      </c>
      <c r="H15" s="1" t="s">
        <v>45</v>
      </c>
      <c r="I15" s="34"/>
      <c r="J15" s="103"/>
      <c r="K15" s="97">
        <v>366.5477337362899</v>
      </c>
      <c r="L15" s="97">
        <v>346.7192520239488</v>
      </c>
      <c r="M15" s="97">
        <v>350.78411343057974</v>
      </c>
      <c r="N15" s="97">
        <v>358.73900436328262</v>
      </c>
      <c r="O15" s="97">
        <v>369.66149287232673</v>
      </c>
      <c r="P15" s="97">
        <v>356.78521808246688</v>
      </c>
      <c r="Q15" s="97">
        <v>352.53470337434783</v>
      </c>
      <c r="R15" s="97">
        <v>367.09313601160761</v>
      </c>
      <c r="S15" s="97">
        <v>362.51228232200407</v>
      </c>
      <c r="T15" s="45"/>
      <c r="U15" s="45"/>
      <c r="V15" s="45"/>
    </row>
    <row r="16" spans="1:24" s="38" customFormat="1" ht="13.15" hidden="1" outlineLevel="1" x14ac:dyDescent="0.4">
      <c r="A16" s="1"/>
      <c r="B16" s="1"/>
      <c r="C16" s="1"/>
      <c r="D16" s="1"/>
      <c r="E16" s="1" t="s">
        <v>50</v>
      </c>
      <c r="F16" s="1" t="s">
        <v>85</v>
      </c>
      <c r="G16" s="1" t="s">
        <v>86</v>
      </c>
      <c r="H16" s="1" t="s">
        <v>45</v>
      </c>
      <c r="I16" s="34"/>
      <c r="J16" s="103"/>
      <c r="K16" s="97">
        <v>152.56568080785055</v>
      </c>
      <c r="L16" s="97">
        <v>146.98318222951107</v>
      </c>
      <c r="M16" s="97">
        <v>147.18614947223739</v>
      </c>
      <c r="N16" s="97">
        <v>148.79490090124523</v>
      </c>
      <c r="O16" s="97">
        <v>146.8168151597265</v>
      </c>
      <c r="P16" s="97">
        <v>142.160040915823</v>
      </c>
      <c r="Q16" s="97">
        <v>142.68138459039636</v>
      </c>
      <c r="R16" s="97">
        <v>149.34904251948734</v>
      </c>
      <c r="S16" s="97">
        <v>137.34842379805798</v>
      </c>
      <c r="T16" s="45"/>
      <c r="U16" s="45"/>
      <c r="V16" s="45"/>
    </row>
    <row r="17" spans="1:23" s="38" customFormat="1" ht="13.15" hidden="1" outlineLevel="1" x14ac:dyDescent="0.4">
      <c r="A17" s="1"/>
      <c r="B17" s="1"/>
      <c r="C17" s="1"/>
      <c r="D17" s="1"/>
      <c r="E17" s="1" t="s">
        <v>51</v>
      </c>
      <c r="F17" s="1" t="s">
        <v>85</v>
      </c>
      <c r="G17" s="1" t="s">
        <v>86</v>
      </c>
      <c r="H17" s="1" t="s">
        <v>45</v>
      </c>
      <c r="I17" s="34"/>
      <c r="J17" s="103"/>
      <c r="K17" s="97">
        <v>89.082200063422505</v>
      </c>
      <c r="L17" s="97">
        <v>98.629271201496451</v>
      </c>
      <c r="M17" s="97">
        <v>98.482497151223654</v>
      </c>
      <c r="N17" s="97">
        <v>100.99719723988947</v>
      </c>
      <c r="O17" s="97">
        <v>103.04</v>
      </c>
      <c r="P17" s="97">
        <v>104.75569757270328</v>
      </c>
      <c r="Q17" s="97">
        <v>112.90667307633258</v>
      </c>
      <c r="R17" s="97">
        <v>115.31615325917093</v>
      </c>
      <c r="S17" s="97">
        <v>108.43521761089715</v>
      </c>
      <c r="T17" s="45"/>
      <c r="U17" s="45"/>
      <c r="V17" s="45"/>
    </row>
    <row r="18" spans="1:23" s="38" customFormat="1" ht="13.15" hidden="1" outlineLevel="1" x14ac:dyDescent="0.4">
      <c r="A18" s="1"/>
      <c r="B18" s="1"/>
      <c r="C18" s="1"/>
      <c r="D18" s="1"/>
      <c r="E18" s="1" t="s">
        <v>52</v>
      </c>
      <c r="F18" s="1" t="s">
        <v>85</v>
      </c>
      <c r="G18" s="1" t="s">
        <v>86</v>
      </c>
      <c r="H18" s="1" t="s">
        <v>45</v>
      </c>
      <c r="I18" s="34"/>
      <c r="J18" s="103"/>
      <c r="K18" s="97">
        <v>480.82</v>
      </c>
      <c r="L18" s="97">
        <v>470.58</v>
      </c>
      <c r="M18" s="97">
        <v>485.54</v>
      </c>
      <c r="N18" s="97">
        <v>492.69</v>
      </c>
      <c r="O18" s="97">
        <v>484.15</v>
      </c>
      <c r="P18" s="97">
        <v>461.7</v>
      </c>
      <c r="Q18" s="97">
        <v>475.68</v>
      </c>
      <c r="R18" s="97">
        <v>464.63</v>
      </c>
      <c r="S18" s="97">
        <v>445.91293581550701</v>
      </c>
      <c r="T18" s="45"/>
      <c r="U18" s="45"/>
      <c r="V18" s="45"/>
    </row>
    <row r="19" spans="1:23" s="38" customFormat="1" ht="13.15" hidden="1" outlineLevel="1" x14ac:dyDescent="0.4">
      <c r="A19" s="1"/>
      <c r="B19" s="1"/>
      <c r="C19" s="1"/>
      <c r="D19" s="1"/>
      <c r="E19" s="1" t="s">
        <v>74</v>
      </c>
      <c r="F19" s="1" t="s">
        <v>85</v>
      </c>
      <c r="G19" s="1" t="s">
        <v>86</v>
      </c>
      <c r="H19" s="1" t="s">
        <v>45</v>
      </c>
      <c r="I19" s="34"/>
      <c r="J19" s="103"/>
      <c r="K19" s="97">
        <v>364.33660123915894</v>
      </c>
      <c r="L19" s="97">
        <v>359.98189954068823</v>
      </c>
      <c r="M19" s="97">
        <v>350.12890509108729</v>
      </c>
      <c r="N19" s="97">
        <v>352.39185960913539</v>
      </c>
      <c r="O19" s="97">
        <v>360.35446188378842</v>
      </c>
      <c r="P19" s="97">
        <v>358.14048905613294</v>
      </c>
      <c r="Q19" s="97">
        <v>351.8917368285891</v>
      </c>
      <c r="R19" s="97">
        <v>363.44415298763369</v>
      </c>
      <c r="S19" s="97">
        <v>364.49178364906459</v>
      </c>
      <c r="T19" s="45"/>
      <c r="U19" s="45"/>
      <c r="V19" s="45"/>
    </row>
    <row r="20" spans="1:23" s="38" customFormat="1" ht="13.15" hidden="1" outlineLevel="1" x14ac:dyDescent="0.4">
      <c r="A20" s="1"/>
      <c r="B20" s="1"/>
      <c r="C20" s="1"/>
      <c r="D20" s="1"/>
      <c r="E20" s="1" t="s">
        <v>54</v>
      </c>
      <c r="F20" s="1" t="s">
        <v>85</v>
      </c>
      <c r="G20" s="1" t="s">
        <v>86</v>
      </c>
      <c r="H20" s="1" t="s">
        <v>45</v>
      </c>
      <c r="I20" s="34"/>
      <c r="J20" s="103"/>
      <c r="K20" s="97">
        <v>83.39</v>
      </c>
      <c r="L20" s="97">
        <v>78.98</v>
      </c>
      <c r="M20" s="97">
        <v>81.87</v>
      </c>
      <c r="N20" s="97">
        <v>81.55</v>
      </c>
      <c r="O20" s="97">
        <v>81.430000000000007</v>
      </c>
      <c r="P20" s="97">
        <v>80.56</v>
      </c>
      <c r="Q20" s="97">
        <v>81.38</v>
      </c>
      <c r="R20" s="97">
        <v>83.52</v>
      </c>
      <c r="S20" s="97">
        <v>78.930000000000007</v>
      </c>
      <c r="T20" s="45"/>
      <c r="U20" s="45"/>
      <c r="V20" s="45"/>
    </row>
    <row r="21" spans="1:23" s="38" customFormat="1" ht="13.15" hidden="1" outlineLevel="1" x14ac:dyDescent="0.4">
      <c r="A21" s="1"/>
      <c r="B21" s="1"/>
      <c r="C21" s="1"/>
      <c r="D21" s="1"/>
      <c r="E21" s="1" t="s">
        <v>55</v>
      </c>
      <c r="F21" s="1" t="s">
        <v>85</v>
      </c>
      <c r="G21" s="1" t="s">
        <v>86</v>
      </c>
      <c r="H21" s="1" t="s">
        <v>45</v>
      </c>
      <c r="I21" s="34"/>
      <c r="J21" s="103"/>
      <c r="K21" s="97">
        <v>270.63</v>
      </c>
      <c r="L21" s="97">
        <v>257.08</v>
      </c>
      <c r="M21" s="97">
        <v>262.58999999999997</v>
      </c>
      <c r="N21" s="97">
        <v>264.89</v>
      </c>
      <c r="O21" s="97">
        <v>267.16000000000003</v>
      </c>
      <c r="P21" s="97">
        <v>265.70999999999998</v>
      </c>
      <c r="Q21" s="97">
        <v>273.07</v>
      </c>
      <c r="R21" s="97">
        <v>289.19</v>
      </c>
      <c r="S21" s="97">
        <v>274.48</v>
      </c>
      <c r="T21" s="45"/>
      <c r="U21" s="45"/>
      <c r="V21" s="45"/>
    </row>
    <row r="22" spans="1:23" s="38" customFormat="1" ht="13.15" hidden="1" outlineLevel="1" x14ac:dyDescent="0.4">
      <c r="A22" s="1"/>
      <c r="B22" s="1"/>
      <c r="C22" s="1"/>
      <c r="D22" s="1"/>
      <c r="E22" s="1" t="s">
        <v>56</v>
      </c>
      <c r="F22" s="1" t="s">
        <v>85</v>
      </c>
      <c r="G22" s="1" t="s">
        <v>86</v>
      </c>
      <c r="H22" s="1" t="s">
        <v>45</v>
      </c>
      <c r="I22" s="34"/>
      <c r="J22" s="103"/>
      <c r="K22" s="97">
        <v>167.96914205372548</v>
      </c>
      <c r="L22" s="97">
        <v>159.93479428281674</v>
      </c>
      <c r="M22" s="97">
        <v>164.02899586449857</v>
      </c>
      <c r="N22" s="97">
        <v>162.44942958159677</v>
      </c>
      <c r="O22" s="97">
        <v>159.80893918851666</v>
      </c>
      <c r="P22" s="97">
        <v>162.28220346217395</v>
      </c>
      <c r="Q22" s="97">
        <v>169.38282426079684</v>
      </c>
      <c r="R22" s="97">
        <v>172.4907301677359</v>
      </c>
      <c r="S22" s="97">
        <v>167.39139318278498</v>
      </c>
      <c r="T22" s="45"/>
      <c r="U22" s="45"/>
      <c r="V22" s="45"/>
    </row>
    <row r="23" spans="1:23" s="38" customFormat="1" ht="13.15" hidden="1" outlineLevel="1" x14ac:dyDescent="0.4">
      <c r="A23" s="1"/>
      <c r="B23" s="1"/>
      <c r="C23" s="1"/>
      <c r="D23" s="1"/>
      <c r="E23" s="1" t="s">
        <v>57</v>
      </c>
      <c r="F23" s="1" t="s">
        <v>85</v>
      </c>
      <c r="G23" s="1" t="s">
        <v>86</v>
      </c>
      <c r="H23" s="1" t="s">
        <v>45</v>
      </c>
      <c r="I23" s="34"/>
      <c r="J23" s="103"/>
      <c r="K23" s="97">
        <v>58.074009599999997</v>
      </c>
      <c r="L23" s="97">
        <v>55.895735280000004</v>
      </c>
      <c r="M23" s="97">
        <v>57.368322059999997</v>
      </c>
      <c r="N23" s="97">
        <v>58.529674415833334</v>
      </c>
      <c r="O23" s="97">
        <v>59.282804104166672</v>
      </c>
      <c r="P23" s="97">
        <v>59.320324060000004</v>
      </c>
      <c r="Q23" s="97">
        <v>59.24</v>
      </c>
      <c r="R23" s="97">
        <v>60.122540853785807</v>
      </c>
      <c r="S23" s="97">
        <v>58.260490648447842</v>
      </c>
      <c r="T23" s="45"/>
      <c r="U23" s="45"/>
      <c r="V23" s="45"/>
    </row>
    <row r="24" spans="1:23" s="38" customFormat="1" ht="13.15" hidden="1" outlineLevel="1" x14ac:dyDescent="0.4">
      <c r="A24" s="1"/>
      <c r="B24" s="1"/>
      <c r="C24" s="1"/>
      <c r="D24" s="1"/>
      <c r="E24" s="1" t="s">
        <v>58</v>
      </c>
      <c r="F24" s="1" t="s">
        <v>85</v>
      </c>
      <c r="G24" s="1" t="s">
        <v>86</v>
      </c>
      <c r="H24" s="1" t="s">
        <v>45</v>
      </c>
      <c r="I24" s="34"/>
      <c r="J24" s="103"/>
      <c r="K24" s="97">
        <v>69.927677330346071</v>
      </c>
      <c r="L24" s="97">
        <v>70.27</v>
      </c>
      <c r="M24" s="97">
        <v>69.849999999999994</v>
      </c>
      <c r="N24" s="97">
        <v>69.400000000000006</v>
      </c>
      <c r="O24" s="97">
        <v>71.150000000000006</v>
      </c>
      <c r="P24" s="97">
        <v>72.680000000000007</v>
      </c>
      <c r="Q24" s="97">
        <v>74.44</v>
      </c>
      <c r="R24" s="97">
        <v>77.13</v>
      </c>
      <c r="S24" s="97">
        <v>83.88</v>
      </c>
      <c r="T24" s="45"/>
      <c r="U24" s="45"/>
      <c r="V24" s="45"/>
    </row>
    <row r="25" spans="1:23" s="38" customFormat="1" ht="13.15" hidden="1" outlineLevel="1" x14ac:dyDescent="0.4">
      <c r="A25" s="1"/>
      <c r="B25" s="1"/>
      <c r="C25" s="1"/>
      <c r="D25" s="1"/>
      <c r="E25" s="1" t="s">
        <v>75</v>
      </c>
      <c r="F25" s="1" t="s">
        <v>85</v>
      </c>
      <c r="G25" s="1" t="s">
        <v>86</v>
      </c>
      <c r="H25" s="1" t="s">
        <v>45</v>
      </c>
      <c r="I25" s="34"/>
      <c r="J25" s="103"/>
      <c r="K25" s="97">
        <v>49.7</v>
      </c>
      <c r="L25" s="97">
        <v>50.04</v>
      </c>
      <c r="M25" s="97">
        <v>50.02</v>
      </c>
      <c r="N25" s="97">
        <v>49.51</v>
      </c>
      <c r="O25" s="97">
        <v>50.64</v>
      </c>
      <c r="P25" s="97">
        <v>52.25</v>
      </c>
      <c r="Q25" s="97">
        <v>53.36</v>
      </c>
      <c r="R25" s="97">
        <v>54.79</v>
      </c>
      <c r="S25" s="97">
        <v>58.3</v>
      </c>
      <c r="T25" s="45"/>
      <c r="U25" s="45"/>
      <c r="V25" s="45"/>
    </row>
    <row r="26" spans="1:23" s="38" customFormat="1" ht="13.15" hidden="1" outlineLevel="1" x14ac:dyDescent="0.4">
      <c r="A26" s="1"/>
      <c r="B26" s="1"/>
      <c r="C26" s="1"/>
      <c r="D26" s="1"/>
      <c r="E26" s="1" t="s">
        <v>76</v>
      </c>
      <c r="F26" s="1" t="s">
        <v>85</v>
      </c>
      <c r="G26" s="1" t="s">
        <v>86</v>
      </c>
      <c r="H26" s="1" t="s">
        <v>45</v>
      </c>
      <c r="I26" s="34"/>
      <c r="J26" s="103"/>
      <c r="K26" s="97">
        <v>20.227677330346069</v>
      </c>
      <c r="L26" s="97">
        <v>20.23</v>
      </c>
      <c r="M26" s="97">
        <v>19.829999999999998</v>
      </c>
      <c r="N26" s="97">
        <v>19.89</v>
      </c>
      <c r="O26" s="97">
        <v>20.51</v>
      </c>
      <c r="P26" s="97">
        <v>20.43</v>
      </c>
      <c r="Q26" s="97">
        <v>21.08</v>
      </c>
      <c r="R26" s="97">
        <v>22.34</v>
      </c>
      <c r="S26" s="97">
        <v>25.58</v>
      </c>
      <c r="T26" s="45"/>
      <c r="U26" s="45"/>
      <c r="V26" s="45"/>
    </row>
    <row r="27" spans="1:23" s="38" customFormat="1" ht="13.15" hidden="1" outlineLevel="1" x14ac:dyDescent="0.4">
      <c r="A27" s="1"/>
      <c r="B27" s="1"/>
      <c r="C27" s="1"/>
      <c r="D27" s="1"/>
      <c r="E27" s="1" t="s">
        <v>59</v>
      </c>
      <c r="F27" s="1" t="s">
        <v>85</v>
      </c>
      <c r="G27" s="1" t="s">
        <v>86</v>
      </c>
      <c r="H27" s="1" t="s">
        <v>45</v>
      </c>
      <c r="I27" s="34"/>
      <c r="J27" s="103"/>
      <c r="K27" s="97">
        <v>39.159999999999997</v>
      </c>
      <c r="L27" s="97">
        <v>34.57</v>
      </c>
      <c r="M27" s="97">
        <v>35.270000000000003</v>
      </c>
      <c r="N27" s="97">
        <v>34.78</v>
      </c>
      <c r="O27" s="97">
        <v>35.29</v>
      </c>
      <c r="P27" s="97">
        <v>34</v>
      </c>
      <c r="Q27" s="97">
        <v>32.82</v>
      </c>
      <c r="R27" s="97">
        <v>33.799999999999997</v>
      </c>
      <c r="S27" s="97">
        <v>32.04</v>
      </c>
      <c r="T27" s="45"/>
      <c r="U27" s="45"/>
      <c r="V27" s="45"/>
    </row>
    <row r="28" spans="1:23" s="38" customFormat="1" ht="13.15" hidden="1" outlineLevel="1" x14ac:dyDescent="0.4">
      <c r="A28" s="1"/>
      <c r="B28" s="1"/>
      <c r="C28" s="1"/>
      <c r="D28" s="1"/>
      <c r="E28" s="1" t="s">
        <v>60</v>
      </c>
      <c r="F28" s="1" t="s">
        <v>85</v>
      </c>
      <c r="G28" s="1" t="s">
        <v>86</v>
      </c>
      <c r="H28" s="1" t="s">
        <v>45</v>
      </c>
      <c r="I28" s="34"/>
      <c r="J28" s="103"/>
      <c r="K28" s="97">
        <v>103.9</v>
      </c>
      <c r="L28" s="97">
        <v>95.005056792952473</v>
      </c>
      <c r="M28" s="97">
        <v>98.92</v>
      </c>
      <c r="N28" s="97">
        <v>99.21</v>
      </c>
      <c r="O28" s="97">
        <v>97.52</v>
      </c>
      <c r="P28" s="97">
        <v>94.06</v>
      </c>
      <c r="Q28" s="97">
        <v>90.88450755656163</v>
      </c>
      <c r="R28" s="97">
        <v>94.387368957038163</v>
      </c>
      <c r="S28" s="97">
        <v>91.486272296847488</v>
      </c>
      <c r="T28" s="45"/>
      <c r="U28" s="45"/>
      <c r="V28" s="45"/>
    </row>
    <row r="29" spans="1:23" s="38" customFormat="1" ht="13.15" hidden="1" outlineLevel="1" x14ac:dyDescent="0.4">
      <c r="A29" s="1"/>
      <c r="B29" s="1"/>
      <c r="C29" s="1"/>
      <c r="D29" s="1"/>
      <c r="E29" s="1" t="s">
        <v>61</v>
      </c>
      <c r="F29" s="1" t="s">
        <v>85</v>
      </c>
      <c r="G29" s="1" t="s">
        <v>86</v>
      </c>
      <c r="H29" s="1" t="s">
        <v>45</v>
      </c>
      <c r="I29" s="34"/>
      <c r="J29" s="103"/>
      <c r="K29" s="97">
        <v>24.512609234972679</v>
      </c>
      <c r="L29" s="97">
        <v>23.8</v>
      </c>
      <c r="M29" s="97">
        <v>23.84</v>
      </c>
      <c r="N29" s="97">
        <v>24.48</v>
      </c>
      <c r="O29" s="97">
        <v>25.24</v>
      </c>
      <c r="P29" s="97">
        <v>25.77</v>
      </c>
      <c r="Q29" s="97">
        <v>23.26</v>
      </c>
      <c r="R29" s="97">
        <v>22.77</v>
      </c>
      <c r="S29" s="97">
        <v>23.26</v>
      </c>
      <c r="T29" s="45"/>
      <c r="U29" s="45"/>
      <c r="V29" s="45"/>
    </row>
    <row r="30" spans="1:23" s="38" customFormat="1" ht="13.15" collapsed="1" x14ac:dyDescent="0.35">
      <c r="A30" s="1"/>
      <c r="B30" s="1"/>
      <c r="C30" s="1"/>
      <c r="D30" s="1"/>
      <c r="E30" s="1"/>
      <c r="F30" s="1"/>
      <c r="G30" s="1"/>
      <c r="H30" s="1"/>
      <c r="I30" s="32"/>
      <c r="J30" s="103"/>
    </row>
    <row r="31" spans="1:23" s="91" customFormat="1" ht="13.15" x14ac:dyDescent="0.35">
      <c r="A31" s="90" t="s">
        <v>87</v>
      </c>
      <c r="B31" s="90"/>
      <c r="C31" s="90"/>
      <c r="D31" s="90"/>
      <c r="E31" s="90"/>
      <c r="F31" s="90"/>
      <c r="G31" s="90"/>
      <c r="H31" s="90"/>
      <c r="I31" s="90"/>
      <c r="J31" s="90"/>
    </row>
    <row r="32" spans="1:23" s="38" customFormat="1" x14ac:dyDescent="0.45">
      <c r="A32" s="1"/>
      <c r="B32" s="1"/>
      <c r="C32" s="1"/>
      <c r="D32" s="1"/>
      <c r="E32" s="1"/>
      <c r="F32" s="1"/>
      <c r="G32" s="1"/>
      <c r="H32" s="1"/>
      <c r="I32" s="32"/>
      <c r="J32" s="103"/>
      <c r="W32" s="99"/>
    </row>
    <row r="33" spans="1:23" s="38" customFormat="1" x14ac:dyDescent="0.45">
      <c r="A33" s="1"/>
      <c r="B33" s="1"/>
      <c r="C33" s="1"/>
      <c r="D33" s="1"/>
      <c r="E33" s="1" t="s">
        <v>36</v>
      </c>
      <c r="F33" s="1" t="s">
        <v>85</v>
      </c>
      <c r="G33" s="1" t="s">
        <v>88</v>
      </c>
      <c r="H33" s="1" t="s">
        <v>45</v>
      </c>
      <c r="I33" s="34"/>
      <c r="J33" s="103"/>
      <c r="K33" s="97">
        <v>2.0107363540535603</v>
      </c>
      <c r="L33" s="97">
        <v>1.8926338248931875</v>
      </c>
      <c r="M33" s="97">
        <v>1.6357995922586566</v>
      </c>
      <c r="N33" s="97">
        <v>1.4424880566079312</v>
      </c>
      <c r="O33" s="97">
        <v>1.2227960502349842</v>
      </c>
      <c r="P33" s="97">
        <v>1.1053870784498991</v>
      </c>
      <c r="Q33" s="97">
        <v>0.75669701807798251</v>
      </c>
      <c r="R33" s="97">
        <v>0.86105745674450307</v>
      </c>
      <c r="S33" s="97">
        <v>0.82332587817376646</v>
      </c>
      <c r="T33" s="45"/>
      <c r="U33" s="45"/>
      <c r="V33" s="45"/>
      <c r="W33" s="99"/>
    </row>
    <row r="34" spans="1:23" s="38" customFormat="1" hidden="1" outlineLevel="1" x14ac:dyDescent="0.45">
      <c r="A34" s="1"/>
      <c r="B34" s="1"/>
      <c r="C34" s="1"/>
      <c r="D34" s="1"/>
      <c r="E34" s="1" t="s">
        <v>46</v>
      </c>
      <c r="F34" s="1" t="s">
        <v>85</v>
      </c>
      <c r="G34" s="1" t="s">
        <v>88</v>
      </c>
      <c r="H34" s="1" t="s">
        <v>45</v>
      </c>
      <c r="I34" s="34"/>
      <c r="J34" s="103"/>
      <c r="K34" s="97">
        <v>5.1757946595419106</v>
      </c>
      <c r="L34" s="97">
        <v>4.2704361302037226</v>
      </c>
      <c r="M34" s="97">
        <v>4.3296225844247163</v>
      </c>
      <c r="N34" s="97">
        <v>5.1460451586428491</v>
      </c>
      <c r="O34" s="97">
        <v>4.7213679114013791</v>
      </c>
      <c r="P34" s="97">
        <v>5.3633145188133087</v>
      </c>
      <c r="Q34" s="97">
        <v>5.4128830833496018</v>
      </c>
      <c r="R34" s="97">
        <v>5.6156114770810079</v>
      </c>
      <c r="S34" s="97">
        <v>4.0029973362039151</v>
      </c>
      <c r="T34" s="45"/>
      <c r="U34" s="45"/>
      <c r="V34" s="45"/>
      <c r="W34" s="99"/>
    </row>
    <row r="35" spans="1:23" s="38" customFormat="1" hidden="1" outlineLevel="1" x14ac:dyDescent="0.45">
      <c r="A35" s="1"/>
      <c r="B35" s="1"/>
      <c r="C35" s="1"/>
      <c r="D35" s="1"/>
      <c r="E35" s="1" t="s">
        <v>47</v>
      </c>
      <c r="F35" s="1" t="s">
        <v>85</v>
      </c>
      <c r="G35" s="1" t="s">
        <v>88</v>
      </c>
      <c r="H35" s="1" t="s">
        <v>45</v>
      </c>
      <c r="I35" s="34"/>
      <c r="J35" s="103"/>
      <c r="K35" s="97">
        <v>0.43687176472783357</v>
      </c>
      <c r="L35" s="97">
        <v>0.58092877393079712</v>
      </c>
      <c r="M35" s="97">
        <v>0.51654214576353152</v>
      </c>
      <c r="N35" s="97">
        <v>0.40652965837316585</v>
      </c>
      <c r="O35" s="97">
        <v>0.34780119866195436</v>
      </c>
      <c r="P35" s="97">
        <v>0.67637250828967144</v>
      </c>
      <c r="Q35" s="97">
        <v>0.71599000159989279</v>
      </c>
      <c r="R35" s="97">
        <v>1.22435888829836</v>
      </c>
      <c r="S35" s="97">
        <v>1.296776562982612</v>
      </c>
      <c r="T35" s="45"/>
      <c r="U35" s="45"/>
      <c r="V35" s="45"/>
      <c r="W35" s="99"/>
    </row>
    <row r="36" spans="1:23" s="38" customFormat="1" hidden="1" outlineLevel="1" x14ac:dyDescent="0.45">
      <c r="A36" s="1"/>
      <c r="B36" s="1"/>
      <c r="C36" s="1"/>
      <c r="D36" s="1"/>
      <c r="E36" s="1" t="s">
        <v>48</v>
      </c>
      <c r="F36" s="1" t="s">
        <v>85</v>
      </c>
      <c r="G36" s="1" t="s">
        <v>88</v>
      </c>
      <c r="H36" s="1" t="s">
        <v>45</v>
      </c>
      <c r="I36" s="34"/>
      <c r="J36" s="103"/>
      <c r="K36" s="97">
        <v>6.25</v>
      </c>
      <c r="L36" s="97">
        <v>5.85</v>
      </c>
      <c r="M36" s="97">
        <v>5.77</v>
      </c>
      <c r="N36" s="97">
        <v>4.92</v>
      </c>
      <c r="O36" s="97">
        <v>6.31</v>
      </c>
      <c r="P36" s="97">
        <v>6.11</v>
      </c>
      <c r="Q36" s="97">
        <v>6.17</v>
      </c>
      <c r="R36" s="97">
        <v>5.92</v>
      </c>
      <c r="S36" s="97">
        <v>4.7300000000000004</v>
      </c>
      <c r="T36" s="45"/>
      <c r="U36" s="45"/>
      <c r="V36" s="45"/>
      <c r="W36" s="99"/>
    </row>
    <row r="37" spans="1:23" s="38" customFormat="1" hidden="1" outlineLevel="1" x14ac:dyDescent="0.45">
      <c r="A37" s="1"/>
      <c r="B37" s="1"/>
      <c r="C37" s="1"/>
      <c r="D37" s="1"/>
      <c r="E37" s="1" t="s">
        <v>70</v>
      </c>
      <c r="F37" s="1" t="s">
        <v>85</v>
      </c>
      <c r="G37" s="1" t="s">
        <v>88</v>
      </c>
      <c r="H37" s="1" t="s">
        <v>45</v>
      </c>
      <c r="I37" s="34"/>
      <c r="J37" s="103"/>
      <c r="K37" s="97">
        <v>5.0999999999999996</v>
      </c>
      <c r="L37" s="97">
        <v>4.76</v>
      </c>
      <c r="M37" s="97">
        <v>4.71</v>
      </c>
      <c r="N37" s="97">
        <v>3.91</v>
      </c>
      <c r="O37" s="97">
        <v>5.33</v>
      </c>
      <c r="P37" s="97">
        <v>4.99</v>
      </c>
      <c r="Q37" s="97">
        <v>5.07</v>
      </c>
      <c r="R37" s="97">
        <v>4.9000000000000004</v>
      </c>
      <c r="S37" s="97">
        <v>3.77</v>
      </c>
      <c r="T37" s="45"/>
      <c r="U37" s="45"/>
      <c r="V37" s="45"/>
      <c r="W37" s="99"/>
    </row>
    <row r="38" spans="1:23" s="38" customFormat="1" hidden="1" outlineLevel="1" x14ac:dyDescent="0.45">
      <c r="A38" s="1"/>
      <c r="B38" s="1"/>
      <c r="C38" s="1"/>
      <c r="D38" s="1"/>
      <c r="E38" s="1" t="s">
        <v>72</v>
      </c>
      <c r="F38" s="1" t="s">
        <v>85</v>
      </c>
      <c r="G38" s="1" t="s">
        <v>88</v>
      </c>
      <c r="H38" s="1" t="s">
        <v>45</v>
      </c>
      <c r="I38" s="34"/>
      <c r="J38" s="103"/>
      <c r="K38" s="97">
        <v>1.1499999999999999</v>
      </c>
      <c r="L38" s="97">
        <v>1.0900000000000001</v>
      </c>
      <c r="M38" s="97">
        <v>1.06</v>
      </c>
      <c r="N38" s="97">
        <v>1.01</v>
      </c>
      <c r="O38" s="97">
        <v>0.98</v>
      </c>
      <c r="P38" s="97">
        <v>1.1299999999999999</v>
      </c>
      <c r="Q38" s="97">
        <v>1.1000000000000001</v>
      </c>
      <c r="R38" s="97">
        <v>1.01</v>
      </c>
      <c r="S38" s="97">
        <v>0.96</v>
      </c>
      <c r="T38" s="45"/>
      <c r="U38" s="45"/>
      <c r="V38" s="45"/>
      <c r="W38" s="99"/>
    </row>
    <row r="39" spans="1:23" s="38" customFormat="1" hidden="1" outlineLevel="1" x14ac:dyDescent="0.45">
      <c r="A39" s="1"/>
      <c r="B39" s="1"/>
      <c r="C39" s="1"/>
      <c r="D39" s="1"/>
      <c r="E39" s="1" t="s">
        <v>49</v>
      </c>
      <c r="F39" s="1" t="s">
        <v>85</v>
      </c>
      <c r="G39" s="1" t="s">
        <v>88</v>
      </c>
      <c r="H39" s="1" t="s">
        <v>45</v>
      </c>
      <c r="I39" s="34"/>
      <c r="J39" s="103"/>
      <c r="K39" s="97">
        <v>10.367203956741788</v>
      </c>
      <c r="L39" s="97">
        <v>10.060208790488755</v>
      </c>
      <c r="M39" s="97">
        <v>10.002952061238085</v>
      </c>
      <c r="N39" s="97">
        <v>8.9771411137321309</v>
      </c>
      <c r="O39" s="97">
        <v>8.6983484039023633</v>
      </c>
      <c r="P39" s="97">
        <v>6.8550098171135065</v>
      </c>
      <c r="Q39" s="97">
        <v>7.6470657593559528</v>
      </c>
      <c r="R39" s="97">
        <v>7.1153832514033821</v>
      </c>
      <c r="S39" s="97">
        <v>7.5796531634587518</v>
      </c>
      <c r="T39" s="45"/>
      <c r="U39" s="45"/>
      <c r="V39" s="45"/>
      <c r="W39" s="99"/>
    </row>
    <row r="40" spans="1:23" s="38" customFormat="1" hidden="1" outlineLevel="1" x14ac:dyDescent="0.45">
      <c r="A40" s="1"/>
      <c r="B40" s="1"/>
      <c r="C40" s="1"/>
      <c r="D40" s="1"/>
      <c r="E40" s="1" t="s">
        <v>50</v>
      </c>
      <c r="F40" s="1" t="s">
        <v>85</v>
      </c>
      <c r="G40" s="1" t="s">
        <v>88</v>
      </c>
      <c r="H40" s="1" t="s">
        <v>45</v>
      </c>
      <c r="I40" s="34"/>
      <c r="J40" s="103"/>
      <c r="K40" s="97">
        <v>8.4784788582999564</v>
      </c>
      <c r="L40" s="97">
        <v>8.6849776629310291</v>
      </c>
      <c r="M40" s="97">
        <v>9.2751468976328919</v>
      </c>
      <c r="N40" s="97">
        <v>8.8866816081942659</v>
      </c>
      <c r="O40" s="97">
        <v>3.443341398778264</v>
      </c>
      <c r="P40" s="97">
        <v>4.2592115374205735</v>
      </c>
      <c r="Q40" s="97">
        <v>3.102975460990546</v>
      </c>
      <c r="R40" s="97">
        <v>2.9431951015335698</v>
      </c>
      <c r="S40" s="97">
        <v>3.0759908751382761</v>
      </c>
      <c r="T40" s="45"/>
      <c r="U40" s="45"/>
      <c r="V40" s="45"/>
      <c r="W40" s="99"/>
    </row>
    <row r="41" spans="1:23" s="38" customFormat="1" hidden="1" outlineLevel="1" x14ac:dyDescent="0.45">
      <c r="A41" s="1"/>
      <c r="B41" s="1"/>
      <c r="C41" s="1"/>
      <c r="D41" s="1"/>
      <c r="E41" s="1" t="s">
        <v>51</v>
      </c>
      <c r="F41" s="1" t="s">
        <v>85</v>
      </c>
      <c r="G41" s="1" t="s">
        <v>88</v>
      </c>
      <c r="H41" s="1" t="s">
        <v>45</v>
      </c>
      <c r="I41" s="34"/>
      <c r="J41" s="103"/>
      <c r="K41" s="97">
        <v>4.5517788234770791</v>
      </c>
      <c r="L41" s="97">
        <v>4.9502320394740522</v>
      </c>
      <c r="M41" s="97">
        <v>4.6053284012569922</v>
      </c>
      <c r="N41" s="97">
        <v>5.1681622492232799</v>
      </c>
      <c r="O41" s="97">
        <v>7.25</v>
      </c>
      <c r="P41" s="97">
        <v>4.4858696076135116</v>
      </c>
      <c r="Q41" s="97">
        <v>5.3419656600079239</v>
      </c>
      <c r="R41" s="97">
        <v>4.84</v>
      </c>
      <c r="S41" s="97">
        <v>4.0243381770602786</v>
      </c>
      <c r="T41" s="45"/>
      <c r="U41" s="45"/>
      <c r="V41" s="45"/>
      <c r="W41" s="99"/>
    </row>
    <row r="42" spans="1:23" s="38" customFormat="1" hidden="1" outlineLevel="1" x14ac:dyDescent="0.45">
      <c r="A42" s="1"/>
      <c r="B42" s="1"/>
      <c r="C42" s="1"/>
      <c r="D42" s="1"/>
      <c r="E42" s="1" t="s">
        <v>52</v>
      </c>
      <c r="F42" s="1" t="s">
        <v>85</v>
      </c>
      <c r="G42" s="1" t="s">
        <v>88</v>
      </c>
      <c r="H42" s="1" t="s">
        <v>45</v>
      </c>
      <c r="I42" s="34"/>
      <c r="J42" s="103"/>
      <c r="K42" s="97">
        <v>20.69</v>
      </c>
      <c r="L42" s="97">
        <v>19.61</v>
      </c>
      <c r="M42" s="97">
        <v>15.85</v>
      </c>
      <c r="N42" s="97">
        <v>15.26</v>
      </c>
      <c r="O42" s="97">
        <v>15.47</v>
      </c>
      <c r="P42" s="97">
        <v>17.05</v>
      </c>
      <c r="Q42" s="97">
        <v>15.97</v>
      </c>
      <c r="R42" s="97">
        <v>14.26</v>
      </c>
      <c r="S42" s="97">
        <v>14.611728125030901</v>
      </c>
      <c r="T42" s="45"/>
      <c r="U42" s="45"/>
      <c r="V42" s="45"/>
      <c r="W42" s="99"/>
    </row>
    <row r="43" spans="1:23" s="38" customFormat="1" hidden="1" outlineLevel="1" x14ac:dyDescent="0.45">
      <c r="A43" s="1"/>
      <c r="B43" s="1"/>
      <c r="C43" s="1"/>
      <c r="D43" s="1"/>
      <c r="E43" s="1" t="s">
        <v>74</v>
      </c>
      <c r="F43" s="1" t="s">
        <v>85</v>
      </c>
      <c r="G43" s="1" t="s">
        <v>88</v>
      </c>
      <c r="H43" s="1" t="s">
        <v>45</v>
      </c>
      <c r="I43" s="34"/>
      <c r="J43" s="103"/>
      <c r="K43" s="97">
        <v>13.486018839819831</v>
      </c>
      <c r="L43" s="97">
        <v>12.792434714899713</v>
      </c>
      <c r="M43" s="97">
        <v>11.252863651851495</v>
      </c>
      <c r="N43" s="97">
        <v>10.08463874668743</v>
      </c>
      <c r="O43" s="97">
        <v>9.7287471632893183</v>
      </c>
      <c r="P43" s="97">
        <v>10.504600868938484</v>
      </c>
      <c r="Q43" s="97">
        <v>13.938321031914443</v>
      </c>
      <c r="R43" s="97">
        <v>13.372317869958968</v>
      </c>
      <c r="S43" s="97">
        <v>12.849546245225049</v>
      </c>
      <c r="T43" s="45"/>
      <c r="U43" s="45"/>
      <c r="V43" s="45"/>
      <c r="W43" s="99"/>
    </row>
    <row r="44" spans="1:23" s="38" customFormat="1" hidden="1" outlineLevel="1" x14ac:dyDescent="0.45">
      <c r="A44" s="1"/>
      <c r="B44" s="1"/>
      <c r="C44" s="1"/>
      <c r="D44" s="1"/>
      <c r="E44" s="1" t="s">
        <v>54</v>
      </c>
      <c r="F44" s="1" t="s">
        <v>85</v>
      </c>
      <c r="G44" s="1" t="s">
        <v>88</v>
      </c>
      <c r="H44" s="1" t="s">
        <v>45</v>
      </c>
      <c r="I44" s="34"/>
      <c r="J44" s="103"/>
      <c r="K44" s="97">
        <v>18.28</v>
      </c>
      <c r="L44" s="97">
        <v>17.690000000000001</v>
      </c>
      <c r="M44" s="97">
        <v>17.440000000000001</v>
      </c>
      <c r="N44" s="97">
        <v>17.45</v>
      </c>
      <c r="O44" s="97">
        <v>17.07</v>
      </c>
      <c r="P44" s="97">
        <v>17.02</v>
      </c>
      <c r="Q44" s="97">
        <v>16.829999999999998</v>
      </c>
      <c r="R44" s="97">
        <v>16.87</v>
      </c>
      <c r="S44" s="97">
        <v>16.28</v>
      </c>
      <c r="T44" s="45"/>
      <c r="U44" s="45"/>
      <c r="V44" s="45"/>
      <c r="W44" s="99"/>
    </row>
    <row r="45" spans="1:23" s="38" customFormat="1" hidden="1" outlineLevel="1" x14ac:dyDescent="0.45">
      <c r="A45" s="1"/>
      <c r="B45" s="1"/>
      <c r="C45" s="1"/>
      <c r="D45" s="1"/>
      <c r="E45" s="1" t="s">
        <v>55</v>
      </c>
      <c r="F45" s="1" t="s">
        <v>85</v>
      </c>
      <c r="G45" s="1" t="s">
        <v>88</v>
      </c>
      <c r="H45" s="1" t="s">
        <v>45</v>
      </c>
      <c r="I45" s="34"/>
      <c r="J45" s="103"/>
      <c r="K45" s="97">
        <v>1.94</v>
      </c>
      <c r="L45" s="97">
        <v>1.94</v>
      </c>
      <c r="M45" s="97">
        <v>1.94</v>
      </c>
      <c r="N45" s="97">
        <v>1.94</v>
      </c>
      <c r="O45" s="97">
        <v>1.97</v>
      </c>
      <c r="P45" s="97">
        <v>1.99</v>
      </c>
      <c r="Q45" s="97">
        <v>2.2000000000000002</v>
      </c>
      <c r="R45" s="97">
        <v>2.12</v>
      </c>
      <c r="S45" s="97">
        <v>2.1</v>
      </c>
      <c r="T45" s="45"/>
      <c r="U45" s="45"/>
      <c r="V45" s="45"/>
      <c r="W45" s="99"/>
    </row>
    <row r="46" spans="1:23" s="38" customFormat="1" hidden="1" outlineLevel="1" x14ac:dyDescent="0.45">
      <c r="A46" s="1"/>
      <c r="B46" s="1"/>
      <c r="C46" s="1"/>
      <c r="D46" s="1"/>
      <c r="E46" s="1" t="s">
        <v>56</v>
      </c>
      <c r="F46" s="1" t="s">
        <v>85</v>
      </c>
      <c r="G46" s="1" t="s">
        <v>88</v>
      </c>
      <c r="H46" s="1" t="s">
        <v>45</v>
      </c>
      <c r="I46" s="34"/>
      <c r="J46" s="103"/>
      <c r="K46" s="97">
        <v>10.264577995943924</v>
      </c>
      <c r="L46" s="97">
        <v>9.5414241361098711</v>
      </c>
      <c r="M46" s="97">
        <v>8.640257155818821</v>
      </c>
      <c r="N46" s="97">
        <v>9.4006938128651747</v>
      </c>
      <c r="O46" s="97">
        <v>9.0753082105699345</v>
      </c>
      <c r="P46" s="97">
        <v>10.104447882837784</v>
      </c>
      <c r="Q46" s="97">
        <v>9.5531958569939786</v>
      </c>
      <c r="R46" s="97">
        <v>9.9885397406347387</v>
      </c>
      <c r="S46" s="97">
        <v>9.4759612301771181</v>
      </c>
      <c r="T46" s="45"/>
      <c r="U46" s="45"/>
      <c r="V46" s="45"/>
      <c r="W46" s="99"/>
    </row>
    <row r="47" spans="1:23" s="38" customFormat="1" hidden="1" outlineLevel="1" x14ac:dyDescent="0.45">
      <c r="A47" s="1"/>
      <c r="B47" s="1"/>
      <c r="C47" s="1"/>
      <c r="D47" s="1"/>
      <c r="E47" s="1" t="s">
        <v>57</v>
      </c>
      <c r="F47" s="1" t="s">
        <v>85</v>
      </c>
      <c r="G47" s="1" t="s">
        <v>88</v>
      </c>
      <c r="H47" s="1" t="s">
        <v>45</v>
      </c>
      <c r="I47" s="34"/>
      <c r="J47" s="103"/>
      <c r="K47" s="97">
        <v>2.3223261800000001</v>
      </c>
      <c r="L47" s="97">
        <v>1.9779104000000001</v>
      </c>
      <c r="M47" s="97">
        <v>1.4134727199999999</v>
      </c>
      <c r="N47" s="97">
        <v>0.83000735000000003</v>
      </c>
      <c r="O47" s="97">
        <v>0.60262145833333336</v>
      </c>
      <c r="P47" s="97">
        <v>0.49206523000000002</v>
      </c>
      <c r="Q47" s="97">
        <v>0.41000000000000003</v>
      </c>
      <c r="R47" s="97">
        <v>0.3525027739818124</v>
      </c>
      <c r="S47" s="97">
        <v>0.3537875966478386</v>
      </c>
      <c r="T47" s="45"/>
      <c r="U47" s="45"/>
      <c r="V47" s="45"/>
      <c r="W47" s="99"/>
    </row>
    <row r="48" spans="1:23" s="38" customFormat="1" hidden="1" outlineLevel="1" x14ac:dyDescent="0.45">
      <c r="A48" s="1"/>
      <c r="B48" s="1"/>
      <c r="C48" s="1"/>
      <c r="D48" s="1"/>
      <c r="E48" s="1" t="s">
        <v>58</v>
      </c>
      <c r="F48" s="1" t="s">
        <v>85</v>
      </c>
      <c r="G48" s="1" t="s">
        <v>88</v>
      </c>
      <c r="H48" s="1" t="s">
        <v>45</v>
      </c>
      <c r="I48" s="34"/>
      <c r="J48" s="103"/>
      <c r="K48" s="97">
        <v>3.6108741172952969</v>
      </c>
      <c r="L48" s="97">
        <v>3.5300000000000002</v>
      </c>
      <c r="M48" s="97">
        <v>3.4099999999999997</v>
      </c>
      <c r="N48" s="97">
        <v>3.3200000000000003</v>
      </c>
      <c r="O48" s="97">
        <v>3.23</v>
      </c>
      <c r="P48" s="97">
        <v>3.27</v>
      </c>
      <c r="Q48" s="97">
        <v>3.32</v>
      </c>
      <c r="R48" s="97">
        <v>3.25</v>
      </c>
      <c r="S48" s="97">
        <v>3.3000000000000003</v>
      </c>
      <c r="T48" s="45"/>
      <c r="U48" s="45"/>
      <c r="V48" s="45"/>
      <c r="W48" s="99"/>
    </row>
    <row r="49" spans="1:23" s="38" customFormat="1" hidden="1" outlineLevel="1" x14ac:dyDescent="0.45">
      <c r="A49" s="1"/>
      <c r="B49" s="1"/>
      <c r="C49" s="1"/>
      <c r="D49" s="1"/>
      <c r="E49" s="1" t="s">
        <v>75</v>
      </c>
      <c r="F49" s="1" t="s">
        <v>85</v>
      </c>
      <c r="G49" s="1" t="s">
        <v>88</v>
      </c>
      <c r="H49" s="1" t="s">
        <v>45</v>
      </c>
      <c r="I49" s="34"/>
      <c r="J49" s="103"/>
      <c r="K49" s="97">
        <v>2.98</v>
      </c>
      <c r="L49" s="97">
        <v>2.91</v>
      </c>
      <c r="M49" s="97">
        <v>2.78</v>
      </c>
      <c r="N49" s="97">
        <v>2.7</v>
      </c>
      <c r="O49" s="97">
        <v>2.61</v>
      </c>
      <c r="P49" s="97">
        <v>2.63</v>
      </c>
      <c r="Q49" s="97">
        <v>2.61</v>
      </c>
      <c r="R49" s="97">
        <v>2.62</v>
      </c>
      <c r="S49" s="97">
        <v>2.68</v>
      </c>
      <c r="T49" s="45"/>
      <c r="U49" s="45"/>
      <c r="V49" s="45"/>
      <c r="W49" s="99"/>
    </row>
    <row r="50" spans="1:23" s="38" customFormat="1" hidden="1" outlineLevel="1" x14ac:dyDescent="0.45">
      <c r="A50" s="1"/>
      <c r="B50" s="1"/>
      <c r="C50" s="1"/>
      <c r="D50" s="1"/>
      <c r="E50" s="1" t="s">
        <v>76</v>
      </c>
      <c r="F50" s="1" t="s">
        <v>85</v>
      </c>
      <c r="G50" s="1" t="s">
        <v>88</v>
      </c>
      <c r="H50" s="1" t="s">
        <v>45</v>
      </c>
      <c r="I50" s="34"/>
      <c r="J50" s="103"/>
      <c r="K50" s="97">
        <v>0.63087411729529674</v>
      </c>
      <c r="L50" s="97">
        <v>0.62</v>
      </c>
      <c r="M50" s="97">
        <v>0.63</v>
      </c>
      <c r="N50" s="97">
        <v>0.62</v>
      </c>
      <c r="O50" s="97">
        <v>0.62</v>
      </c>
      <c r="P50" s="97">
        <v>0.64</v>
      </c>
      <c r="Q50" s="97">
        <v>0.71</v>
      </c>
      <c r="R50" s="97">
        <v>0.63</v>
      </c>
      <c r="S50" s="97">
        <v>0.62</v>
      </c>
      <c r="T50" s="45"/>
      <c r="U50" s="45"/>
      <c r="V50" s="45"/>
      <c r="W50" s="99"/>
    </row>
    <row r="51" spans="1:23" s="38" customFormat="1" hidden="1" outlineLevel="1" x14ac:dyDescent="0.45">
      <c r="A51" s="1"/>
      <c r="B51" s="1"/>
      <c r="C51" s="1"/>
      <c r="D51" s="1"/>
      <c r="E51" s="1" t="s">
        <v>59</v>
      </c>
      <c r="F51" s="1" t="s">
        <v>85</v>
      </c>
      <c r="G51" s="1" t="s">
        <v>88</v>
      </c>
      <c r="H51" s="1" t="s">
        <v>45</v>
      </c>
      <c r="I51" s="34"/>
      <c r="J51" s="103"/>
      <c r="K51" s="97">
        <v>1.49</v>
      </c>
      <c r="L51" s="97">
        <v>1.1299999999999999</v>
      </c>
      <c r="M51" s="97">
        <v>1.17</v>
      </c>
      <c r="N51" s="97">
        <v>1.1200000000000001</v>
      </c>
      <c r="O51" s="97">
        <v>0.13</v>
      </c>
      <c r="P51" s="97">
        <v>0.44</v>
      </c>
      <c r="Q51" s="97">
        <v>0.87</v>
      </c>
      <c r="R51" s="97">
        <v>0.79</v>
      </c>
      <c r="S51" s="97">
        <v>0.61</v>
      </c>
      <c r="T51" s="45"/>
      <c r="U51" s="45"/>
      <c r="V51" s="45"/>
      <c r="W51" s="99"/>
    </row>
    <row r="52" spans="1:23" s="38" customFormat="1" hidden="1" outlineLevel="1" x14ac:dyDescent="0.45">
      <c r="A52" s="1"/>
      <c r="B52" s="1"/>
      <c r="C52" s="1"/>
      <c r="D52" s="1"/>
      <c r="E52" s="1" t="s">
        <v>60</v>
      </c>
      <c r="F52" s="1" t="s">
        <v>85</v>
      </c>
      <c r="G52" s="1" t="s">
        <v>88</v>
      </c>
      <c r="H52" s="1" t="s">
        <v>45</v>
      </c>
      <c r="I52" s="34"/>
      <c r="J52" s="103"/>
      <c r="K52" s="97">
        <v>6.08</v>
      </c>
      <c r="L52" s="97">
        <v>5.3907035882991341</v>
      </c>
      <c r="M52" s="97">
        <v>4.96</v>
      </c>
      <c r="N52" s="97">
        <v>4.3499999999999996</v>
      </c>
      <c r="O52" s="97">
        <v>3.05</v>
      </c>
      <c r="P52" s="97">
        <v>2.89</v>
      </c>
      <c r="Q52" s="97">
        <v>2.8732974744426691</v>
      </c>
      <c r="R52" s="97">
        <v>3.1401592016279363</v>
      </c>
      <c r="S52" s="97">
        <v>2.4071937021356997</v>
      </c>
      <c r="T52" s="45"/>
      <c r="U52" s="45"/>
      <c r="V52" s="45"/>
      <c r="W52" s="99"/>
    </row>
    <row r="53" spans="1:23" s="38" customFormat="1" hidden="1" outlineLevel="1" x14ac:dyDescent="0.45">
      <c r="A53" s="1"/>
      <c r="B53" s="1"/>
      <c r="C53" s="1"/>
      <c r="D53" s="1"/>
      <c r="E53" s="1" t="s">
        <v>61</v>
      </c>
      <c r="F53" s="1" t="s">
        <v>85</v>
      </c>
      <c r="G53" s="1" t="s">
        <v>88</v>
      </c>
      <c r="H53" s="1" t="s">
        <v>45</v>
      </c>
      <c r="I53" s="34"/>
      <c r="J53" s="103"/>
      <c r="K53" s="97">
        <v>0.5803788902135949</v>
      </c>
      <c r="L53" s="97">
        <v>0.63</v>
      </c>
      <c r="M53" s="97">
        <v>0.61</v>
      </c>
      <c r="N53" s="97">
        <v>0.71</v>
      </c>
      <c r="O53" s="97">
        <v>0.71</v>
      </c>
      <c r="P53" s="97">
        <v>1.55</v>
      </c>
      <c r="Q53" s="97">
        <v>1.42</v>
      </c>
      <c r="R53" s="97">
        <v>1.84</v>
      </c>
      <c r="S53" s="97">
        <v>1.59</v>
      </c>
      <c r="T53" s="45"/>
      <c r="U53" s="45"/>
      <c r="V53" s="45"/>
      <c r="W53" s="99"/>
    </row>
    <row r="54" spans="1:23" collapsed="1" x14ac:dyDescent="0.45">
      <c r="A54" s="1"/>
      <c r="I54" s="103"/>
      <c r="J54" s="103"/>
    </row>
    <row r="55" spans="1:23" s="91" customFormat="1" ht="13.15" x14ac:dyDescent="0.35">
      <c r="A55" s="90" t="s">
        <v>89</v>
      </c>
      <c r="B55" s="90"/>
      <c r="C55" s="90"/>
      <c r="D55" s="90"/>
      <c r="E55" s="90"/>
      <c r="F55" s="90"/>
      <c r="G55" s="90"/>
      <c r="H55" s="90"/>
      <c r="I55" s="90"/>
      <c r="J55" s="90"/>
    </row>
    <row r="56" spans="1:23" s="38" customFormat="1" ht="13.15" x14ac:dyDescent="0.35">
      <c r="A56" s="6"/>
      <c r="B56" s="1"/>
      <c r="C56" s="1"/>
      <c r="D56" s="1"/>
      <c r="E56" s="1"/>
      <c r="F56" s="1"/>
      <c r="G56" s="1"/>
      <c r="H56" s="1"/>
      <c r="I56" s="95"/>
      <c r="J56" s="1"/>
    </row>
    <row r="57" spans="1:23" s="38" customFormat="1" ht="13.15" x14ac:dyDescent="0.4">
      <c r="A57" s="6"/>
      <c r="B57" s="1"/>
      <c r="C57" s="1"/>
      <c r="D57" s="1"/>
      <c r="E57" s="1" t="s">
        <v>36</v>
      </c>
      <c r="F57" s="1" t="s">
        <v>85</v>
      </c>
      <c r="G57" s="1" t="s">
        <v>90</v>
      </c>
      <c r="H57" s="1" t="s">
        <v>45</v>
      </c>
      <c r="I57" s="22" t="str">
        <f t="shared" ref="I57:I75" si="0">LEFT(E57,3)</f>
        <v>ANH</v>
      </c>
      <c r="J57" s="8"/>
      <c r="K57" s="47"/>
      <c r="L57" s="47"/>
      <c r="M57" s="47"/>
      <c r="N57" s="47"/>
      <c r="O57" s="97">
        <v>276.03191213135648</v>
      </c>
      <c r="P57" s="97">
        <v>274.46118090755726</v>
      </c>
      <c r="Q57" s="97">
        <v>272.89307158071824</v>
      </c>
      <c r="R57" s="97">
        <v>271.95570356324009</v>
      </c>
      <c r="S57" s="97">
        <v>271.01733836410824</v>
      </c>
      <c r="T57" s="97">
        <v>270.10437657314424</v>
      </c>
      <c r="U57" s="97">
        <v>269.16407798943743</v>
      </c>
      <c r="V57" s="97">
        <v>268.22238723117158</v>
      </c>
    </row>
    <row r="58" spans="1:23" s="38" customFormat="1" ht="13.15" hidden="1" outlineLevel="1" x14ac:dyDescent="0.4">
      <c r="A58" s="6"/>
      <c r="B58" s="1"/>
      <c r="C58" s="1"/>
      <c r="D58" s="1"/>
      <c r="E58" s="1" t="s">
        <v>46</v>
      </c>
      <c r="F58" s="1" t="s">
        <v>85</v>
      </c>
      <c r="G58" s="1" t="s">
        <v>90</v>
      </c>
      <c r="H58" s="1" t="s">
        <v>45</v>
      </c>
      <c r="I58" s="22" t="str">
        <f t="shared" si="0"/>
        <v>WSH</v>
      </c>
      <c r="J58" s="8"/>
      <c r="K58" s="47"/>
      <c r="L58" s="47"/>
      <c r="M58" s="47"/>
      <c r="N58" s="47"/>
      <c r="O58" s="97" t="s">
        <v>78</v>
      </c>
      <c r="P58" s="97" t="s">
        <v>78</v>
      </c>
      <c r="Q58" s="97" t="s">
        <v>78</v>
      </c>
      <c r="R58" s="97" t="s">
        <v>78</v>
      </c>
      <c r="S58" s="97" t="s">
        <v>78</v>
      </c>
      <c r="T58" s="97" t="s">
        <v>78</v>
      </c>
      <c r="U58" s="97" t="s">
        <v>78</v>
      </c>
      <c r="V58" s="97" t="s">
        <v>78</v>
      </c>
    </row>
    <row r="59" spans="1:23" s="38" customFormat="1" ht="13.15" hidden="1" outlineLevel="1" x14ac:dyDescent="0.4">
      <c r="A59" s="6"/>
      <c r="B59" s="1"/>
      <c r="C59" s="1"/>
      <c r="D59" s="1"/>
      <c r="E59" s="1" t="s">
        <v>47</v>
      </c>
      <c r="F59" s="1" t="s">
        <v>85</v>
      </c>
      <c r="G59" s="1" t="s">
        <v>90</v>
      </c>
      <c r="H59" s="1" t="s">
        <v>45</v>
      </c>
      <c r="I59" s="22" t="str">
        <f t="shared" si="0"/>
        <v>HDD</v>
      </c>
      <c r="J59" s="8"/>
      <c r="K59" s="47"/>
      <c r="L59" s="47"/>
      <c r="M59" s="47"/>
      <c r="N59" s="47"/>
      <c r="O59" s="97" t="s">
        <v>78</v>
      </c>
      <c r="P59" s="97" t="s">
        <v>78</v>
      </c>
      <c r="Q59" s="97" t="s">
        <v>78</v>
      </c>
      <c r="R59" s="97" t="s">
        <v>78</v>
      </c>
      <c r="S59" s="97" t="s">
        <v>78</v>
      </c>
      <c r="T59" s="97" t="s">
        <v>78</v>
      </c>
      <c r="U59" s="97" t="s">
        <v>78</v>
      </c>
      <c r="V59" s="97" t="s">
        <v>78</v>
      </c>
    </row>
    <row r="60" spans="1:23" s="38" customFormat="1" ht="13.15" hidden="1" outlineLevel="1" x14ac:dyDescent="0.4">
      <c r="A60" s="6"/>
      <c r="B60" s="1"/>
      <c r="C60" s="1"/>
      <c r="D60" s="1"/>
      <c r="E60" s="9" t="s">
        <v>70</v>
      </c>
      <c r="F60" s="1" t="s">
        <v>85</v>
      </c>
      <c r="G60" s="1" t="s">
        <v>90</v>
      </c>
      <c r="H60" s="1" t="s">
        <v>45</v>
      </c>
      <c r="I60" s="22" t="str">
        <f t="shared" si="0"/>
        <v>NES</v>
      </c>
      <c r="J60" s="8"/>
      <c r="K60" s="47"/>
      <c r="L60" s="47"/>
      <c r="M60" s="47"/>
      <c r="N60" s="47"/>
      <c r="O60" s="97">
        <v>154.89641213417053</v>
      </c>
      <c r="P60" s="97">
        <v>154.86574411392212</v>
      </c>
      <c r="Q60" s="97">
        <v>154.49070977419615</v>
      </c>
      <c r="R60" s="97">
        <v>154.20499419420958</v>
      </c>
      <c r="S60" s="97">
        <v>153.47829483449459</v>
      </c>
      <c r="T60" s="97">
        <v>153.55040572583675</v>
      </c>
      <c r="U60" s="97">
        <v>153.26431296020701</v>
      </c>
      <c r="V60" s="97">
        <v>152.99354502558708</v>
      </c>
    </row>
    <row r="61" spans="1:23" s="38" customFormat="1" ht="13.15" hidden="1" outlineLevel="1" x14ac:dyDescent="0.4">
      <c r="A61" s="6"/>
      <c r="B61" s="1"/>
      <c r="C61" s="1"/>
      <c r="D61" s="1"/>
      <c r="E61" s="9" t="s">
        <v>72</v>
      </c>
      <c r="F61" s="1" t="s">
        <v>85</v>
      </c>
      <c r="G61" s="1" t="s">
        <v>90</v>
      </c>
      <c r="H61" s="1" t="s">
        <v>45</v>
      </c>
      <c r="I61" s="22" t="str">
        <f t="shared" si="0"/>
        <v>NES</v>
      </c>
      <c r="J61" s="8"/>
      <c r="K61" s="47"/>
      <c r="L61" s="47"/>
      <c r="M61" s="47"/>
      <c r="N61" s="47"/>
      <c r="O61" s="97">
        <v>74.649216912395786</v>
      </c>
      <c r="P61" s="97">
        <v>74.648290894634556</v>
      </c>
      <c r="Q61" s="97">
        <v>74.644417904026341</v>
      </c>
      <c r="R61" s="97">
        <v>74.519453547603916</v>
      </c>
      <c r="S61" s="97">
        <v>74.203016124374699</v>
      </c>
      <c r="T61" s="97">
        <v>74.350718937523197</v>
      </c>
      <c r="U61" s="97">
        <v>74.283846698410343</v>
      </c>
      <c r="V61" s="97">
        <v>74.282909117348026</v>
      </c>
    </row>
    <row r="62" spans="1:23" s="38" customFormat="1" ht="13.15" hidden="1" outlineLevel="1" x14ac:dyDescent="0.4">
      <c r="A62" s="6"/>
      <c r="B62" s="1"/>
      <c r="C62" s="1"/>
      <c r="D62" s="1"/>
      <c r="E62" s="1" t="s">
        <v>49</v>
      </c>
      <c r="F62" s="1" t="s">
        <v>85</v>
      </c>
      <c r="G62" s="1" t="s">
        <v>90</v>
      </c>
      <c r="H62" s="1" t="s">
        <v>45</v>
      </c>
      <c r="I62" s="22" t="str">
        <f t="shared" si="0"/>
        <v>SVE</v>
      </c>
      <c r="J62" s="8"/>
      <c r="K62" s="47"/>
      <c r="L62" s="47"/>
      <c r="M62" s="47"/>
      <c r="N62" s="47"/>
      <c r="O62" s="97">
        <v>345.38169236308164</v>
      </c>
      <c r="P62" s="97">
        <v>341.0174826537633</v>
      </c>
      <c r="Q62" s="97">
        <v>336.05182764451479</v>
      </c>
      <c r="R62" s="97">
        <v>331.38462415361488</v>
      </c>
      <c r="S62" s="97">
        <v>326.17385487848009</v>
      </c>
      <c r="T62" s="97">
        <v>324.33074956585955</v>
      </c>
      <c r="U62" s="97">
        <v>321.85554638115082</v>
      </c>
      <c r="V62" s="97">
        <v>319.56693203623882</v>
      </c>
    </row>
    <row r="63" spans="1:23" s="38" customFormat="1" ht="13.15" hidden="1" outlineLevel="1" x14ac:dyDescent="0.4">
      <c r="A63" s="6"/>
      <c r="B63" s="1"/>
      <c r="C63" s="1"/>
      <c r="D63" s="1"/>
      <c r="E63" s="1" t="s">
        <v>50</v>
      </c>
      <c r="F63" s="1" t="s">
        <v>85</v>
      </c>
      <c r="G63" s="1" t="s">
        <v>90</v>
      </c>
      <c r="H63" s="1" t="s">
        <v>45</v>
      </c>
      <c r="I63" s="22" t="str">
        <f t="shared" si="0"/>
        <v>SWB</v>
      </c>
      <c r="J63" s="8"/>
      <c r="K63" s="47"/>
      <c r="L63" s="47"/>
      <c r="M63" s="47"/>
      <c r="N63" s="47"/>
      <c r="O63" s="97">
        <v>153.23330975816657</v>
      </c>
      <c r="P63" s="97">
        <v>151.51868148923577</v>
      </c>
      <c r="Q63" s="97">
        <v>149.87851212146381</v>
      </c>
      <c r="R63" s="97">
        <v>148.367191726789</v>
      </c>
      <c r="S63" s="97">
        <v>146.82344831523147</v>
      </c>
      <c r="T63" s="97">
        <v>145.52263879574193</v>
      </c>
      <c r="U63" s="97">
        <v>144.17869977725351</v>
      </c>
      <c r="V63" s="97">
        <v>142.87381155923103</v>
      </c>
    </row>
    <row r="64" spans="1:23" s="38" customFormat="1" ht="13.15" hidden="1" outlineLevel="1" x14ac:dyDescent="0.4">
      <c r="A64" s="6"/>
      <c r="B64" s="1"/>
      <c r="C64" s="1"/>
      <c r="D64" s="1"/>
      <c r="E64" s="1" t="s">
        <v>51</v>
      </c>
      <c r="F64" s="1" t="s">
        <v>85</v>
      </c>
      <c r="G64" s="1" t="s">
        <v>90</v>
      </c>
      <c r="H64" s="1" t="s">
        <v>45</v>
      </c>
      <c r="I64" s="22" t="str">
        <f t="shared" si="0"/>
        <v>SRN</v>
      </c>
      <c r="J64" s="8"/>
      <c r="K64" s="47"/>
      <c r="L64" s="47"/>
      <c r="M64" s="47"/>
      <c r="N64" s="47"/>
      <c r="O64" s="97">
        <v>102.23822612254889</v>
      </c>
      <c r="P64" s="97">
        <v>101.60045684093159</v>
      </c>
      <c r="Q64" s="97">
        <v>101.46313544214134</v>
      </c>
      <c r="R64" s="97">
        <v>101.53091919549438</v>
      </c>
      <c r="S64" s="97">
        <v>101.05272803134797</v>
      </c>
      <c r="T64" s="97">
        <v>100.85851641476827</v>
      </c>
      <c r="U64" s="97">
        <v>100.5149260716836</v>
      </c>
      <c r="V64" s="97">
        <v>100.0672974937565</v>
      </c>
    </row>
    <row r="65" spans="1:23" s="38" customFormat="1" ht="13.15" hidden="1" outlineLevel="1" x14ac:dyDescent="0.4">
      <c r="A65" s="6"/>
      <c r="B65" s="1"/>
      <c r="C65" s="1"/>
      <c r="D65" s="1"/>
      <c r="E65" s="1" t="s">
        <v>52</v>
      </c>
      <c r="F65" s="1" t="s">
        <v>85</v>
      </c>
      <c r="G65" s="1" t="s">
        <v>90</v>
      </c>
      <c r="H65" s="1" t="s">
        <v>45</v>
      </c>
      <c r="I65" s="22" t="str">
        <f t="shared" si="0"/>
        <v>TMS</v>
      </c>
      <c r="J65" s="8"/>
      <c r="K65" s="47"/>
      <c r="L65" s="47"/>
      <c r="M65" s="47"/>
      <c r="N65" s="47"/>
      <c r="O65" s="97">
        <v>505.75164893782193</v>
      </c>
      <c r="P65" s="97">
        <v>504.52108186852178</v>
      </c>
      <c r="Q65" s="97">
        <v>502.08383443929227</v>
      </c>
      <c r="R65" s="97">
        <v>499.5957448435185</v>
      </c>
      <c r="S65" s="97">
        <v>496.58554229495616</v>
      </c>
      <c r="T65" s="97">
        <v>494.48641046300264</v>
      </c>
      <c r="U65" s="97">
        <v>492.35514862743094</v>
      </c>
      <c r="V65" s="97">
        <v>491.86317532171159</v>
      </c>
    </row>
    <row r="66" spans="1:23" s="38" customFormat="1" ht="13.15" hidden="1" outlineLevel="1" x14ac:dyDescent="0.4">
      <c r="A66" s="6"/>
      <c r="B66" s="1"/>
      <c r="C66" s="1"/>
      <c r="D66" s="1"/>
      <c r="E66" s="1" t="s">
        <v>74</v>
      </c>
      <c r="F66" s="1" t="s">
        <v>85</v>
      </c>
      <c r="G66" s="1" t="s">
        <v>90</v>
      </c>
      <c r="H66" s="1" t="s">
        <v>45</v>
      </c>
      <c r="I66" s="22" t="str">
        <f t="shared" si="0"/>
        <v>UUW</v>
      </c>
      <c r="J66" s="8"/>
      <c r="K66" s="47"/>
      <c r="L66" s="47"/>
      <c r="M66" s="47"/>
      <c r="N66" s="47"/>
      <c r="O66" s="97">
        <v>351.08443377087252</v>
      </c>
      <c r="P66" s="97">
        <v>348.74197919161077</v>
      </c>
      <c r="Q66" s="97">
        <v>346.51779457640345</v>
      </c>
      <c r="R66" s="97">
        <v>344.29407388225383</v>
      </c>
      <c r="S66" s="97">
        <v>342.02016963448261</v>
      </c>
      <c r="T66" s="97">
        <v>339.8877727491157</v>
      </c>
      <c r="U66" s="97">
        <v>337.87740473364482</v>
      </c>
      <c r="V66" s="97">
        <v>335.91878462897006</v>
      </c>
    </row>
    <row r="67" spans="1:23" s="38" customFormat="1" ht="13.15" hidden="1" outlineLevel="1" x14ac:dyDescent="0.4">
      <c r="A67" s="6"/>
      <c r="B67" s="1"/>
      <c r="C67" s="1"/>
      <c r="D67" s="1"/>
      <c r="E67" s="1" t="s">
        <v>54</v>
      </c>
      <c r="F67" s="1" t="s">
        <v>85</v>
      </c>
      <c r="G67" s="1" t="s">
        <v>90</v>
      </c>
      <c r="H67" s="1" t="s">
        <v>45</v>
      </c>
      <c r="I67" s="22" t="str">
        <f t="shared" si="0"/>
        <v>WSX</v>
      </c>
      <c r="J67" s="8"/>
      <c r="K67" s="47"/>
      <c r="L67" s="47"/>
      <c r="M67" s="47"/>
      <c r="N67" s="47"/>
      <c r="O67" s="97">
        <v>93.526529952831851</v>
      </c>
      <c r="P67" s="97">
        <v>92.419317051198234</v>
      </c>
      <c r="Q67" s="97">
        <v>91.284045562042891</v>
      </c>
      <c r="R67" s="97">
        <v>90.188110414350845</v>
      </c>
      <c r="S67" s="97">
        <v>89.179976662174553</v>
      </c>
      <c r="T67" s="97">
        <v>87.678431821241318</v>
      </c>
      <c r="U67" s="97">
        <v>86.233213134419941</v>
      </c>
      <c r="V67" s="97">
        <v>84.779433079863281</v>
      </c>
    </row>
    <row r="68" spans="1:23" s="38" customFormat="1" ht="13.15" hidden="1" outlineLevel="1" x14ac:dyDescent="0.4">
      <c r="A68" s="6"/>
      <c r="B68" s="1"/>
      <c r="C68" s="1"/>
      <c r="D68" s="1"/>
      <c r="E68" s="1" t="s">
        <v>55</v>
      </c>
      <c r="F68" s="1" t="s">
        <v>85</v>
      </c>
      <c r="G68" s="1" t="s">
        <v>90</v>
      </c>
      <c r="H68" s="1" t="s">
        <v>45</v>
      </c>
      <c r="I68" s="22" t="str">
        <f t="shared" si="0"/>
        <v>YKY</v>
      </c>
      <c r="J68" s="8"/>
      <c r="K68" s="47"/>
      <c r="L68" s="47"/>
      <c r="M68" s="47"/>
      <c r="N68" s="47"/>
      <c r="O68" s="97">
        <v>271.02518414542743</v>
      </c>
      <c r="P68" s="97">
        <v>269.68802357054125</v>
      </c>
      <c r="Q68" s="97">
        <v>268.5005609499504</v>
      </c>
      <c r="R68" s="97">
        <v>267.27686794699645</v>
      </c>
      <c r="S68" s="97">
        <v>265.80290034307603</v>
      </c>
      <c r="T68" s="97">
        <v>264.39799798067855</v>
      </c>
      <c r="U68" s="97">
        <v>263.20711466949263</v>
      </c>
      <c r="V68" s="97">
        <v>261.97417979654836</v>
      </c>
    </row>
    <row r="69" spans="1:23" s="38" customFormat="1" ht="13.15" hidden="1" outlineLevel="1" x14ac:dyDescent="0.4">
      <c r="A69" s="6"/>
      <c r="B69" s="1"/>
      <c r="C69" s="1"/>
      <c r="D69" s="1"/>
      <c r="E69" s="1" t="s">
        <v>56</v>
      </c>
      <c r="F69" s="1" t="s">
        <v>85</v>
      </c>
      <c r="G69" s="1" t="s">
        <v>90</v>
      </c>
      <c r="H69" s="1" t="s">
        <v>45</v>
      </c>
      <c r="I69" s="22" t="str">
        <f t="shared" si="0"/>
        <v>AFW</v>
      </c>
      <c r="J69" s="8"/>
      <c r="K69" s="47"/>
      <c r="L69" s="47"/>
      <c r="M69" s="47"/>
      <c r="N69" s="47"/>
      <c r="O69" s="97">
        <v>186.62415655051385</v>
      </c>
      <c r="P69" s="97">
        <v>186.32097888579617</v>
      </c>
      <c r="Q69" s="97">
        <v>185.89903941409699</v>
      </c>
      <c r="R69" s="97">
        <v>185.47709994239781</v>
      </c>
      <c r="S69" s="97">
        <v>185.05516047069867</v>
      </c>
      <c r="T69" s="97">
        <v>184.68829946805491</v>
      </c>
      <c r="U69" s="97">
        <v>184.32142014182287</v>
      </c>
      <c r="V69" s="97">
        <v>184.30890563747997</v>
      </c>
    </row>
    <row r="70" spans="1:23" s="38" customFormat="1" ht="13.15" hidden="1" outlineLevel="1" x14ac:dyDescent="0.4">
      <c r="A70" s="6"/>
      <c r="B70" s="1"/>
      <c r="C70" s="1"/>
      <c r="D70" s="1"/>
      <c r="E70" s="1" t="s">
        <v>57</v>
      </c>
      <c r="F70" s="1" t="s">
        <v>85</v>
      </c>
      <c r="G70" s="1" t="s">
        <v>90</v>
      </c>
      <c r="H70" s="1" t="s">
        <v>45</v>
      </c>
      <c r="I70" s="22" t="str">
        <f t="shared" si="0"/>
        <v>BRL</v>
      </c>
      <c r="J70" s="8"/>
      <c r="K70" s="47"/>
      <c r="L70" s="47"/>
      <c r="M70" s="47"/>
      <c r="N70" s="47"/>
      <c r="O70" s="97">
        <v>55.18</v>
      </c>
      <c r="P70" s="97">
        <v>54.42</v>
      </c>
      <c r="Q70" s="97">
        <v>53.99</v>
      </c>
      <c r="R70" s="97">
        <v>53.59</v>
      </c>
      <c r="S70" s="97">
        <v>53.24</v>
      </c>
      <c r="T70" s="97">
        <v>52.940000000000005</v>
      </c>
      <c r="U70" s="97">
        <v>52.660000000000004</v>
      </c>
      <c r="V70" s="97">
        <v>52.42</v>
      </c>
    </row>
    <row r="71" spans="1:23" s="38" customFormat="1" ht="13.15" hidden="1" outlineLevel="1" x14ac:dyDescent="0.4">
      <c r="A71" s="6"/>
      <c r="B71" s="1"/>
      <c r="C71" s="1"/>
      <c r="D71" s="1"/>
      <c r="E71" s="1" t="s">
        <v>75</v>
      </c>
      <c r="F71" s="1" t="s">
        <v>85</v>
      </c>
      <c r="G71" s="1" t="s">
        <v>90</v>
      </c>
      <c r="H71" s="1" t="s">
        <v>45</v>
      </c>
      <c r="I71" s="22" t="str">
        <f t="shared" si="0"/>
        <v>SSC</v>
      </c>
      <c r="J71" s="8"/>
      <c r="K71" s="47"/>
      <c r="L71" s="47"/>
      <c r="M71" s="47"/>
      <c r="N71" s="47"/>
      <c r="O71" s="97">
        <v>55.132350903812245</v>
      </c>
      <c r="P71" s="97">
        <v>55.054486504507757</v>
      </c>
      <c r="Q71" s="97">
        <v>54.922496778377564</v>
      </c>
      <c r="R71" s="97">
        <v>54.746197489958604</v>
      </c>
      <c r="S71" s="97">
        <v>54.53650867444825</v>
      </c>
      <c r="T71" s="97">
        <v>54.607041882280939</v>
      </c>
      <c r="U71" s="97">
        <v>54.676818063168852</v>
      </c>
      <c r="V71" s="97">
        <v>54.74584337180265</v>
      </c>
    </row>
    <row r="72" spans="1:23" s="38" customFormat="1" ht="13.15" hidden="1" outlineLevel="1" x14ac:dyDescent="0.4">
      <c r="A72" s="6"/>
      <c r="B72" s="1"/>
      <c r="C72" s="1"/>
      <c r="D72" s="1"/>
      <c r="E72" s="1" t="s">
        <v>76</v>
      </c>
      <c r="F72" s="1" t="s">
        <v>85</v>
      </c>
      <c r="G72" s="1" t="s">
        <v>90</v>
      </c>
      <c r="H72" s="1" t="s">
        <v>45</v>
      </c>
      <c r="I72" s="22" t="str">
        <f t="shared" si="0"/>
        <v>SSC</v>
      </c>
      <c r="J72" s="8"/>
      <c r="K72" s="47"/>
      <c r="L72" s="47"/>
      <c r="M72" s="47"/>
      <c r="N72" s="47"/>
      <c r="O72" s="97">
        <v>22.171821206644587</v>
      </c>
      <c r="P72" s="97">
        <v>22.172874378021387</v>
      </c>
      <c r="Q72" s="97">
        <v>22.174501155754417</v>
      </c>
      <c r="R72" s="97">
        <v>22.176691124781126</v>
      </c>
      <c r="S72" s="97">
        <v>22.179434030488473</v>
      </c>
      <c r="T72" s="97">
        <v>22.182719763537133</v>
      </c>
      <c r="U72" s="97">
        <v>22.186538342389127</v>
      </c>
      <c r="V72" s="97">
        <v>22.190879892755298</v>
      </c>
    </row>
    <row r="73" spans="1:23" s="38" customFormat="1" ht="13.15" hidden="1" outlineLevel="1" x14ac:dyDescent="0.4">
      <c r="A73" s="6"/>
      <c r="B73" s="1"/>
      <c r="C73" s="1"/>
      <c r="D73" s="1"/>
      <c r="E73" s="1" t="s">
        <v>59</v>
      </c>
      <c r="F73" s="1" t="s">
        <v>85</v>
      </c>
      <c r="G73" s="1" t="s">
        <v>90</v>
      </c>
      <c r="H73" s="1" t="s">
        <v>45</v>
      </c>
      <c r="I73" s="22" t="str">
        <f t="shared" si="0"/>
        <v>PRT</v>
      </c>
      <c r="J73" s="8"/>
      <c r="K73" s="47"/>
      <c r="L73" s="47"/>
      <c r="M73" s="47"/>
      <c r="N73" s="47"/>
      <c r="O73" s="97">
        <v>36.390139397294583</v>
      </c>
      <c r="P73" s="97">
        <v>35.891843192222503</v>
      </c>
      <c r="Q73" s="97">
        <v>35.407144452885362</v>
      </c>
      <c r="R73" s="97">
        <v>34.93549446116274</v>
      </c>
      <c r="S73" s="97">
        <v>34.476373613108933</v>
      </c>
      <c r="T73" s="97">
        <v>34.029289513761654</v>
      </c>
      <c r="U73" s="97">
        <v>33.593775219637202</v>
      </c>
      <c r="V73" s="97">
        <v>33.16938761572235</v>
      </c>
    </row>
    <row r="74" spans="1:23" s="38" customFormat="1" ht="13.15" hidden="1" outlineLevel="1" x14ac:dyDescent="0.4">
      <c r="A74" s="6"/>
      <c r="B74" s="1"/>
      <c r="C74" s="1"/>
      <c r="D74" s="1"/>
      <c r="E74" s="1" t="s">
        <v>60</v>
      </c>
      <c r="F74" s="1" t="s">
        <v>85</v>
      </c>
      <c r="G74" s="1" t="s">
        <v>90</v>
      </c>
      <c r="H74" s="1" t="s">
        <v>45</v>
      </c>
      <c r="I74" s="22" t="str">
        <f t="shared" si="0"/>
        <v>SEW</v>
      </c>
      <c r="J74" s="8"/>
      <c r="K74" s="47"/>
      <c r="L74" s="47"/>
      <c r="M74" s="47"/>
      <c r="N74" s="47"/>
      <c r="O74" s="97">
        <v>130.0911427889119</v>
      </c>
      <c r="P74" s="97">
        <v>130.41276841524663</v>
      </c>
      <c r="Q74" s="97">
        <v>130.75288686310958</v>
      </c>
      <c r="R74" s="97">
        <v>131.11343565492473</v>
      </c>
      <c r="S74" s="97">
        <v>131.4903777796882</v>
      </c>
      <c r="T74" s="97">
        <v>131.98864237129789</v>
      </c>
      <c r="U74" s="97">
        <v>132.49856892299385</v>
      </c>
      <c r="V74" s="97">
        <v>133.01858350455356</v>
      </c>
    </row>
    <row r="75" spans="1:23" s="38" customFormat="1" ht="13.15" hidden="1" outlineLevel="1" x14ac:dyDescent="0.4">
      <c r="A75" s="6"/>
      <c r="B75" s="1"/>
      <c r="C75" s="1"/>
      <c r="D75" s="1"/>
      <c r="E75" s="1" t="s">
        <v>61</v>
      </c>
      <c r="F75" s="1" t="s">
        <v>85</v>
      </c>
      <c r="G75" s="1" t="s">
        <v>90</v>
      </c>
      <c r="H75" s="1" t="s">
        <v>45</v>
      </c>
      <c r="I75" s="22" t="str">
        <f t="shared" si="0"/>
        <v>SES</v>
      </c>
      <c r="J75" s="8"/>
      <c r="K75" s="47"/>
      <c r="L75" s="47"/>
      <c r="M75" s="47"/>
      <c r="N75" s="47"/>
      <c r="O75" s="97">
        <v>25.602433657738924</v>
      </c>
      <c r="P75" s="97">
        <v>25.569085299109119</v>
      </c>
      <c r="Q75" s="97">
        <v>25.503814683111536</v>
      </c>
      <c r="R75" s="97">
        <v>25.444721437194481</v>
      </c>
      <c r="S75" s="97">
        <v>25.391316284638673</v>
      </c>
      <c r="T75" s="97">
        <v>25.343148701738659</v>
      </c>
      <c r="U75" s="97">
        <v>25.299803848382091</v>
      </c>
      <c r="V75" s="97">
        <v>25.260899741741611</v>
      </c>
    </row>
    <row r="76" spans="1:23" s="38" customFormat="1" ht="13.15" collapsed="1" x14ac:dyDescent="0.35">
      <c r="A76" s="6"/>
      <c r="B76" s="1"/>
      <c r="C76" s="1"/>
      <c r="D76" s="1"/>
      <c r="E76" s="1"/>
      <c r="F76" s="1"/>
      <c r="G76" s="1"/>
      <c r="H76" s="1"/>
      <c r="I76" s="1"/>
      <c r="J76" s="1"/>
    </row>
    <row r="77" spans="1:23" s="38" customFormat="1" ht="13.15" x14ac:dyDescent="0.4">
      <c r="A77" s="6"/>
      <c r="B77" s="1"/>
      <c r="C77" s="1"/>
      <c r="D77" s="1"/>
      <c r="E77" s="1" t="s">
        <v>48</v>
      </c>
      <c r="F77" s="1" t="s">
        <v>85</v>
      </c>
      <c r="G77" s="1" t="s">
        <v>90</v>
      </c>
      <c r="H77" s="1" t="s">
        <v>45</v>
      </c>
      <c r="I77" s="22" t="str">
        <f>LEFT(E77,3)</f>
        <v>NES</v>
      </c>
      <c r="J77" s="8"/>
      <c r="K77" s="47"/>
      <c r="L77" s="47"/>
      <c r="M77" s="47"/>
      <c r="N77" s="47"/>
      <c r="O77" s="104">
        <f t="shared" ref="O77:V78" si="1">SUMIFS(O$57:O$75,$I$57:$I$75,$E77)</f>
        <v>229.54562904656632</v>
      </c>
      <c r="P77" s="104">
        <f t="shared" si="1"/>
        <v>229.51403500855668</v>
      </c>
      <c r="Q77" s="104">
        <f t="shared" si="1"/>
        <v>229.13512767822249</v>
      </c>
      <c r="R77" s="104">
        <f t="shared" si="1"/>
        <v>228.72444774181349</v>
      </c>
      <c r="S77" s="104">
        <f t="shared" si="1"/>
        <v>227.68131095886929</v>
      </c>
      <c r="T77" s="104">
        <f t="shared" si="1"/>
        <v>227.90112466335995</v>
      </c>
      <c r="U77" s="104">
        <f t="shared" si="1"/>
        <v>227.54815965861735</v>
      </c>
      <c r="V77" s="104">
        <f t="shared" si="1"/>
        <v>227.27645414293511</v>
      </c>
    </row>
    <row r="78" spans="1:23" s="38" customFormat="1" ht="13.15" x14ac:dyDescent="0.4">
      <c r="A78" s="6"/>
      <c r="B78" s="1"/>
      <c r="C78" s="1"/>
      <c r="D78" s="1"/>
      <c r="E78" s="1" t="s">
        <v>58</v>
      </c>
      <c r="F78" s="1" t="s">
        <v>85</v>
      </c>
      <c r="G78" s="1" t="s">
        <v>90</v>
      </c>
      <c r="H78" s="1" t="s">
        <v>45</v>
      </c>
      <c r="I78" s="22" t="str">
        <f>LEFT(E78,3)</f>
        <v>SSC</v>
      </c>
      <c r="J78" s="8"/>
      <c r="K78" s="47"/>
      <c r="L78" s="47"/>
      <c r="M78" s="47"/>
      <c r="N78" s="47"/>
      <c r="O78" s="104">
        <f t="shared" si="1"/>
        <v>77.304172110456832</v>
      </c>
      <c r="P78" s="104">
        <f t="shared" si="1"/>
        <v>77.22736088252914</v>
      </c>
      <c r="Q78" s="104">
        <f t="shared" si="1"/>
        <v>77.096997934131977</v>
      </c>
      <c r="R78" s="104">
        <f t="shared" si="1"/>
        <v>76.922888614739733</v>
      </c>
      <c r="S78" s="104">
        <f t="shared" si="1"/>
        <v>76.715942704936722</v>
      </c>
      <c r="T78" s="104">
        <f t="shared" si="1"/>
        <v>76.789761645818075</v>
      </c>
      <c r="U78" s="104">
        <f t="shared" si="1"/>
        <v>76.86335640555798</v>
      </c>
      <c r="V78" s="104">
        <f t="shared" si="1"/>
        <v>76.936723264557941</v>
      </c>
    </row>
    <row r="79" spans="1:23" x14ac:dyDescent="0.45">
      <c r="I79" s="95"/>
      <c r="W79" s="38"/>
    </row>
    <row r="80" spans="1:23" s="101" customFormat="1" ht="13.15" x14ac:dyDescent="0.4">
      <c r="A80" s="106"/>
      <c r="B80" s="106"/>
      <c r="C80" s="106"/>
      <c r="D80" s="106"/>
      <c r="E80" s="106"/>
      <c r="F80" s="106"/>
      <c r="G80" s="106"/>
      <c r="H80" s="106"/>
      <c r="I80" s="106"/>
      <c r="J80" s="106"/>
      <c r="K80" s="106"/>
      <c r="L80" s="106"/>
      <c r="M80" s="106"/>
      <c r="N80" s="106"/>
      <c r="O80" s="106"/>
      <c r="P80" s="106"/>
      <c r="Q80" s="106"/>
      <c r="R80" s="106"/>
      <c r="S80" s="106"/>
      <c r="T80" s="106"/>
      <c r="U80" s="106"/>
      <c r="V80" s="106"/>
      <c r="W80" s="106"/>
    </row>
    <row r="81" spans="1:23" x14ac:dyDescent="0.45"/>
    <row r="82" spans="1:23" x14ac:dyDescent="0.45">
      <c r="G82" s="105" t="s">
        <v>91</v>
      </c>
    </row>
    <row r="83" spans="1:23" x14ac:dyDescent="0.45"/>
    <row r="84" spans="1:23" x14ac:dyDescent="0.45">
      <c r="A84" s="100" t="s">
        <v>83</v>
      </c>
      <c r="B84" s="100"/>
      <c r="C84" s="100"/>
      <c r="D84" s="100"/>
      <c r="E84" s="100"/>
      <c r="F84" s="100"/>
      <c r="G84" s="100"/>
      <c r="H84" s="100"/>
      <c r="I84" s="100"/>
      <c r="J84" s="100"/>
      <c r="K84" s="101"/>
      <c r="L84" s="101"/>
      <c r="M84" s="101"/>
      <c r="N84" s="101"/>
      <c r="O84" s="101"/>
      <c r="P84" s="101"/>
      <c r="Q84" s="101"/>
      <c r="R84" s="101"/>
      <c r="S84" s="101"/>
      <c r="T84" s="101"/>
      <c r="U84" s="101"/>
      <c r="V84" s="101"/>
      <c r="W84" s="101"/>
    </row>
  </sheetData>
  <phoneticPr fontId="7" type="noConversion"/>
  <dataValidations count="1">
    <dataValidation errorStyle="warning" showInputMessage="1" showErrorMessage="1" errorTitle="Invalid input" error="An entry of “0” should only be made if there is no numeric UV consent condition in the discharge permit. If this is not the case at this STW please change entry." sqref="P17:S18 K17:N18 K11:S16 K19:S29 K43:S44 K46:M46 N45:S46 K47:S53 K33:S38" xr:uid="{1158FF45-AF2A-47C0-94C9-AEAA6D7F4D85}"/>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3F540-0745-4E2C-9D3A-4B0C82E3E942}">
  <sheetPr codeName="Sheet6">
    <tabColor rgb="FFCCCCCE"/>
  </sheetPr>
  <dimension ref="A1:Z103"/>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11.375" style="86" bestFit="1" customWidth="1"/>
    <col min="6" max="6" width="20.375" style="86" bestFit="1" customWidth="1"/>
    <col min="7" max="7" width="65.375" style="86" bestFit="1" customWidth="1"/>
    <col min="8" max="8" width="7.875" style="86" customWidth="1"/>
    <col min="9" max="9" width="2.75" style="86" customWidth="1"/>
    <col min="10" max="19" width="9" style="99" customWidth="1"/>
    <col min="20" max="26" width="0" style="86" hidden="1" customWidth="1"/>
    <col min="27" max="16384" width="9" style="86" hidden="1"/>
  </cols>
  <sheetData>
    <row r="1" spans="1:19" s="4" customFormat="1" ht="30.75" x14ac:dyDescent="0.35">
      <c r="A1" s="4" t="str">
        <f ca="1">RIGHT(CELL("filename", A1), LEN(CELL("filename", A1)) - SEARCH("]", CELL("filename", A1)))</f>
        <v>NHH.Performance</v>
      </c>
      <c r="D1" s="5"/>
      <c r="J1" s="37"/>
      <c r="K1" s="37"/>
      <c r="L1" s="37"/>
      <c r="M1" s="37"/>
      <c r="N1" s="37"/>
      <c r="O1" s="37"/>
      <c r="P1" s="37"/>
      <c r="Q1" s="37"/>
      <c r="R1" s="37"/>
      <c r="S1" s="37"/>
    </row>
    <row r="2" spans="1:19" s="1" customFormat="1" ht="13.15" x14ac:dyDescent="0.35">
      <c r="A2" s="6"/>
      <c r="J2" s="43" t="s">
        <v>15</v>
      </c>
      <c r="K2" s="43" t="s">
        <v>16</v>
      </c>
      <c r="L2" s="43" t="s">
        <v>17</v>
      </c>
      <c r="M2" s="43" t="s">
        <v>18</v>
      </c>
      <c r="N2" s="43" t="s">
        <v>19</v>
      </c>
      <c r="O2" s="43" t="s">
        <v>20</v>
      </c>
      <c r="P2" s="43" t="s">
        <v>21</v>
      </c>
      <c r="Q2" s="43" t="s">
        <v>22</v>
      </c>
      <c r="R2" s="43" t="s">
        <v>23</v>
      </c>
      <c r="S2" s="38"/>
    </row>
    <row r="3" spans="1:19" s="1" customFormat="1" ht="13.15" x14ac:dyDescent="0.35">
      <c r="A3" s="6"/>
      <c r="E3" s="7" t="s">
        <v>62</v>
      </c>
      <c r="F3" s="7" t="s">
        <v>63</v>
      </c>
      <c r="G3" s="7" t="s">
        <v>64</v>
      </c>
      <c r="H3" s="7" t="s">
        <v>13</v>
      </c>
      <c r="J3" s="38"/>
      <c r="K3" s="38"/>
      <c r="L3" s="38"/>
      <c r="M3" s="38"/>
      <c r="N3" s="38"/>
      <c r="O3" s="38"/>
      <c r="P3" s="38"/>
      <c r="Q3" s="38"/>
      <c r="R3" s="38"/>
      <c r="S3" s="38"/>
    </row>
    <row r="4" spans="1:19" s="1" customFormat="1" ht="13.15" x14ac:dyDescent="0.35">
      <c r="A4" s="6"/>
      <c r="F4" s="6"/>
      <c r="J4" s="38"/>
      <c r="K4" s="38"/>
      <c r="L4" s="38"/>
      <c r="M4" s="38"/>
      <c r="N4" s="38"/>
      <c r="O4" s="38"/>
      <c r="P4" s="38"/>
      <c r="Q4" s="38"/>
      <c r="R4" s="38"/>
      <c r="S4" s="38"/>
    </row>
    <row r="5" spans="1:19" s="1" customFormat="1" ht="13.15" x14ac:dyDescent="0.35">
      <c r="A5" s="6"/>
      <c r="I5" s="3"/>
      <c r="J5" s="38"/>
      <c r="K5" s="38"/>
      <c r="L5" s="38"/>
      <c r="M5" s="38"/>
      <c r="N5" s="38"/>
      <c r="O5" s="38"/>
      <c r="P5" s="38"/>
      <c r="Q5" s="38"/>
      <c r="R5" s="38"/>
      <c r="S5" s="38"/>
    </row>
    <row r="6" spans="1:19" s="1" customFormat="1" ht="13.15" x14ac:dyDescent="0.35">
      <c r="A6" s="6"/>
      <c r="I6" s="3"/>
      <c r="J6" s="38"/>
      <c r="K6" s="38"/>
      <c r="L6" s="38"/>
      <c r="M6" s="38"/>
      <c r="N6" s="38"/>
      <c r="O6" s="38"/>
      <c r="P6" s="38"/>
      <c r="Q6" s="38"/>
      <c r="R6" s="38"/>
      <c r="S6" s="38"/>
    </row>
    <row r="7" spans="1:19" s="90" customFormat="1" ht="13.15" x14ac:dyDescent="0.35">
      <c r="A7" s="90" t="s">
        <v>92</v>
      </c>
      <c r="J7" s="91"/>
      <c r="K7" s="91"/>
      <c r="L7" s="91"/>
      <c r="M7" s="91"/>
      <c r="N7" s="91"/>
      <c r="O7" s="91"/>
      <c r="P7" s="91"/>
      <c r="Q7" s="91"/>
      <c r="R7" s="91"/>
      <c r="S7" s="91"/>
    </row>
    <row r="8" spans="1:19" s="1" customFormat="1" ht="13.15" x14ac:dyDescent="0.35">
      <c r="A8" s="6"/>
      <c r="J8" s="38"/>
      <c r="K8" s="38"/>
      <c r="L8" s="38"/>
      <c r="M8" s="38"/>
      <c r="N8" s="38"/>
      <c r="O8" s="38"/>
      <c r="P8" s="38"/>
      <c r="Q8" s="38"/>
      <c r="R8" s="38"/>
      <c r="S8" s="38"/>
    </row>
    <row r="9" spans="1:19" s="1" customFormat="1" ht="13.15" x14ac:dyDescent="0.4">
      <c r="A9" s="6"/>
      <c r="E9" s="1" t="s">
        <v>36</v>
      </c>
      <c r="F9" s="1" t="s">
        <v>85</v>
      </c>
      <c r="G9" s="2" t="s">
        <v>86</v>
      </c>
      <c r="H9" s="1" t="s">
        <v>45</v>
      </c>
      <c r="I9" s="8"/>
      <c r="J9" s="48">
        <f>NHH.Inputs!K9</f>
        <v>256.18669812729894</v>
      </c>
      <c r="K9" s="48">
        <f>NHH.Inputs!L9</f>
        <v>268.71515007748133</v>
      </c>
      <c r="L9" s="48">
        <f>NHH.Inputs!M9</f>
        <v>271.72210410562474</v>
      </c>
      <c r="M9" s="48">
        <f>NHH.Inputs!N9</f>
        <v>269.13362289216855</v>
      </c>
      <c r="N9" s="48">
        <f>NHH.Inputs!O9</f>
        <v>266.50319612384959</v>
      </c>
      <c r="O9" s="48">
        <f>NHH.Inputs!P9</f>
        <v>266.79385040446863</v>
      </c>
      <c r="P9" s="48">
        <f>NHH.Inputs!Q9</f>
        <v>273.94122279526317</v>
      </c>
      <c r="Q9" s="48">
        <f>NHH.Inputs!R9</f>
        <v>290.27595497144318</v>
      </c>
      <c r="R9" s="48">
        <f>NHH.Inputs!S9</f>
        <v>283.89642438596104</v>
      </c>
      <c r="S9" s="38"/>
    </row>
    <row r="10" spans="1:19" s="1" customFormat="1" ht="13.15" hidden="1" outlineLevel="1" x14ac:dyDescent="0.4">
      <c r="A10" s="6"/>
      <c r="E10" s="1" t="s">
        <v>46</v>
      </c>
      <c r="F10" s="1" t="s">
        <v>85</v>
      </c>
      <c r="G10" s="2" t="s">
        <v>86</v>
      </c>
      <c r="H10" s="1" t="s">
        <v>45</v>
      </c>
      <c r="I10" s="8"/>
      <c r="J10" s="48">
        <f>NHH.Inputs!K10</f>
        <v>180.52190113981817</v>
      </c>
      <c r="K10" s="48">
        <f>NHH.Inputs!L10</f>
        <v>167.389590634531</v>
      </c>
      <c r="L10" s="48">
        <f>NHH.Inputs!M10</f>
        <v>170.56504619197139</v>
      </c>
      <c r="M10" s="48">
        <f>NHH.Inputs!N10</f>
        <v>174.88706734860099</v>
      </c>
      <c r="N10" s="48">
        <f>NHH.Inputs!O10</f>
        <v>168.65167798016324</v>
      </c>
      <c r="O10" s="48">
        <f>NHH.Inputs!P10</f>
        <v>173.24098709785636</v>
      </c>
      <c r="P10" s="48">
        <f>NHH.Inputs!Q10</f>
        <v>168.75673713247463</v>
      </c>
      <c r="Q10" s="48">
        <f>NHH.Inputs!R10</f>
        <v>177.95660646660153</v>
      </c>
      <c r="R10" s="48">
        <f>NHH.Inputs!S10</f>
        <v>174.23922431940841</v>
      </c>
      <c r="S10" s="38"/>
    </row>
    <row r="11" spans="1:19" s="1" customFormat="1" ht="13.15" hidden="1" outlineLevel="1" x14ac:dyDescent="0.4">
      <c r="A11" s="6"/>
      <c r="E11" s="1" t="s">
        <v>47</v>
      </c>
      <c r="F11" s="1" t="s">
        <v>85</v>
      </c>
      <c r="G11" s="2" t="s">
        <v>86</v>
      </c>
      <c r="H11" s="1" t="s">
        <v>45</v>
      </c>
      <c r="I11" s="8"/>
      <c r="J11" s="48">
        <f>NHH.Inputs!K11</f>
        <v>18.638319709805753</v>
      </c>
      <c r="K11" s="48">
        <f>NHH.Inputs!L11</f>
        <v>17.402594390897615</v>
      </c>
      <c r="L11" s="48">
        <f>NHH.Inputs!M11</f>
        <v>17.267476924450875</v>
      </c>
      <c r="M11" s="48">
        <f>NHH.Inputs!N11</f>
        <v>18.428014787353771</v>
      </c>
      <c r="N11" s="48">
        <f>NHH.Inputs!O11</f>
        <v>17.031066531364086</v>
      </c>
      <c r="O11" s="48">
        <f>NHH.Inputs!P11</f>
        <v>18.454920799753616</v>
      </c>
      <c r="P11" s="48">
        <f>NHH.Inputs!Q11</f>
        <v>18.64056205649408</v>
      </c>
      <c r="Q11" s="48">
        <f>NHH.Inputs!R11</f>
        <v>14.757258414171357</v>
      </c>
      <c r="R11" s="48">
        <f>NHH.Inputs!S11</f>
        <v>14.412147653597705</v>
      </c>
      <c r="S11" s="38"/>
    </row>
    <row r="12" spans="1:19" s="1" customFormat="1" ht="13.15" hidden="1" outlineLevel="1" x14ac:dyDescent="0.4">
      <c r="A12" s="6"/>
      <c r="E12" s="1" t="s">
        <v>48</v>
      </c>
      <c r="F12" s="1" t="s">
        <v>85</v>
      </c>
      <c r="G12" s="2" t="s">
        <v>86</v>
      </c>
      <c r="H12" s="1" t="s">
        <v>45</v>
      </c>
      <c r="I12" s="8"/>
      <c r="J12" s="48">
        <f>NHH.Inputs!K12</f>
        <v>248.5</v>
      </c>
      <c r="K12" s="48">
        <f>NHH.Inputs!L12</f>
        <v>232.83</v>
      </c>
      <c r="L12" s="48">
        <f>NHH.Inputs!M12</f>
        <v>227.61</v>
      </c>
      <c r="M12" s="48">
        <f>NHH.Inputs!N12</f>
        <v>226</v>
      </c>
      <c r="N12" s="48">
        <f>NHH.Inputs!O12</f>
        <v>216.34</v>
      </c>
      <c r="O12" s="48">
        <f>NHH.Inputs!P12</f>
        <v>226.86</v>
      </c>
      <c r="P12" s="48">
        <f>NHH.Inputs!Q12</f>
        <v>214.54</v>
      </c>
      <c r="Q12" s="48">
        <f>NHH.Inputs!R12</f>
        <v>212.08</v>
      </c>
      <c r="R12" s="48">
        <f>NHH.Inputs!S12</f>
        <v>210.35</v>
      </c>
      <c r="S12" s="38"/>
    </row>
    <row r="13" spans="1:19" s="1" customFormat="1" ht="13.15" hidden="1" outlineLevel="1" x14ac:dyDescent="0.4">
      <c r="A13" s="6"/>
      <c r="E13" s="9" t="s">
        <v>70</v>
      </c>
      <c r="F13" s="1" t="s">
        <v>85</v>
      </c>
      <c r="G13" s="2" t="s">
        <v>86</v>
      </c>
      <c r="H13" s="1" t="s">
        <v>45</v>
      </c>
      <c r="I13" s="8"/>
      <c r="J13" s="48">
        <f>NHH.Inputs!K13</f>
        <v>157.13999999999999</v>
      </c>
      <c r="K13" s="48">
        <f>NHH.Inputs!L13</f>
        <v>152.21</v>
      </c>
      <c r="L13" s="48">
        <f>NHH.Inputs!M13</f>
        <v>149.84</v>
      </c>
      <c r="M13" s="48">
        <f>NHH.Inputs!N13</f>
        <v>149.5</v>
      </c>
      <c r="N13" s="48">
        <f>NHH.Inputs!O13</f>
        <v>141.30000000000001</v>
      </c>
      <c r="O13" s="48">
        <f>NHH.Inputs!P13</f>
        <v>146.43</v>
      </c>
      <c r="P13" s="48">
        <f>NHH.Inputs!Q13</f>
        <v>139.32</v>
      </c>
      <c r="Q13" s="48">
        <f>NHH.Inputs!R13</f>
        <v>138.85</v>
      </c>
      <c r="R13" s="48">
        <f>NHH.Inputs!S13</f>
        <v>137.69999999999999</v>
      </c>
      <c r="S13" s="38"/>
    </row>
    <row r="14" spans="1:19" s="1" customFormat="1" ht="13.15" hidden="1" outlineLevel="1" x14ac:dyDescent="0.4">
      <c r="A14" s="6"/>
      <c r="E14" s="9" t="s">
        <v>72</v>
      </c>
      <c r="F14" s="1" t="s">
        <v>85</v>
      </c>
      <c r="G14" s="2" t="s">
        <v>86</v>
      </c>
      <c r="H14" s="1" t="s">
        <v>45</v>
      </c>
      <c r="I14" s="8"/>
      <c r="J14" s="48">
        <f>NHH.Inputs!K14</f>
        <v>91.36</v>
      </c>
      <c r="K14" s="48">
        <f>NHH.Inputs!L14</f>
        <v>80.62</v>
      </c>
      <c r="L14" s="48">
        <f>NHH.Inputs!M14</f>
        <v>77.78</v>
      </c>
      <c r="M14" s="48">
        <f>NHH.Inputs!N14</f>
        <v>76.5</v>
      </c>
      <c r="N14" s="48">
        <f>NHH.Inputs!O14</f>
        <v>75.03</v>
      </c>
      <c r="O14" s="48">
        <f>NHH.Inputs!P14</f>
        <v>80.42</v>
      </c>
      <c r="P14" s="48">
        <f>NHH.Inputs!Q14</f>
        <v>75.22</v>
      </c>
      <c r="Q14" s="48">
        <f>NHH.Inputs!R14</f>
        <v>73.22</v>
      </c>
      <c r="R14" s="48">
        <f>NHH.Inputs!S14</f>
        <v>72.650000000000006</v>
      </c>
      <c r="S14" s="38"/>
    </row>
    <row r="15" spans="1:19" s="1" customFormat="1" ht="13.15" hidden="1" outlineLevel="1" x14ac:dyDescent="0.4">
      <c r="A15" s="6"/>
      <c r="E15" s="1" t="s">
        <v>49</v>
      </c>
      <c r="F15" s="1" t="s">
        <v>85</v>
      </c>
      <c r="G15" s="2" t="s">
        <v>86</v>
      </c>
      <c r="H15" s="1" t="s">
        <v>45</v>
      </c>
      <c r="I15" s="8"/>
      <c r="J15" s="48">
        <f>NHH.Inputs!K15</f>
        <v>366.5477337362899</v>
      </c>
      <c r="K15" s="48">
        <f>NHH.Inputs!L15</f>
        <v>346.7192520239488</v>
      </c>
      <c r="L15" s="48">
        <f>NHH.Inputs!M15</f>
        <v>350.78411343057974</v>
      </c>
      <c r="M15" s="48">
        <f>NHH.Inputs!N15</f>
        <v>358.73900436328262</v>
      </c>
      <c r="N15" s="48">
        <f>NHH.Inputs!O15</f>
        <v>369.66149287232673</v>
      </c>
      <c r="O15" s="48">
        <f>NHH.Inputs!P15</f>
        <v>356.78521808246688</v>
      </c>
      <c r="P15" s="48">
        <f>NHH.Inputs!Q15</f>
        <v>352.53470337434783</v>
      </c>
      <c r="Q15" s="48">
        <f>NHH.Inputs!R15</f>
        <v>367.09313601160761</v>
      </c>
      <c r="R15" s="48">
        <f>NHH.Inputs!S15</f>
        <v>362.51228232200407</v>
      </c>
      <c r="S15" s="38"/>
    </row>
    <row r="16" spans="1:19" s="1" customFormat="1" ht="13.15" hidden="1" outlineLevel="1" x14ac:dyDescent="0.4">
      <c r="A16" s="6"/>
      <c r="E16" s="1" t="s">
        <v>50</v>
      </c>
      <c r="F16" s="1" t="s">
        <v>85</v>
      </c>
      <c r="G16" s="2" t="s">
        <v>86</v>
      </c>
      <c r="H16" s="1" t="s">
        <v>45</v>
      </c>
      <c r="I16" s="8"/>
      <c r="J16" s="48">
        <f>NHH.Inputs!K16</f>
        <v>152.56568080785055</v>
      </c>
      <c r="K16" s="48">
        <f>NHH.Inputs!L16</f>
        <v>146.98318222951107</v>
      </c>
      <c r="L16" s="48">
        <f>NHH.Inputs!M16</f>
        <v>147.18614947223739</v>
      </c>
      <c r="M16" s="48">
        <f>NHH.Inputs!N16</f>
        <v>148.79490090124523</v>
      </c>
      <c r="N16" s="48">
        <f>NHH.Inputs!O16</f>
        <v>146.8168151597265</v>
      </c>
      <c r="O16" s="48">
        <f>NHH.Inputs!P16</f>
        <v>142.160040915823</v>
      </c>
      <c r="P16" s="48">
        <f>NHH.Inputs!Q16</f>
        <v>142.68138459039636</v>
      </c>
      <c r="Q16" s="48">
        <f>NHH.Inputs!R16</f>
        <v>149.34904251948734</v>
      </c>
      <c r="R16" s="48">
        <f>NHH.Inputs!S16</f>
        <v>137.34842379805798</v>
      </c>
      <c r="S16" s="38"/>
    </row>
    <row r="17" spans="1:19" s="1" customFormat="1" ht="13.15" hidden="1" outlineLevel="1" x14ac:dyDescent="0.4">
      <c r="A17" s="6"/>
      <c r="E17" s="1" t="s">
        <v>51</v>
      </c>
      <c r="F17" s="1" t="s">
        <v>85</v>
      </c>
      <c r="G17" s="2" t="s">
        <v>86</v>
      </c>
      <c r="H17" s="1" t="s">
        <v>45</v>
      </c>
      <c r="I17" s="8"/>
      <c r="J17" s="48">
        <f>NHH.Inputs!K17</f>
        <v>89.082200063422505</v>
      </c>
      <c r="K17" s="48">
        <f>NHH.Inputs!L17</f>
        <v>98.629271201496451</v>
      </c>
      <c r="L17" s="48">
        <f>NHH.Inputs!M17</f>
        <v>98.482497151223654</v>
      </c>
      <c r="M17" s="48">
        <f>NHH.Inputs!N17</f>
        <v>100.99719723988947</v>
      </c>
      <c r="N17" s="48">
        <f>NHH.Inputs!O17</f>
        <v>103.04</v>
      </c>
      <c r="O17" s="48">
        <f>NHH.Inputs!P17</f>
        <v>104.75569757270328</v>
      </c>
      <c r="P17" s="48">
        <f>NHH.Inputs!Q17</f>
        <v>112.90667307633258</v>
      </c>
      <c r="Q17" s="48">
        <f>NHH.Inputs!R17</f>
        <v>115.31615325917093</v>
      </c>
      <c r="R17" s="48">
        <f>NHH.Inputs!S17</f>
        <v>108.43521761089715</v>
      </c>
      <c r="S17" s="38"/>
    </row>
    <row r="18" spans="1:19" s="1" customFormat="1" ht="13.15" hidden="1" outlineLevel="1" x14ac:dyDescent="0.4">
      <c r="A18" s="6"/>
      <c r="E18" s="1" t="s">
        <v>52</v>
      </c>
      <c r="F18" s="1" t="s">
        <v>85</v>
      </c>
      <c r="G18" s="2" t="s">
        <v>86</v>
      </c>
      <c r="H18" s="1" t="s">
        <v>45</v>
      </c>
      <c r="I18" s="8"/>
      <c r="J18" s="48">
        <f>NHH.Inputs!K18</f>
        <v>480.82</v>
      </c>
      <c r="K18" s="48">
        <f>NHH.Inputs!L18</f>
        <v>470.58</v>
      </c>
      <c r="L18" s="48">
        <f>NHH.Inputs!M18</f>
        <v>485.54</v>
      </c>
      <c r="M18" s="48">
        <f>NHH.Inputs!N18</f>
        <v>492.69</v>
      </c>
      <c r="N18" s="48">
        <f>NHH.Inputs!O18</f>
        <v>484.15</v>
      </c>
      <c r="O18" s="48">
        <f>NHH.Inputs!P18</f>
        <v>461.7</v>
      </c>
      <c r="P18" s="48">
        <f>NHH.Inputs!Q18</f>
        <v>475.68</v>
      </c>
      <c r="Q18" s="48">
        <f>NHH.Inputs!R18</f>
        <v>464.63</v>
      </c>
      <c r="R18" s="48">
        <f>NHH.Inputs!S18</f>
        <v>445.91293581550701</v>
      </c>
      <c r="S18" s="38"/>
    </row>
    <row r="19" spans="1:19" s="1" customFormat="1" ht="13.15" hidden="1" outlineLevel="1" x14ac:dyDescent="0.4">
      <c r="A19" s="6"/>
      <c r="E19" s="1" t="s">
        <v>74</v>
      </c>
      <c r="F19" s="1" t="s">
        <v>85</v>
      </c>
      <c r="G19" s="2" t="s">
        <v>86</v>
      </c>
      <c r="H19" s="1" t="s">
        <v>45</v>
      </c>
      <c r="I19" s="8"/>
      <c r="J19" s="48">
        <f>NHH.Inputs!K19</f>
        <v>364.33660123915894</v>
      </c>
      <c r="K19" s="48">
        <f>NHH.Inputs!L19</f>
        <v>359.98189954068823</v>
      </c>
      <c r="L19" s="48">
        <f>NHH.Inputs!M19</f>
        <v>350.12890509108729</v>
      </c>
      <c r="M19" s="48">
        <f>NHH.Inputs!N19</f>
        <v>352.39185960913539</v>
      </c>
      <c r="N19" s="48">
        <f>NHH.Inputs!O19</f>
        <v>360.35446188378842</v>
      </c>
      <c r="O19" s="48">
        <f>NHH.Inputs!P19</f>
        <v>358.14048905613294</v>
      </c>
      <c r="P19" s="48">
        <f>NHH.Inputs!Q19</f>
        <v>351.8917368285891</v>
      </c>
      <c r="Q19" s="48">
        <f>NHH.Inputs!R19</f>
        <v>363.44415298763369</v>
      </c>
      <c r="R19" s="48">
        <f>NHH.Inputs!S19</f>
        <v>364.49178364906459</v>
      </c>
      <c r="S19" s="38"/>
    </row>
    <row r="20" spans="1:19" s="1" customFormat="1" ht="13.15" hidden="1" outlineLevel="1" x14ac:dyDescent="0.4">
      <c r="A20" s="6"/>
      <c r="E20" s="1" t="s">
        <v>54</v>
      </c>
      <c r="F20" s="1" t="s">
        <v>85</v>
      </c>
      <c r="G20" s="2" t="s">
        <v>86</v>
      </c>
      <c r="H20" s="1" t="s">
        <v>45</v>
      </c>
      <c r="I20" s="8"/>
      <c r="J20" s="48">
        <f>NHH.Inputs!K20</f>
        <v>83.39</v>
      </c>
      <c r="K20" s="48">
        <f>NHH.Inputs!L20</f>
        <v>78.98</v>
      </c>
      <c r="L20" s="48">
        <f>NHH.Inputs!M20</f>
        <v>81.87</v>
      </c>
      <c r="M20" s="48">
        <f>NHH.Inputs!N20</f>
        <v>81.55</v>
      </c>
      <c r="N20" s="48">
        <f>NHH.Inputs!O20</f>
        <v>81.430000000000007</v>
      </c>
      <c r="O20" s="48">
        <f>NHH.Inputs!P20</f>
        <v>80.56</v>
      </c>
      <c r="P20" s="48">
        <f>NHH.Inputs!Q20</f>
        <v>81.38</v>
      </c>
      <c r="Q20" s="48">
        <f>NHH.Inputs!R20</f>
        <v>83.52</v>
      </c>
      <c r="R20" s="48">
        <f>NHH.Inputs!S20</f>
        <v>78.930000000000007</v>
      </c>
      <c r="S20" s="38"/>
    </row>
    <row r="21" spans="1:19" s="1" customFormat="1" ht="13.15" hidden="1" outlineLevel="1" x14ac:dyDescent="0.4">
      <c r="A21" s="6"/>
      <c r="E21" s="1" t="s">
        <v>55</v>
      </c>
      <c r="F21" s="1" t="s">
        <v>85</v>
      </c>
      <c r="G21" s="2" t="s">
        <v>86</v>
      </c>
      <c r="H21" s="1" t="s">
        <v>45</v>
      </c>
      <c r="I21" s="8"/>
      <c r="J21" s="48">
        <f>NHH.Inputs!K21</f>
        <v>270.63</v>
      </c>
      <c r="K21" s="48">
        <f>NHH.Inputs!L21</f>
        <v>257.08</v>
      </c>
      <c r="L21" s="48">
        <f>NHH.Inputs!M21</f>
        <v>262.58999999999997</v>
      </c>
      <c r="M21" s="48">
        <f>NHH.Inputs!N21</f>
        <v>264.89</v>
      </c>
      <c r="N21" s="48">
        <f>NHH.Inputs!O21</f>
        <v>267.16000000000003</v>
      </c>
      <c r="O21" s="48">
        <f>NHH.Inputs!P21</f>
        <v>265.70999999999998</v>
      </c>
      <c r="P21" s="48">
        <f>NHH.Inputs!Q21</f>
        <v>273.07</v>
      </c>
      <c r="Q21" s="48">
        <f>NHH.Inputs!R21</f>
        <v>289.19</v>
      </c>
      <c r="R21" s="48">
        <f>NHH.Inputs!S21</f>
        <v>274.48</v>
      </c>
      <c r="S21" s="38"/>
    </row>
    <row r="22" spans="1:19" s="1" customFormat="1" ht="13.15" hidden="1" outlineLevel="1" x14ac:dyDescent="0.4">
      <c r="A22" s="6"/>
      <c r="E22" s="1" t="s">
        <v>56</v>
      </c>
      <c r="F22" s="1" t="s">
        <v>85</v>
      </c>
      <c r="G22" s="2" t="s">
        <v>86</v>
      </c>
      <c r="H22" s="1" t="s">
        <v>45</v>
      </c>
      <c r="I22" s="8"/>
      <c r="J22" s="48">
        <f>NHH.Inputs!K22</f>
        <v>167.96914205372548</v>
      </c>
      <c r="K22" s="48">
        <f>NHH.Inputs!L22</f>
        <v>159.93479428281674</v>
      </c>
      <c r="L22" s="48">
        <f>NHH.Inputs!M22</f>
        <v>164.02899586449857</v>
      </c>
      <c r="M22" s="48">
        <f>NHH.Inputs!N22</f>
        <v>162.44942958159677</v>
      </c>
      <c r="N22" s="48">
        <f>NHH.Inputs!O22</f>
        <v>159.80893918851666</v>
      </c>
      <c r="O22" s="48">
        <f>NHH.Inputs!P22</f>
        <v>162.28220346217395</v>
      </c>
      <c r="P22" s="48">
        <f>NHH.Inputs!Q22</f>
        <v>169.38282426079684</v>
      </c>
      <c r="Q22" s="48">
        <f>NHH.Inputs!R22</f>
        <v>172.4907301677359</v>
      </c>
      <c r="R22" s="48">
        <f>NHH.Inputs!S22</f>
        <v>167.39139318278498</v>
      </c>
      <c r="S22" s="38"/>
    </row>
    <row r="23" spans="1:19" s="1" customFormat="1" ht="13.15" hidden="1" outlineLevel="1" x14ac:dyDescent="0.4">
      <c r="A23" s="6"/>
      <c r="E23" s="1" t="s">
        <v>57</v>
      </c>
      <c r="F23" s="1" t="s">
        <v>85</v>
      </c>
      <c r="G23" s="2" t="s">
        <v>86</v>
      </c>
      <c r="H23" s="1" t="s">
        <v>45</v>
      </c>
      <c r="I23" s="8"/>
      <c r="J23" s="48">
        <f>NHH.Inputs!K23</f>
        <v>58.074009599999997</v>
      </c>
      <c r="K23" s="48">
        <f>NHH.Inputs!L23</f>
        <v>55.895735280000004</v>
      </c>
      <c r="L23" s="48">
        <f>NHH.Inputs!M23</f>
        <v>57.368322059999997</v>
      </c>
      <c r="M23" s="48">
        <f>NHH.Inputs!N23</f>
        <v>58.529674415833334</v>
      </c>
      <c r="N23" s="48">
        <f>NHH.Inputs!O23</f>
        <v>59.282804104166672</v>
      </c>
      <c r="O23" s="48">
        <f>NHH.Inputs!P23</f>
        <v>59.320324060000004</v>
      </c>
      <c r="P23" s="48">
        <f>NHH.Inputs!Q23</f>
        <v>59.24</v>
      </c>
      <c r="Q23" s="48">
        <f>NHH.Inputs!R23</f>
        <v>60.122540853785807</v>
      </c>
      <c r="R23" s="48">
        <f>NHH.Inputs!S23</f>
        <v>58.260490648447842</v>
      </c>
      <c r="S23" s="38"/>
    </row>
    <row r="24" spans="1:19" s="1" customFormat="1" ht="13.15" hidden="1" outlineLevel="1" x14ac:dyDescent="0.4">
      <c r="A24" s="6"/>
      <c r="E24" s="1" t="s">
        <v>58</v>
      </c>
      <c r="F24" s="1" t="s">
        <v>85</v>
      </c>
      <c r="G24" s="2" t="s">
        <v>86</v>
      </c>
      <c r="H24" s="1" t="s">
        <v>45</v>
      </c>
      <c r="I24" s="8"/>
      <c r="J24" s="48">
        <f>NHH.Inputs!K24</f>
        <v>69.927677330346071</v>
      </c>
      <c r="K24" s="48">
        <f>NHH.Inputs!L24</f>
        <v>70.27</v>
      </c>
      <c r="L24" s="48">
        <f>NHH.Inputs!M24</f>
        <v>69.849999999999994</v>
      </c>
      <c r="M24" s="48">
        <f>NHH.Inputs!N24</f>
        <v>69.400000000000006</v>
      </c>
      <c r="N24" s="48">
        <f>NHH.Inputs!O24</f>
        <v>71.150000000000006</v>
      </c>
      <c r="O24" s="48">
        <f>NHH.Inputs!P24</f>
        <v>72.680000000000007</v>
      </c>
      <c r="P24" s="48">
        <f>NHH.Inputs!Q24</f>
        <v>74.44</v>
      </c>
      <c r="Q24" s="48">
        <f>NHH.Inputs!R24</f>
        <v>77.13</v>
      </c>
      <c r="R24" s="48">
        <f>NHH.Inputs!S24</f>
        <v>83.88</v>
      </c>
      <c r="S24" s="38"/>
    </row>
    <row r="25" spans="1:19" s="1" customFormat="1" ht="13.15" hidden="1" outlineLevel="1" x14ac:dyDescent="0.4">
      <c r="A25" s="6"/>
      <c r="E25" s="1" t="s">
        <v>75</v>
      </c>
      <c r="F25" s="1" t="s">
        <v>85</v>
      </c>
      <c r="G25" s="2" t="s">
        <v>86</v>
      </c>
      <c r="H25" s="1" t="s">
        <v>45</v>
      </c>
      <c r="I25" s="8"/>
      <c r="J25" s="48">
        <f>NHH.Inputs!K25</f>
        <v>49.7</v>
      </c>
      <c r="K25" s="48">
        <f>NHH.Inputs!L25</f>
        <v>50.04</v>
      </c>
      <c r="L25" s="48">
        <f>NHH.Inputs!M25</f>
        <v>50.02</v>
      </c>
      <c r="M25" s="48">
        <f>NHH.Inputs!N25</f>
        <v>49.51</v>
      </c>
      <c r="N25" s="48">
        <f>NHH.Inputs!O25</f>
        <v>50.64</v>
      </c>
      <c r="O25" s="48">
        <f>NHH.Inputs!P25</f>
        <v>52.25</v>
      </c>
      <c r="P25" s="48">
        <f>NHH.Inputs!Q25</f>
        <v>53.36</v>
      </c>
      <c r="Q25" s="48">
        <f>NHH.Inputs!R25</f>
        <v>54.79</v>
      </c>
      <c r="R25" s="48">
        <f>NHH.Inputs!S25</f>
        <v>58.3</v>
      </c>
      <c r="S25" s="38"/>
    </row>
    <row r="26" spans="1:19" s="1" customFormat="1" ht="13.15" hidden="1" outlineLevel="1" x14ac:dyDescent="0.4">
      <c r="A26" s="6"/>
      <c r="E26" s="1" t="s">
        <v>76</v>
      </c>
      <c r="F26" s="1" t="s">
        <v>85</v>
      </c>
      <c r="G26" s="2" t="s">
        <v>86</v>
      </c>
      <c r="H26" s="1" t="s">
        <v>45</v>
      </c>
      <c r="I26" s="8"/>
      <c r="J26" s="48">
        <f>NHH.Inputs!K26</f>
        <v>20.227677330346069</v>
      </c>
      <c r="K26" s="48">
        <f>NHH.Inputs!L26</f>
        <v>20.23</v>
      </c>
      <c r="L26" s="48">
        <f>NHH.Inputs!M26</f>
        <v>19.829999999999998</v>
      </c>
      <c r="M26" s="48">
        <f>NHH.Inputs!N26</f>
        <v>19.89</v>
      </c>
      <c r="N26" s="48">
        <f>NHH.Inputs!O26</f>
        <v>20.51</v>
      </c>
      <c r="O26" s="48">
        <f>NHH.Inputs!P26</f>
        <v>20.43</v>
      </c>
      <c r="P26" s="48">
        <f>NHH.Inputs!Q26</f>
        <v>21.08</v>
      </c>
      <c r="Q26" s="48">
        <f>NHH.Inputs!R26</f>
        <v>22.34</v>
      </c>
      <c r="R26" s="48">
        <f>NHH.Inputs!S26</f>
        <v>25.58</v>
      </c>
      <c r="S26" s="38"/>
    </row>
    <row r="27" spans="1:19" s="1" customFormat="1" ht="13.15" hidden="1" outlineLevel="1" x14ac:dyDescent="0.4">
      <c r="A27" s="6"/>
      <c r="E27" s="1" t="s">
        <v>59</v>
      </c>
      <c r="F27" s="1" t="s">
        <v>85</v>
      </c>
      <c r="G27" s="2" t="s">
        <v>86</v>
      </c>
      <c r="H27" s="1" t="s">
        <v>45</v>
      </c>
      <c r="I27" s="8"/>
      <c r="J27" s="48">
        <f>NHH.Inputs!K27</f>
        <v>39.159999999999997</v>
      </c>
      <c r="K27" s="48">
        <f>NHH.Inputs!L27</f>
        <v>34.57</v>
      </c>
      <c r="L27" s="48">
        <f>NHH.Inputs!M27</f>
        <v>35.270000000000003</v>
      </c>
      <c r="M27" s="48">
        <f>NHH.Inputs!N27</f>
        <v>34.78</v>
      </c>
      <c r="N27" s="48">
        <f>NHH.Inputs!O27</f>
        <v>35.29</v>
      </c>
      <c r="O27" s="48">
        <f>NHH.Inputs!P27</f>
        <v>34</v>
      </c>
      <c r="P27" s="48">
        <f>NHH.Inputs!Q27</f>
        <v>32.82</v>
      </c>
      <c r="Q27" s="48">
        <f>NHH.Inputs!R27</f>
        <v>33.799999999999997</v>
      </c>
      <c r="R27" s="48">
        <f>NHH.Inputs!S27</f>
        <v>32.04</v>
      </c>
      <c r="S27" s="38"/>
    </row>
    <row r="28" spans="1:19" s="1" customFormat="1" ht="13.15" hidden="1" outlineLevel="1" x14ac:dyDescent="0.4">
      <c r="A28" s="6"/>
      <c r="E28" s="1" t="s">
        <v>60</v>
      </c>
      <c r="F28" s="1" t="s">
        <v>85</v>
      </c>
      <c r="G28" s="2" t="s">
        <v>86</v>
      </c>
      <c r="H28" s="1" t="s">
        <v>45</v>
      </c>
      <c r="I28" s="8"/>
      <c r="J28" s="48">
        <f>NHH.Inputs!K28</f>
        <v>103.9</v>
      </c>
      <c r="K28" s="48">
        <f>NHH.Inputs!L28</f>
        <v>95.005056792952473</v>
      </c>
      <c r="L28" s="48">
        <f>NHH.Inputs!M28</f>
        <v>98.92</v>
      </c>
      <c r="M28" s="48">
        <f>NHH.Inputs!N28</f>
        <v>99.21</v>
      </c>
      <c r="N28" s="48">
        <f>NHH.Inputs!O28</f>
        <v>97.52</v>
      </c>
      <c r="O28" s="48">
        <f>NHH.Inputs!P28</f>
        <v>94.06</v>
      </c>
      <c r="P28" s="48">
        <f>NHH.Inputs!Q28</f>
        <v>90.88450755656163</v>
      </c>
      <c r="Q28" s="48">
        <f>NHH.Inputs!R28</f>
        <v>94.387368957038163</v>
      </c>
      <c r="R28" s="48">
        <f>NHH.Inputs!S28</f>
        <v>91.486272296847488</v>
      </c>
      <c r="S28" s="38"/>
    </row>
    <row r="29" spans="1:19" s="1" customFormat="1" ht="13.15" hidden="1" outlineLevel="1" x14ac:dyDescent="0.4">
      <c r="A29" s="6"/>
      <c r="E29" s="1" t="s">
        <v>61</v>
      </c>
      <c r="F29" s="1" t="s">
        <v>85</v>
      </c>
      <c r="G29" s="2" t="s">
        <v>86</v>
      </c>
      <c r="H29" s="1" t="s">
        <v>45</v>
      </c>
      <c r="I29" s="8"/>
      <c r="J29" s="48">
        <f>NHH.Inputs!K29</f>
        <v>24.512609234972679</v>
      </c>
      <c r="K29" s="48">
        <f>NHH.Inputs!L29</f>
        <v>23.8</v>
      </c>
      <c r="L29" s="48">
        <f>NHH.Inputs!M29</f>
        <v>23.84</v>
      </c>
      <c r="M29" s="48">
        <f>NHH.Inputs!N29</f>
        <v>24.48</v>
      </c>
      <c r="N29" s="48">
        <f>NHH.Inputs!O29</f>
        <v>25.24</v>
      </c>
      <c r="O29" s="48">
        <f>NHH.Inputs!P29</f>
        <v>25.77</v>
      </c>
      <c r="P29" s="48">
        <f>NHH.Inputs!Q29</f>
        <v>23.26</v>
      </c>
      <c r="Q29" s="48">
        <f>NHH.Inputs!R29</f>
        <v>22.77</v>
      </c>
      <c r="R29" s="48">
        <f>NHH.Inputs!S29</f>
        <v>23.26</v>
      </c>
      <c r="S29" s="38"/>
    </row>
    <row r="30" spans="1:19" s="1" customFormat="1" ht="13.15" collapsed="1" x14ac:dyDescent="0.35">
      <c r="A30" s="6"/>
      <c r="J30" s="49"/>
      <c r="K30" s="49"/>
      <c r="L30" s="49"/>
      <c r="M30" s="49"/>
      <c r="N30" s="49"/>
      <c r="O30" s="49"/>
      <c r="P30" s="49"/>
      <c r="Q30" s="49"/>
      <c r="R30" s="49"/>
      <c r="S30" s="38"/>
    </row>
    <row r="31" spans="1:19" s="90" customFormat="1" ht="13.15" x14ac:dyDescent="0.35">
      <c r="A31" s="90" t="s">
        <v>93</v>
      </c>
      <c r="J31" s="91"/>
      <c r="K31" s="91"/>
      <c r="L31" s="91"/>
      <c r="M31" s="91"/>
      <c r="N31" s="91"/>
      <c r="O31" s="91"/>
      <c r="P31" s="91"/>
      <c r="Q31" s="91"/>
      <c r="R31" s="91"/>
      <c r="S31" s="91"/>
    </row>
    <row r="32" spans="1:19" s="1" customFormat="1" ht="13.15" x14ac:dyDescent="0.35">
      <c r="A32" s="6"/>
      <c r="J32" s="49"/>
      <c r="K32" s="49"/>
      <c r="L32" s="49"/>
      <c r="M32" s="49"/>
      <c r="N32" s="49"/>
      <c r="O32" s="49"/>
      <c r="P32" s="49"/>
      <c r="Q32" s="49"/>
      <c r="R32" s="49"/>
      <c r="S32" s="38"/>
    </row>
    <row r="33" spans="1:19" s="1" customFormat="1" ht="13.15" x14ac:dyDescent="0.4">
      <c r="A33" s="6"/>
      <c r="E33" s="1" t="s">
        <v>36</v>
      </c>
      <c r="F33" s="1" t="s">
        <v>85</v>
      </c>
      <c r="G33" s="2" t="s">
        <v>88</v>
      </c>
      <c r="H33" s="1" t="s">
        <v>45</v>
      </c>
      <c r="J33" s="48">
        <f>NHH.Inputs!K33</f>
        <v>2.0107363540535603</v>
      </c>
      <c r="K33" s="48">
        <f>NHH.Inputs!L33</f>
        <v>1.8926338248931875</v>
      </c>
      <c r="L33" s="48">
        <f>NHH.Inputs!M33</f>
        <v>1.6357995922586566</v>
      </c>
      <c r="M33" s="48">
        <f>NHH.Inputs!N33</f>
        <v>1.4424880566079312</v>
      </c>
      <c r="N33" s="48">
        <f>NHH.Inputs!O33</f>
        <v>1.2227960502349842</v>
      </c>
      <c r="O33" s="48">
        <f>NHH.Inputs!P33</f>
        <v>1.1053870784498991</v>
      </c>
      <c r="P33" s="48">
        <f>NHH.Inputs!Q33</f>
        <v>0.75669701807798251</v>
      </c>
      <c r="Q33" s="48">
        <f>NHH.Inputs!R33</f>
        <v>0.86105745674450307</v>
      </c>
      <c r="R33" s="48">
        <f>NHH.Inputs!S33</f>
        <v>0.82332587817376646</v>
      </c>
      <c r="S33" s="38"/>
    </row>
    <row r="34" spans="1:19" s="1" customFormat="1" ht="13.15" hidden="1" outlineLevel="1" x14ac:dyDescent="0.4">
      <c r="A34" s="6"/>
      <c r="E34" s="1" t="s">
        <v>46</v>
      </c>
      <c r="F34" s="1" t="s">
        <v>85</v>
      </c>
      <c r="G34" s="2" t="s">
        <v>88</v>
      </c>
      <c r="H34" s="1" t="s">
        <v>45</v>
      </c>
      <c r="J34" s="48">
        <f>NHH.Inputs!K34</f>
        <v>5.1757946595419106</v>
      </c>
      <c r="K34" s="48">
        <f>NHH.Inputs!L34</f>
        <v>4.2704361302037226</v>
      </c>
      <c r="L34" s="48">
        <f>NHH.Inputs!M34</f>
        <v>4.3296225844247163</v>
      </c>
      <c r="M34" s="48">
        <f>NHH.Inputs!N34</f>
        <v>5.1460451586428491</v>
      </c>
      <c r="N34" s="48">
        <f>NHH.Inputs!O34</f>
        <v>4.7213679114013791</v>
      </c>
      <c r="O34" s="48">
        <f>NHH.Inputs!P34</f>
        <v>5.3633145188133087</v>
      </c>
      <c r="P34" s="48">
        <f>NHH.Inputs!Q34</f>
        <v>5.4128830833496018</v>
      </c>
      <c r="Q34" s="48">
        <f>NHH.Inputs!R34</f>
        <v>5.6156114770810079</v>
      </c>
      <c r="R34" s="48">
        <f>NHH.Inputs!S34</f>
        <v>4.0029973362039151</v>
      </c>
      <c r="S34" s="38"/>
    </row>
    <row r="35" spans="1:19" s="1" customFormat="1" ht="13.15" hidden="1" outlineLevel="1" x14ac:dyDescent="0.4">
      <c r="A35" s="6"/>
      <c r="E35" s="1" t="s">
        <v>47</v>
      </c>
      <c r="F35" s="1" t="s">
        <v>85</v>
      </c>
      <c r="G35" s="2" t="s">
        <v>88</v>
      </c>
      <c r="H35" s="1" t="s">
        <v>45</v>
      </c>
      <c r="J35" s="48">
        <f>NHH.Inputs!K35</f>
        <v>0.43687176472783357</v>
      </c>
      <c r="K35" s="48">
        <f>NHH.Inputs!L35</f>
        <v>0.58092877393079712</v>
      </c>
      <c r="L35" s="48">
        <f>NHH.Inputs!M35</f>
        <v>0.51654214576353152</v>
      </c>
      <c r="M35" s="48">
        <f>NHH.Inputs!N35</f>
        <v>0.40652965837316585</v>
      </c>
      <c r="N35" s="48">
        <f>NHH.Inputs!O35</f>
        <v>0.34780119866195436</v>
      </c>
      <c r="O35" s="48">
        <f>NHH.Inputs!P35</f>
        <v>0.67637250828967144</v>
      </c>
      <c r="P35" s="48">
        <f>NHH.Inputs!Q35</f>
        <v>0.71599000159989279</v>
      </c>
      <c r="Q35" s="48">
        <f>NHH.Inputs!R35</f>
        <v>1.22435888829836</v>
      </c>
      <c r="R35" s="48">
        <f>NHH.Inputs!S35</f>
        <v>1.296776562982612</v>
      </c>
      <c r="S35" s="38"/>
    </row>
    <row r="36" spans="1:19" s="1" customFormat="1" ht="13.15" hidden="1" outlineLevel="1" x14ac:dyDescent="0.4">
      <c r="A36" s="6"/>
      <c r="E36" s="1" t="s">
        <v>48</v>
      </c>
      <c r="F36" s="1" t="s">
        <v>85</v>
      </c>
      <c r="G36" s="2" t="s">
        <v>88</v>
      </c>
      <c r="H36" s="1" t="s">
        <v>45</v>
      </c>
      <c r="J36" s="48">
        <f>NHH.Inputs!K36</f>
        <v>6.25</v>
      </c>
      <c r="K36" s="48">
        <f>NHH.Inputs!L36</f>
        <v>5.85</v>
      </c>
      <c r="L36" s="48">
        <f>NHH.Inputs!M36</f>
        <v>5.77</v>
      </c>
      <c r="M36" s="48">
        <f>NHH.Inputs!N36</f>
        <v>4.92</v>
      </c>
      <c r="N36" s="48">
        <f>NHH.Inputs!O36</f>
        <v>6.31</v>
      </c>
      <c r="O36" s="48">
        <f>NHH.Inputs!P36</f>
        <v>6.11</v>
      </c>
      <c r="P36" s="48">
        <f>NHH.Inputs!Q36</f>
        <v>6.17</v>
      </c>
      <c r="Q36" s="48">
        <f>NHH.Inputs!R36</f>
        <v>5.92</v>
      </c>
      <c r="R36" s="48">
        <f>NHH.Inputs!S36</f>
        <v>4.7300000000000004</v>
      </c>
      <c r="S36" s="38"/>
    </row>
    <row r="37" spans="1:19" s="1" customFormat="1" ht="13.15" hidden="1" outlineLevel="1" x14ac:dyDescent="0.4">
      <c r="A37" s="6"/>
      <c r="E37" s="9" t="s">
        <v>70</v>
      </c>
      <c r="F37" s="1" t="s">
        <v>85</v>
      </c>
      <c r="G37" s="2" t="s">
        <v>88</v>
      </c>
      <c r="H37" s="1" t="s">
        <v>45</v>
      </c>
      <c r="J37" s="48">
        <f>NHH.Inputs!K37</f>
        <v>5.0999999999999996</v>
      </c>
      <c r="K37" s="48">
        <f>NHH.Inputs!L37</f>
        <v>4.76</v>
      </c>
      <c r="L37" s="48">
        <f>NHH.Inputs!M37</f>
        <v>4.71</v>
      </c>
      <c r="M37" s="48">
        <f>NHH.Inputs!N37</f>
        <v>3.91</v>
      </c>
      <c r="N37" s="48">
        <f>NHH.Inputs!O37</f>
        <v>5.33</v>
      </c>
      <c r="O37" s="48">
        <f>NHH.Inputs!P37</f>
        <v>4.99</v>
      </c>
      <c r="P37" s="48">
        <f>NHH.Inputs!Q37</f>
        <v>5.07</v>
      </c>
      <c r="Q37" s="48">
        <f>NHH.Inputs!R37</f>
        <v>4.9000000000000004</v>
      </c>
      <c r="R37" s="48">
        <f>NHH.Inputs!S37</f>
        <v>3.77</v>
      </c>
      <c r="S37" s="38"/>
    </row>
    <row r="38" spans="1:19" s="1" customFormat="1" ht="13.15" hidden="1" outlineLevel="1" x14ac:dyDescent="0.4">
      <c r="A38" s="6"/>
      <c r="E38" s="9" t="s">
        <v>72</v>
      </c>
      <c r="F38" s="1" t="s">
        <v>85</v>
      </c>
      <c r="G38" s="2" t="s">
        <v>88</v>
      </c>
      <c r="H38" s="1" t="s">
        <v>45</v>
      </c>
      <c r="J38" s="48">
        <f>NHH.Inputs!K38</f>
        <v>1.1499999999999999</v>
      </c>
      <c r="K38" s="48">
        <f>NHH.Inputs!L38</f>
        <v>1.0900000000000001</v>
      </c>
      <c r="L38" s="48">
        <f>NHH.Inputs!M38</f>
        <v>1.06</v>
      </c>
      <c r="M38" s="48">
        <f>NHH.Inputs!N38</f>
        <v>1.01</v>
      </c>
      <c r="N38" s="48">
        <f>NHH.Inputs!O38</f>
        <v>0.98</v>
      </c>
      <c r="O38" s="48">
        <f>NHH.Inputs!P38</f>
        <v>1.1299999999999999</v>
      </c>
      <c r="P38" s="48">
        <f>NHH.Inputs!Q38</f>
        <v>1.1000000000000001</v>
      </c>
      <c r="Q38" s="48">
        <f>NHH.Inputs!R38</f>
        <v>1.01</v>
      </c>
      <c r="R38" s="48">
        <f>NHH.Inputs!S38</f>
        <v>0.96</v>
      </c>
      <c r="S38" s="38"/>
    </row>
    <row r="39" spans="1:19" s="1" customFormat="1" ht="13.15" hidden="1" outlineLevel="1" x14ac:dyDescent="0.4">
      <c r="A39" s="6"/>
      <c r="E39" s="1" t="s">
        <v>49</v>
      </c>
      <c r="F39" s="1" t="s">
        <v>85</v>
      </c>
      <c r="G39" s="2" t="s">
        <v>88</v>
      </c>
      <c r="H39" s="1" t="s">
        <v>45</v>
      </c>
      <c r="J39" s="48">
        <f>NHH.Inputs!K39</f>
        <v>10.367203956741788</v>
      </c>
      <c r="K39" s="48">
        <f>NHH.Inputs!L39</f>
        <v>10.060208790488755</v>
      </c>
      <c r="L39" s="48">
        <f>NHH.Inputs!M39</f>
        <v>10.002952061238085</v>
      </c>
      <c r="M39" s="48">
        <f>NHH.Inputs!N39</f>
        <v>8.9771411137321309</v>
      </c>
      <c r="N39" s="48">
        <f>NHH.Inputs!O39</f>
        <v>8.6983484039023633</v>
      </c>
      <c r="O39" s="48">
        <f>NHH.Inputs!P39</f>
        <v>6.8550098171135065</v>
      </c>
      <c r="P39" s="48">
        <f>NHH.Inputs!Q39</f>
        <v>7.6470657593559528</v>
      </c>
      <c r="Q39" s="48">
        <f>NHH.Inputs!R39</f>
        <v>7.1153832514033821</v>
      </c>
      <c r="R39" s="48">
        <f>NHH.Inputs!S39</f>
        <v>7.5796531634587518</v>
      </c>
      <c r="S39" s="38"/>
    </row>
    <row r="40" spans="1:19" s="1" customFormat="1" ht="13.15" hidden="1" outlineLevel="1" x14ac:dyDescent="0.4">
      <c r="A40" s="21"/>
      <c r="E40" s="1" t="s">
        <v>50</v>
      </c>
      <c r="F40" s="1" t="s">
        <v>85</v>
      </c>
      <c r="G40" s="2" t="s">
        <v>88</v>
      </c>
      <c r="H40" s="1" t="s">
        <v>45</v>
      </c>
      <c r="J40" s="48">
        <f>NHH.Inputs!K40</f>
        <v>8.4784788582999564</v>
      </c>
      <c r="K40" s="48">
        <f>NHH.Inputs!L40</f>
        <v>8.6849776629310291</v>
      </c>
      <c r="L40" s="48">
        <f>NHH.Inputs!M40</f>
        <v>9.2751468976328919</v>
      </c>
      <c r="M40" s="48">
        <f>NHH.Inputs!N40</f>
        <v>8.8866816081942659</v>
      </c>
      <c r="N40" s="48">
        <f>NHH.Inputs!O40</f>
        <v>3.443341398778264</v>
      </c>
      <c r="O40" s="48">
        <f>NHH.Inputs!P40</f>
        <v>4.2592115374205735</v>
      </c>
      <c r="P40" s="48">
        <f>NHH.Inputs!Q40</f>
        <v>3.102975460990546</v>
      </c>
      <c r="Q40" s="48">
        <f>NHH.Inputs!R40</f>
        <v>2.9431951015335698</v>
      </c>
      <c r="R40" s="48">
        <f>NHH.Inputs!S40</f>
        <v>3.0759908751382761</v>
      </c>
      <c r="S40" s="38"/>
    </row>
    <row r="41" spans="1:19" s="1" customFormat="1" ht="13.15" hidden="1" outlineLevel="1" x14ac:dyDescent="0.4">
      <c r="A41" s="6"/>
      <c r="E41" s="1" t="s">
        <v>51</v>
      </c>
      <c r="F41" s="1" t="s">
        <v>85</v>
      </c>
      <c r="G41" s="2" t="s">
        <v>88</v>
      </c>
      <c r="H41" s="1" t="s">
        <v>45</v>
      </c>
      <c r="J41" s="48">
        <f>NHH.Inputs!K41</f>
        <v>4.5517788234770791</v>
      </c>
      <c r="K41" s="48">
        <f>NHH.Inputs!L41</f>
        <v>4.9502320394740522</v>
      </c>
      <c r="L41" s="48">
        <f>NHH.Inputs!M41</f>
        <v>4.6053284012569922</v>
      </c>
      <c r="M41" s="48">
        <f>NHH.Inputs!N41</f>
        <v>5.1681622492232799</v>
      </c>
      <c r="N41" s="48">
        <f>NHH.Inputs!O41</f>
        <v>7.25</v>
      </c>
      <c r="O41" s="48">
        <f>NHH.Inputs!P41</f>
        <v>4.4858696076135116</v>
      </c>
      <c r="P41" s="48">
        <f>NHH.Inputs!Q41</f>
        <v>5.3419656600079239</v>
      </c>
      <c r="Q41" s="48">
        <f>NHH.Inputs!R41</f>
        <v>4.84</v>
      </c>
      <c r="R41" s="48">
        <f>NHH.Inputs!S41</f>
        <v>4.0243381770602786</v>
      </c>
      <c r="S41" s="38"/>
    </row>
    <row r="42" spans="1:19" s="1" customFormat="1" ht="13.15" hidden="1" outlineLevel="1" x14ac:dyDescent="0.4">
      <c r="A42" s="6"/>
      <c r="E42" s="1" t="s">
        <v>52</v>
      </c>
      <c r="F42" s="1" t="s">
        <v>85</v>
      </c>
      <c r="G42" s="2" t="s">
        <v>88</v>
      </c>
      <c r="H42" s="1" t="s">
        <v>45</v>
      </c>
      <c r="J42" s="48">
        <f>NHH.Inputs!K42</f>
        <v>20.69</v>
      </c>
      <c r="K42" s="48">
        <f>NHH.Inputs!L42</f>
        <v>19.61</v>
      </c>
      <c r="L42" s="48">
        <f>NHH.Inputs!M42</f>
        <v>15.85</v>
      </c>
      <c r="M42" s="48">
        <f>NHH.Inputs!N42</f>
        <v>15.26</v>
      </c>
      <c r="N42" s="48">
        <f>NHH.Inputs!O42</f>
        <v>15.47</v>
      </c>
      <c r="O42" s="48">
        <f>NHH.Inputs!P42</f>
        <v>17.05</v>
      </c>
      <c r="P42" s="48">
        <f>NHH.Inputs!Q42</f>
        <v>15.97</v>
      </c>
      <c r="Q42" s="48">
        <f>NHH.Inputs!R42</f>
        <v>14.26</v>
      </c>
      <c r="R42" s="48">
        <f>NHH.Inputs!S42</f>
        <v>14.611728125030901</v>
      </c>
      <c r="S42" s="38"/>
    </row>
    <row r="43" spans="1:19" s="1" customFormat="1" ht="13.15" hidden="1" outlineLevel="1" x14ac:dyDescent="0.4">
      <c r="A43" s="6"/>
      <c r="E43" s="1" t="s">
        <v>74</v>
      </c>
      <c r="F43" s="1" t="s">
        <v>85</v>
      </c>
      <c r="G43" s="2" t="s">
        <v>88</v>
      </c>
      <c r="H43" s="1" t="s">
        <v>45</v>
      </c>
      <c r="J43" s="48">
        <f>NHH.Inputs!K43</f>
        <v>13.486018839819831</v>
      </c>
      <c r="K43" s="48">
        <f>NHH.Inputs!L43</f>
        <v>12.792434714899713</v>
      </c>
      <c r="L43" s="48">
        <f>NHH.Inputs!M43</f>
        <v>11.252863651851495</v>
      </c>
      <c r="M43" s="48">
        <f>NHH.Inputs!N43</f>
        <v>10.08463874668743</v>
      </c>
      <c r="N43" s="48">
        <f>NHH.Inputs!O43</f>
        <v>9.7287471632893183</v>
      </c>
      <c r="O43" s="48">
        <f>NHH.Inputs!P43</f>
        <v>10.504600868938484</v>
      </c>
      <c r="P43" s="48">
        <f>NHH.Inputs!Q43</f>
        <v>13.938321031914443</v>
      </c>
      <c r="Q43" s="48">
        <f>NHH.Inputs!R43</f>
        <v>13.372317869958968</v>
      </c>
      <c r="R43" s="48">
        <f>NHH.Inputs!S43</f>
        <v>12.849546245225049</v>
      </c>
      <c r="S43" s="38"/>
    </row>
    <row r="44" spans="1:19" s="1" customFormat="1" ht="13.15" hidden="1" outlineLevel="1" x14ac:dyDescent="0.4">
      <c r="A44" s="6"/>
      <c r="E44" s="1" t="s">
        <v>54</v>
      </c>
      <c r="F44" s="1" t="s">
        <v>85</v>
      </c>
      <c r="G44" s="2" t="s">
        <v>88</v>
      </c>
      <c r="H44" s="1" t="s">
        <v>45</v>
      </c>
      <c r="J44" s="48">
        <f>NHH.Inputs!K44</f>
        <v>18.28</v>
      </c>
      <c r="K44" s="48">
        <f>NHH.Inputs!L44</f>
        <v>17.690000000000001</v>
      </c>
      <c r="L44" s="48">
        <f>NHH.Inputs!M44</f>
        <v>17.440000000000001</v>
      </c>
      <c r="M44" s="48">
        <f>NHH.Inputs!N44</f>
        <v>17.45</v>
      </c>
      <c r="N44" s="48">
        <f>NHH.Inputs!O44</f>
        <v>17.07</v>
      </c>
      <c r="O44" s="48">
        <f>NHH.Inputs!P44</f>
        <v>17.02</v>
      </c>
      <c r="P44" s="48">
        <f>NHH.Inputs!Q44</f>
        <v>16.829999999999998</v>
      </c>
      <c r="Q44" s="48">
        <f>NHH.Inputs!R44</f>
        <v>16.87</v>
      </c>
      <c r="R44" s="48">
        <f>NHH.Inputs!S44</f>
        <v>16.28</v>
      </c>
      <c r="S44" s="38"/>
    </row>
    <row r="45" spans="1:19" s="1" customFormat="1" ht="13.15" hidden="1" outlineLevel="1" x14ac:dyDescent="0.4">
      <c r="A45" s="6"/>
      <c r="E45" s="1" t="s">
        <v>55</v>
      </c>
      <c r="F45" s="1" t="s">
        <v>85</v>
      </c>
      <c r="G45" s="2" t="s">
        <v>88</v>
      </c>
      <c r="H45" s="1" t="s">
        <v>45</v>
      </c>
      <c r="J45" s="48">
        <f>NHH.Inputs!K45</f>
        <v>1.94</v>
      </c>
      <c r="K45" s="48">
        <f>NHH.Inputs!L45</f>
        <v>1.94</v>
      </c>
      <c r="L45" s="48">
        <f>NHH.Inputs!M45</f>
        <v>1.94</v>
      </c>
      <c r="M45" s="48">
        <f>NHH.Inputs!N45</f>
        <v>1.94</v>
      </c>
      <c r="N45" s="48">
        <f>NHH.Inputs!O45</f>
        <v>1.97</v>
      </c>
      <c r="O45" s="48">
        <f>NHH.Inputs!P45</f>
        <v>1.99</v>
      </c>
      <c r="P45" s="48">
        <f>NHH.Inputs!Q45</f>
        <v>2.2000000000000002</v>
      </c>
      <c r="Q45" s="48">
        <f>NHH.Inputs!R45</f>
        <v>2.12</v>
      </c>
      <c r="R45" s="48">
        <f>NHH.Inputs!S45</f>
        <v>2.1</v>
      </c>
      <c r="S45" s="38"/>
    </row>
    <row r="46" spans="1:19" s="1" customFormat="1" ht="13.15" hidden="1" outlineLevel="1" x14ac:dyDescent="0.4">
      <c r="A46" s="6"/>
      <c r="E46" s="1" t="s">
        <v>56</v>
      </c>
      <c r="F46" s="1" t="s">
        <v>85</v>
      </c>
      <c r="G46" s="2" t="s">
        <v>88</v>
      </c>
      <c r="H46" s="1" t="s">
        <v>45</v>
      </c>
      <c r="J46" s="48">
        <f>NHH.Inputs!K46</f>
        <v>10.264577995943924</v>
      </c>
      <c r="K46" s="48">
        <f>NHH.Inputs!L46</f>
        <v>9.5414241361098711</v>
      </c>
      <c r="L46" s="48">
        <f>NHH.Inputs!M46</f>
        <v>8.640257155818821</v>
      </c>
      <c r="M46" s="48">
        <f>NHH.Inputs!N46</f>
        <v>9.4006938128651747</v>
      </c>
      <c r="N46" s="48">
        <f>NHH.Inputs!O46</f>
        <v>9.0753082105699345</v>
      </c>
      <c r="O46" s="48">
        <f>NHH.Inputs!P46</f>
        <v>10.104447882837784</v>
      </c>
      <c r="P46" s="48">
        <f>NHH.Inputs!Q46</f>
        <v>9.5531958569939786</v>
      </c>
      <c r="Q46" s="48">
        <f>NHH.Inputs!R46</f>
        <v>9.9885397406347387</v>
      </c>
      <c r="R46" s="48">
        <f>NHH.Inputs!S46</f>
        <v>9.4759612301771181</v>
      </c>
      <c r="S46" s="38"/>
    </row>
    <row r="47" spans="1:19" s="1" customFormat="1" ht="13.15" hidden="1" outlineLevel="1" x14ac:dyDescent="0.4">
      <c r="A47" s="6"/>
      <c r="E47" s="1" t="s">
        <v>57</v>
      </c>
      <c r="F47" s="1" t="s">
        <v>85</v>
      </c>
      <c r="G47" s="2" t="s">
        <v>88</v>
      </c>
      <c r="H47" s="1" t="s">
        <v>45</v>
      </c>
      <c r="J47" s="48">
        <f>NHH.Inputs!K47</f>
        <v>2.3223261800000001</v>
      </c>
      <c r="K47" s="48">
        <f>NHH.Inputs!L47</f>
        <v>1.9779104000000001</v>
      </c>
      <c r="L47" s="48">
        <f>NHH.Inputs!M47</f>
        <v>1.4134727199999999</v>
      </c>
      <c r="M47" s="48">
        <f>NHH.Inputs!N47</f>
        <v>0.83000735000000003</v>
      </c>
      <c r="N47" s="48">
        <f>NHH.Inputs!O47</f>
        <v>0.60262145833333336</v>
      </c>
      <c r="O47" s="48">
        <f>NHH.Inputs!P47</f>
        <v>0.49206523000000002</v>
      </c>
      <c r="P47" s="48">
        <f>NHH.Inputs!Q47</f>
        <v>0.41000000000000003</v>
      </c>
      <c r="Q47" s="48">
        <f>NHH.Inputs!R47</f>
        <v>0.3525027739818124</v>
      </c>
      <c r="R47" s="48">
        <f>NHH.Inputs!S47</f>
        <v>0.3537875966478386</v>
      </c>
      <c r="S47" s="38"/>
    </row>
    <row r="48" spans="1:19" s="1" customFormat="1" ht="13.15" hidden="1" outlineLevel="1" x14ac:dyDescent="0.4">
      <c r="A48" s="6"/>
      <c r="E48" s="1" t="s">
        <v>58</v>
      </c>
      <c r="F48" s="1" t="s">
        <v>85</v>
      </c>
      <c r="G48" s="2" t="s">
        <v>88</v>
      </c>
      <c r="H48" s="1" t="s">
        <v>45</v>
      </c>
      <c r="J48" s="48">
        <f>NHH.Inputs!K48</f>
        <v>3.6108741172952969</v>
      </c>
      <c r="K48" s="48">
        <f>NHH.Inputs!L48</f>
        <v>3.5300000000000002</v>
      </c>
      <c r="L48" s="48">
        <f>NHH.Inputs!M48</f>
        <v>3.4099999999999997</v>
      </c>
      <c r="M48" s="48">
        <f>NHH.Inputs!N48</f>
        <v>3.3200000000000003</v>
      </c>
      <c r="N48" s="48">
        <f>NHH.Inputs!O48</f>
        <v>3.23</v>
      </c>
      <c r="O48" s="48">
        <f>NHH.Inputs!P48</f>
        <v>3.27</v>
      </c>
      <c r="P48" s="48">
        <f>NHH.Inputs!Q48</f>
        <v>3.32</v>
      </c>
      <c r="Q48" s="48">
        <f>NHH.Inputs!R48</f>
        <v>3.25</v>
      </c>
      <c r="R48" s="48">
        <f>NHH.Inputs!S48</f>
        <v>3.3000000000000003</v>
      </c>
      <c r="S48" s="38"/>
    </row>
    <row r="49" spans="1:19" s="1" customFormat="1" ht="13.15" hidden="1" outlineLevel="1" x14ac:dyDescent="0.4">
      <c r="A49" s="6"/>
      <c r="E49" s="1" t="s">
        <v>75</v>
      </c>
      <c r="F49" s="1" t="s">
        <v>85</v>
      </c>
      <c r="G49" s="2" t="s">
        <v>88</v>
      </c>
      <c r="H49" s="1" t="s">
        <v>45</v>
      </c>
      <c r="J49" s="48">
        <f>NHH.Inputs!K49</f>
        <v>2.98</v>
      </c>
      <c r="K49" s="48">
        <f>NHH.Inputs!L49</f>
        <v>2.91</v>
      </c>
      <c r="L49" s="48">
        <f>NHH.Inputs!M49</f>
        <v>2.78</v>
      </c>
      <c r="M49" s="48">
        <f>NHH.Inputs!N49</f>
        <v>2.7</v>
      </c>
      <c r="N49" s="48">
        <f>NHH.Inputs!O49</f>
        <v>2.61</v>
      </c>
      <c r="O49" s="48">
        <f>NHH.Inputs!P49</f>
        <v>2.63</v>
      </c>
      <c r="P49" s="48">
        <f>NHH.Inputs!Q49</f>
        <v>2.61</v>
      </c>
      <c r="Q49" s="48">
        <f>NHH.Inputs!R49</f>
        <v>2.62</v>
      </c>
      <c r="R49" s="48">
        <f>NHH.Inputs!S49</f>
        <v>2.68</v>
      </c>
      <c r="S49" s="38"/>
    </row>
    <row r="50" spans="1:19" s="1" customFormat="1" ht="13.15" hidden="1" outlineLevel="1" x14ac:dyDescent="0.4">
      <c r="A50" s="6"/>
      <c r="E50" s="1" t="s">
        <v>76</v>
      </c>
      <c r="F50" s="1" t="s">
        <v>85</v>
      </c>
      <c r="G50" s="2" t="s">
        <v>88</v>
      </c>
      <c r="H50" s="1" t="s">
        <v>45</v>
      </c>
      <c r="J50" s="48">
        <f>NHH.Inputs!K50</f>
        <v>0.63087411729529674</v>
      </c>
      <c r="K50" s="48">
        <f>NHH.Inputs!L50</f>
        <v>0.62</v>
      </c>
      <c r="L50" s="48">
        <f>NHH.Inputs!M50</f>
        <v>0.63</v>
      </c>
      <c r="M50" s="48">
        <f>NHH.Inputs!N50</f>
        <v>0.62</v>
      </c>
      <c r="N50" s="48">
        <f>NHH.Inputs!O50</f>
        <v>0.62</v>
      </c>
      <c r="O50" s="48">
        <f>NHH.Inputs!P50</f>
        <v>0.64</v>
      </c>
      <c r="P50" s="48">
        <f>NHH.Inputs!Q50</f>
        <v>0.71</v>
      </c>
      <c r="Q50" s="48">
        <f>NHH.Inputs!R50</f>
        <v>0.63</v>
      </c>
      <c r="R50" s="48">
        <f>NHH.Inputs!S50</f>
        <v>0.62</v>
      </c>
      <c r="S50" s="38"/>
    </row>
    <row r="51" spans="1:19" s="1" customFormat="1" ht="13.15" hidden="1" outlineLevel="1" x14ac:dyDescent="0.4">
      <c r="A51" s="6"/>
      <c r="E51" s="1" t="s">
        <v>59</v>
      </c>
      <c r="F51" s="1" t="s">
        <v>85</v>
      </c>
      <c r="G51" s="2" t="s">
        <v>88</v>
      </c>
      <c r="H51" s="1" t="s">
        <v>45</v>
      </c>
      <c r="J51" s="48">
        <f>NHH.Inputs!K51</f>
        <v>1.49</v>
      </c>
      <c r="K51" s="48">
        <f>NHH.Inputs!L51</f>
        <v>1.1299999999999999</v>
      </c>
      <c r="L51" s="48">
        <f>NHH.Inputs!M51</f>
        <v>1.17</v>
      </c>
      <c r="M51" s="48">
        <f>NHH.Inputs!N51</f>
        <v>1.1200000000000001</v>
      </c>
      <c r="N51" s="48">
        <f>NHH.Inputs!O51</f>
        <v>0.13</v>
      </c>
      <c r="O51" s="48">
        <f>NHH.Inputs!P51</f>
        <v>0.44</v>
      </c>
      <c r="P51" s="48">
        <f>NHH.Inputs!Q51</f>
        <v>0.87</v>
      </c>
      <c r="Q51" s="48">
        <f>NHH.Inputs!R51</f>
        <v>0.79</v>
      </c>
      <c r="R51" s="48">
        <f>NHH.Inputs!S51</f>
        <v>0.61</v>
      </c>
      <c r="S51" s="38"/>
    </row>
    <row r="52" spans="1:19" s="1" customFormat="1" ht="13.15" hidden="1" outlineLevel="1" x14ac:dyDescent="0.4">
      <c r="A52" s="6"/>
      <c r="E52" s="1" t="s">
        <v>60</v>
      </c>
      <c r="F52" s="1" t="s">
        <v>85</v>
      </c>
      <c r="G52" s="2" t="s">
        <v>88</v>
      </c>
      <c r="H52" s="1" t="s">
        <v>45</v>
      </c>
      <c r="J52" s="48">
        <f>NHH.Inputs!K52</f>
        <v>6.08</v>
      </c>
      <c r="K52" s="48">
        <f>NHH.Inputs!L52</f>
        <v>5.3907035882991341</v>
      </c>
      <c r="L52" s="48">
        <f>NHH.Inputs!M52</f>
        <v>4.96</v>
      </c>
      <c r="M52" s="48">
        <f>NHH.Inputs!N52</f>
        <v>4.3499999999999996</v>
      </c>
      <c r="N52" s="48">
        <f>NHH.Inputs!O52</f>
        <v>3.05</v>
      </c>
      <c r="O52" s="48">
        <f>NHH.Inputs!P52</f>
        <v>2.89</v>
      </c>
      <c r="P52" s="48">
        <f>NHH.Inputs!Q52</f>
        <v>2.8732974744426691</v>
      </c>
      <c r="Q52" s="48">
        <f>NHH.Inputs!R52</f>
        <v>3.1401592016279363</v>
      </c>
      <c r="R52" s="48">
        <f>NHH.Inputs!S52</f>
        <v>2.4071937021356997</v>
      </c>
      <c r="S52" s="38"/>
    </row>
    <row r="53" spans="1:19" s="1" customFormat="1" ht="13.15" hidden="1" outlineLevel="1" x14ac:dyDescent="0.4">
      <c r="A53" s="6"/>
      <c r="E53" s="1" t="s">
        <v>61</v>
      </c>
      <c r="F53" s="1" t="s">
        <v>85</v>
      </c>
      <c r="G53" s="2" t="s">
        <v>88</v>
      </c>
      <c r="H53" s="1" t="s">
        <v>45</v>
      </c>
      <c r="J53" s="48">
        <f>NHH.Inputs!K53</f>
        <v>0.5803788902135949</v>
      </c>
      <c r="K53" s="48">
        <f>NHH.Inputs!L53</f>
        <v>0.63</v>
      </c>
      <c r="L53" s="48">
        <f>NHH.Inputs!M53</f>
        <v>0.61</v>
      </c>
      <c r="M53" s="48">
        <f>NHH.Inputs!N53</f>
        <v>0.71</v>
      </c>
      <c r="N53" s="48">
        <f>NHH.Inputs!O53</f>
        <v>0.71</v>
      </c>
      <c r="O53" s="48">
        <f>NHH.Inputs!P53</f>
        <v>1.55</v>
      </c>
      <c r="P53" s="48">
        <f>NHH.Inputs!Q53</f>
        <v>1.42</v>
      </c>
      <c r="Q53" s="48">
        <f>NHH.Inputs!R53</f>
        <v>1.84</v>
      </c>
      <c r="R53" s="48">
        <f>NHH.Inputs!S53</f>
        <v>1.59</v>
      </c>
      <c r="S53" s="38"/>
    </row>
    <row r="54" spans="1:19" s="1" customFormat="1" ht="13.15" collapsed="1" x14ac:dyDescent="0.35">
      <c r="A54" s="6"/>
      <c r="J54" s="38"/>
      <c r="K54" s="38"/>
      <c r="L54" s="38"/>
      <c r="M54" s="38"/>
      <c r="N54" s="38"/>
      <c r="O54" s="38"/>
      <c r="P54" s="38"/>
      <c r="Q54" s="38"/>
      <c r="R54" s="38"/>
      <c r="S54" s="38"/>
    </row>
    <row r="55" spans="1:19" s="90" customFormat="1" ht="13.15" x14ac:dyDescent="0.35">
      <c r="A55" s="90" t="s">
        <v>94</v>
      </c>
      <c r="J55" s="91"/>
      <c r="K55" s="91"/>
      <c r="L55" s="91"/>
      <c r="M55" s="91"/>
      <c r="N55" s="91"/>
      <c r="O55" s="91"/>
      <c r="P55" s="91"/>
      <c r="Q55" s="91"/>
      <c r="R55" s="91"/>
      <c r="S55" s="91"/>
    </row>
    <row r="56" spans="1:19" s="1" customFormat="1" ht="13.15" x14ac:dyDescent="0.35">
      <c r="A56" s="6"/>
      <c r="J56" s="38"/>
      <c r="K56" s="38"/>
      <c r="L56" s="38"/>
      <c r="M56" s="38"/>
      <c r="N56" s="38"/>
      <c r="O56" s="38"/>
      <c r="P56" s="38"/>
      <c r="Q56" s="38"/>
      <c r="R56" s="38"/>
      <c r="S56" s="38"/>
    </row>
    <row r="57" spans="1:19" s="1" customFormat="1" ht="13.15" x14ac:dyDescent="0.35">
      <c r="A57" s="6"/>
      <c r="E57" s="1" t="s">
        <v>36</v>
      </c>
      <c r="F57" s="1" t="s">
        <v>85</v>
      </c>
      <c r="G57" s="1" t="s">
        <v>94</v>
      </c>
      <c r="H57" s="1" t="s">
        <v>45</v>
      </c>
      <c r="I57" s="8"/>
      <c r="J57" s="50">
        <f>J9+J33</f>
        <v>258.1974344813525</v>
      </c>
      <c r="K57" s="50">
        <f t="shared" ref="K57:R57" si="0">K9+K33</f>
        <v>270.60778390237454</v>
      </c>
      <c r="L57" s="50">
        <f t="shared" si="0"/>
        <v>273.35790369788339</v>
      </c>
      <c r="M57" s="50">
        <f t="shared" si="0"/>
        <v>270.57611094877649</v>
      </c>
      <c r="N57" s="50">
        <f t="shared" si="0"/>
        <v>267.72599217408458</v>
      </c>
      <c r="O57" s="50">
        <f t="shared" si="0"/>
        <v>267.89923748291852</v>
      </c>
      <c r="P57" s="50">
        <f t="shared" si="0"/>
        <v>274.69791981334117</v>
      </c>
      <c r="Q57" s="50">
        <f t="shared" si="0"/>
        <v>291.13701242818769</v>
      </c>
      <c r="R57" s="50">
        <f t="shared" si="0"/>
        <v>284.7197502641348</v>
      </c>
      <c r="S57" s="38"/>
    </row>
    <row r="58" spans="1:19" s="1" customFormat="1" ht="13.15" hidden="1" outlineLevel="1" x14ac:dyDescent="0.35">
      <c r="A58" s="6"/>
      <c r="E58" s="1" t="s">
        <v>46</v>
      </c>
      <c r="F58" s="1" t="s">
        <v>85</v>
      </c>
      <c r="G58" s="1" t="s">
        <v>94</v>
      </c>
      <c r="H58" s="1" t="s">
        <v>45</v>
      </c>
      <c r="I58" s="8"/>
      <c r="J58" s="50">
        <f t="shared" ref="J58:R58" si="1">J10+J34</f>
        <v>185.69769579936008</v>
      </c>
      <c r="K58" s="50">
        <f t="shared" si="1"/>
        <v>171.66002676473474</v>
      </c>
      <c r="L58" s="50">
        <f t="shared" si="1"/>
        <v>174.89466877639612</v>
      </c>
      <c r="M58" s="50">
        <f t="shared" si="1"/>
        <v>180.03311250724386</v>
      </c>
      <c r="N58" s="50">
        <f t="shared" si="1"/>
        <v>173.37304589156463</v>
      </c>
      <c r="O58" s="50">
        <f t="shared" si="1"/>
        <v>178.60430161666966</v>
      </c>
      <c r="P58" s="50">
        <f t="shared" si="1"/>
        <v>174.16962021582424</v>
      </c>
      <c r="Q58" s="50">
        <f t="shared" si="1"/>
        <v>183.57221794368255</v>
      </c>
      <c r="R58" s="50">
        <f t="shared" si="1"/>
        <v>178.24222165561233</v>
      </c>
      <c r="S58" s="38"/>
    </row>
    <row r="59" spans="1:19" s="1" customFormat="1" ht="13.15" hidden="1" outlineLevel="1" x14ac:dyDescent="0.35">
      <c r="A59" s="6"/>
      <c r="E59" s="1" t="s">
        <v>47</v>
      </c>
      <c r="F59" s="1" t="s">
        <v>85</v>
      </c>
      <c r="G59" s="1" t="s">
        <v>94</v>
      </c>
      <c r="H59" s="1" t="s">
        <v>45</v>
      </c>
      <c r="I59" s="8"/>
      <c r="J59" s="50">
        <f t="shared" ref="J59:R59" si="2">J11+J35</f>
        <v>19.075191474533586</v>
      </c>
      <c r="K59" s="50">
        <f t="shared" si="2"/>
        <v>17.983523164828412</v>
      </c>
      <c r="L59" s="50">
        <f t="shared" si="2"/>
        <v>17.784019070214406</v>
      </c>
      <c r="M59" s="50">
        <f t="shared" si="2"/>
        <v>18.834544445726937</v>
      </c>
      <c r="N59" s="50">
        <f t="shared" si="2"/>
        <v>17.378867730026041</v>
      </c>
      <c r="O59" s="50">
        <f t="shared" si="2"/>
        <v>19.131293308043286</v>
      </c>
      <c r="P59" s="50">
        <f t="shared" si="2"/>
        <v>19.356552058093971</v>
      </c>
      <c r="Q59" s="50">
        <f t="shared" si="2"/>
        <v>15.981617302469717</v>
      </c>
      <c r="R59" s="50">
        <f t="shared" si="2"/>
        <v>15.708924216580318</v>
      </c>
      <c r="S59" s="38"/>
    </row>
    <row r="60" spans="1:19" s="1" customFormat="1" ht="13.15" hidden="1" outlineLevel="1" x14ac:dyDescent="0.35">
      <c r="A60" s="6"/>
      <c r="E60" s="1" t="s">
        <v>48</v>
      </c>
      <c r="F60" s="1" t="s">
        <v>85</v>
      </c>
      <c r="G60" s="1" t="s">
        <v>94</v>
      </c>
      <c r="H60" s="1" t="s">
        <v>45</v>
      </c>
      <c r="I60" s="8"/>
      <c r="J60" s="50">
        <f t="shared" ref="J60:R60" si="3">J12+J36</f>
        <v>254.75</v>
      </c>
      <c r="K60" s="50">
        <f t="shared" si="3"/>
        <v>238.68</v>
      </c>
      <c r="L60" s="50">
        <f t="shared" si="3"/>
        <v>233.38000000000002</v>
      </c>
      <c r="M60" s="50">
        <f t="shared" si="3"/>
        <v>230.92</v>
      </c>
      <c r="N60" s="50">
        <f t="shared" si="3"/>
        <v>222.65</v>
      </c>
      <c r="O60" s="50">
        <f t="shared" si="3"/>
        <v>232.97000000000003</v>
      </c>
      <c r="P60" s="50">
        <f t="shared" si="3"/>
        <v>220.70999999999998</v>
      </c>
      <c r="Q60" s="50">
        <f t="shared" si="3"/>
        <v>218</v>
      </c>
      <c r="R60" s="50">
        <f t="shared" si="3"/>
        <v>215.07999999999998</v>
      </c>
      <c r="S60" s="38"/>
    </row>
    <row r="61" spans="1:19" s="1" customFormat="1" ht="13.15" hidden="1" outlineLevel="1" x14ac:dyDescent="0.35">
      <c r="A61" s="6"/>
      <c r="E61" s="9" t="s">
        <v>70</v>
      </c>
      <c r="F61" s="1" t="s">
        <v>85</v>
      </c>
      <c r="G61" s="1" t="s">
        <v>94</v>
      </c>
      <c r="H61" s="1" t="s">
        <v>45</v>
      </c>
      <c r="I61" s="8"/>
      <c r="J61" s="50">
        <f t="shared" ref="J61:R61" si="4">J13+J37</f>
        <v>162.23999999999998</v>
      </c>
      <c r="K61" s="50">
        <f t="shared" si="4"/>
        <v>156.97</v>
      </c>
      <c r="L61" s="50">
        <f t="shared" si="4"/>
        <v>154.55000000000001</v>
      </c>
      <c r="M61" s="50">
        <f t="shared" si="4"/>
        <v>153.41</v>
      </c>
      <c r="N61" s="50">
        <f t="shared" si="4"/>
        <v>146.63000000000002</v>
      </c>
      <c r="O61" s="50">
        <f t="shared" si="4"/>
        <v>151.42000000000002</v>
      </c>
      <c r="P61" s="50">
        <f t="shared" si="4"/>
        <v>144.38999999999999</v>
      </c>
      <c r="Q61" s="50">
        <f t="shared" si="4"/>
        <v>143.75</v>
      </c>
      <c r="R61" s="50">
        <f t="shared" si="4"/>
        <v>141.47</v>
      </c>
      <c r="S61" s="38"/>
    </row>
    <row r="62" spans="1:19" s="1" customFormat="1" ht="13.15" hidden="1" outlineLevel="1" x14ac:dyDescent="0.35">
      <c r="A62" s="6"/>
      <c r="E62" s="9" t="s">
        <v>72</v>
      </c>
      <c r="F62" s="1" t="s">
        <v>85</v>
      </c>
      <c r="G62" s="1" t="s">
        <v>94</v>
      </c>
      <c r="H62" s="1" t="s">
        <v>45</v>
      </c>
      <c r="I62" s="8"/>
      <c r="J62" s="50">
        <f t="shared" ref="J62:R62" si="5">J14+J38</f>
        <v>92.51</v>
      </c>
      <c r="K62" s="50">
        <f t="shared" si="5"/>
        <v>81.710000000000008</v>
      </c>
      <c r="L62" s="50">
        <f t="shared" si="5"/>
        <v>78.84</v>
      </c>
      <c r="M62" s="50">
        <f t="shared" si="5"/>
        <v>77.510000000000005</v>
      </c>
      <c r="N62" s="50">
        <f t="shared" si="5"/>
        <v>76.010000000000005</v>
      </c>
      <c r="O62" s="50">
        <f t="shared" si="5"/>
        <v>81.55</v>
      </c>
      <c r="P62" s="50">
        <f t="shared" si="5"/>
        <v>76.319999999999993</v>
      </c>
      <c r="Q62" s="50">
        <f t="shared" si="5"/>
        <v>74.23</v>
      </c>
      <c r="R62" s="50">
        <f t="shared" si="5"/>
        <v>73.61</v>
      </c>
      <c r="S62" s="38"/>
    </row>
    <row r="63" spans="1:19" s="1" customFormat="1" ht="13.15" hidden="1" outlineLevel="1" x14ac:dyDescent="0.35">
      <c r="A63" s="6"/>
      <c r="E63" s="1" t="s">
        <v>49</v>
      </c>
      <c r="F63" s="1" t="s">
        <v>85</v>
      </c>
      <c r="G63" s="1" t="s">
        <v>94</v>
      </c>
      <c r="H63" s="1" t="s">
        <v>45</v>
      </c>
      <c r="I63" s="8"/>
      <c r="J63" s="50">
        <f t="shared" ref="J63:R63" si="6">J15+J39</f>
        <v>376.91493769303167</v>
      </c>
      <c r="K63" s="50">
        <f t="shared" si="6"/>
        <v>356.77946081443753</v>
      </c>
      <c r="L63" s="50">
        <f t="shared" si="6"/>
        <v>360.78706549181783</v>
      </c>
      <c r="M63" s="50">
        <f>M15+M39</f>
        <v>367.71614547701472</v>
      </c>
      <c r="N63" s="50">
        <f t="shared" si="6"/>
        <v>378.35984127622908</v>
      </c>
      <c r="O63" s="50">
        <f t="shared" si="6"/>
        <v>363.6402278995804</v>
      </c>
      <c r="P63" s="50">
        <f t="shared" si="6"/>
        <v>360.18176913370377</v>
      </c>
      <c r="Q63" s="50">
        <f t="shared" si="6"/>
        <v>374.208519263011</v>
      </c>
      <c r="R63" s="50">
        <f t="shared" si="6"/>
        <v>370.09193548546284</v>
      </c>
      <c r="S63" s="38"/>
    </row>
    <row r="64" spans="1:19" s="1" customFormat="1" ht="13.15" hidden="1" outlineLevel="1" x14ac:dyDescent="0.35">
      <c r="A64" s="6"/>
      <c r="E64" s="1" t="s">
        <v>50</v>
      </c>
      <c r="F64" s="1" t="s">
        <v>85</v>
      </c>
      <c r="G64" s="1" t="s">
        <v>94</v>
      </c>
      <c r="H64" s="1" t="s">
        <v>45</v>
      </c>
      <c r="I64" s="8"/>
      <c r="J64" s="50">
        <f t="shared" ref="J64:R64" si="7">J16+J40</f>
        <v>161.04415966615051</v>
      </c>
      <c r="K64" s="50">
        <f t="shared" si="7"/>
        <v>155.66815989244211</v>
      </c>
      <c r="L64" s="50">
        <f t="shared" si="7"/>
        <v>156.46129636987027</v>
      </c>
      <c r="M64" s="50">
        <f t="shared" si="7"/>
        <v>157.68158250943949</v>
      </c>
      <c r="N64" s="50">
        <f t="shared" si="7"/>
        <v>150.26015655850478</v>
      </c>
      <c r="O64" s="50">
        <f t="shared" si="7"/>
        <v>146.41925245324359</v>
      </c>
      <c r="P64" s="50">
        <f t="shared" si="7"/>
        <v>145.7843600513869</v>
      </c>
      <c r="Q64" s="50">
        <f t="shared" si="7"/>
        <v>152.29223762102092</v>
      </c>
      <c r="R64" s="50">
        <f t="shared" si="7"/>
        <v>140.42441467319625</v>
      </c>
      <c r="S64" s="38"/>
    </row>
    <row r="65" spans="1:19" s="1" customFormat="1" ht="13.15" hidden="1" outlineLevel="1" x14ac:dyDescent="0.35">
      <c r="A65" s="6"/>
      <c r="E65" s="1" t="s">
        <v>51</v>
      </c>
      <c r="F65" s="1" t="s">
        <v>85</v>
      </c>
      <c r="G65" s="1" t="s">
        <v>94</v>
      </c>
      <c r="H65" s="1" t="s">
        <v>45</v>
      </c>
      <c r="I65" s="8"/>
      <c r="J65" s="50">
        <f t="shared" ref="J65:R65" si="8">J17+J41</f>
        <v>93.633978886899584</v>
      </c>
      <c r="K65" s="50">
        <f t="shared" si="8"/>
        <v>103.5795032409705</v>
      </c>
      <c r="L65" s="50">
        <f t="shared" si="8"/>
        <v>103.08782555248065</v>
      </c>
      <c r="M65" s="50">
        <f t="shared" si="8"/>
        <v>106.16535948911276</v>
      </c>
      <c r="N65" s="50">
        <f t="shared" si="8"/>
        <v>110.29</v>
      </c>
      <c r="O65" s="50">
        <f t="shared" si="8"/>
        <v>109.24156718031679</v>
      </c>
      <c r="P65" s="50">
        <f t="shared" si="8"/>
        <v>118.24863873634051</v>
      </c>
      <c r="Q65" s="50">
        <f t="shared" si="8"/>
        <v>120.15615325917094</v>
      </c>
      <c r="R65" s="50">
        <f t="shared" si="8"/>
        <v>112.45955578795743</v>
      </c>
      <c r="S65" s="38"/>
    </row>
    <row r="66" spans="1:19" s="1" customFormat="1" ht="13.15" hidden="1" outlineLevel="1" x14ac:dyDescent="0.35">
      <c r="A66" s="6"/>
      <c r="E66" s="1" t="s">
        <v>52</v>
      </c>
      <c r="F66" s="1" t="s">
        <v>85</v>
      </c>
      <c r="G66" s="1" t="s">
        <v>94</v>
      </c>
      <c r="H66" s="1" t="s">
        <v>45</v>
      </c>
      <c r="I66" s="8"/>
      <c r="J66" s="50">
        <f t="shared" ref="J66:R66" si="9">J18+J42</f>
        <v>501.51</v>
      </c>
      <c r="K66" s="50">
        <f t="shared" si="9"/>
        <v>490.19</v>
      </c>
      <c r="L66" s="50">
        <f t="shared" si="9"/>
        <v>501.39000000000004</v>
      </c>
      <c r="M66" s="50">
        <f t="shared" si="9"/>
        <v>507.95</v>
      </c>
      <c r="N66" s="50">
        <f t="shared" si="9"/>
        <v>499.62</v>
      </c>
      <c r="O66" s="50">
        <f t="shared" si="9"/>
        <v>478.75</v>
      </c>
      <c r="P66" s="50">
        <f t="shared" si="9"/>
        <v>491.65000000000003</v>
      </c>
      <c r="Q66" s="50">
        <f t="shared" si="9"/>
        <v>478.89</v>
      </c>
      <c r="R66" s="50">
        <f t="shared" si="9"/>
        <v>460.52466394053789</v>
      </c>
      <c r="S66" s="38"/>
    </row>
    <row r="67" spans="1:19" s="1" customFormat="1" ht="13.15" hidden="1" outlineLevel="1" x14ac:dyDescent="0.35">
      <c r="A67" s="6"/>
      <c r="E67" s="1" t="s">
        <v>74</v>
      </c>
      <c r="F67" s="1" t="s">
        <v>85</v>
      </c>
      <c r="G67" s="1" t="s">
        <v>94</v>
      </c>
      <c r="H67" s="1" t="s">
        <v>45</v>
      </c>
      <c r="I67" s="8"/>
      <c r="J67" s="50">
        <f t="shared" ref="J67:R67" si="10">J19+J43</f>
        <v>377.82262007897879</v>
      </c>
      <c r="K67" s="50">
        <f t="shared" si="10"/>
        <v>372.77433425558797</v>
      </c>
      <c r="L67" s="50">
        <f t="shared" si="10"/>
        <v>361.38176874293879</v>
      </c>
      <c r="M67" s="50">
        <f t="shared" si="10"/>
        <v>362.4764983558228</v>
      </c>
      <c r="N67" s="50">
        <f t="shared" si="10"/>
        <v>370.08320904707773</v>
      </c>
      <c r="O67" s="50">
        <f t="shared" si="10"/>
        <v>368.64508992507143</v>
      </c>
      <c r="P67" s="50">
        <f t="shared" si="10"/>
        <v>365.83005786050353</v>
      </c>
      <c r="Q67" s="50">
        <f t="shared" si="10"/>
        <v>376.81647085759266</v>
      </c>
      <c r="R67" s="50">
        <f t="shared" si="10"/>
        <v>377.34132989428963</v>
      </c>
      <c r="S67" s="38"/>
    </row>
    <row r="68" spans="1:19" s="1" customFormat="1" ht="13.15" hidden="1" outlineLevel="1" x14ac:dyDescent="0.35">
      <c r="A68" s="6"/>
      <c r="E68" s="1" t="s">
        <v>54</v>
      </c>
      <c r="F68" s="1" t="s">
        <v>85</v>
      </c>
      <c r="G68" s="1" t="s">
        <v>94</v>
      </c>
      <c r="H68" s="1" t="s">
        <v>45</v>
      </c>
      <c r="I68" s="8"/>
      <c r="J68" s="50">
        <f t="shared" ref="J68:R68" si="11">J20+J44</f>
        <v>101.67</v>
      </c>
      <c r="K68" s="50">
        <f t="shared" si="11"/>
        <v>96.67</v>
      </c>
      <c r="L68" s="50">
        <f t="shared" si="11"/>
        <v>99.31</v>
      </c>
      <c r="M68" s="50">
        <f t="shared" si="11"/>
        <v>99</v>
      </c>
      <c r="N68" s="50">
        <f t="shared" si="11"/>
        <v>98.5</v>
      </c>
      <c r="O68" s="50">
        <f t="shared" si="11"/>
        <v>97.58</v>
      </c>
      <c r="P68" s="50">
        <f t="shared" si="11"/>
        <v>98.21</v>
      </c>
      <c r="Q68" s="50">
        <f t="shared" si="11"/>
        <v>100.39</v>
      </c>
      <c r="R68" s="50">
        <f t="shared" si="11"/>
        <v>95.210000000000008</v>
      </c>
      <c r="S68" s="38"/>
    </row>
    <row r="69" spans="1:19" s="1" customFormat="1" ht="13.15" hidden="1" outlineLevel="1" x14ac:dyDescent="0.35">
      <c r="A69" s="6"/>
      <c r="E69" s="1" t="s">
        <v>55</v>
      </c>
      <c r="F69" s="1" t="s">
        <v>85</v>
      </c>
      <c r="G69" s="1" t="s">
        <v>94</v>
      </c>
      <c r="H69" s="1" t="s">
        <v>45</v>
      </c>
      <c r="I69" s="8"/>
      <c r="J69" s="50">
        <f t="shared" ref="J69:R69" si="12">J21+J45</f>
        <v>272.57</v>
      </c>
      <c r="K69" s="50">
        <f t="shared" si="12"/>
        <v>259.02</v>
      </c>
      <c r="L69" s="50">
        <f>L21+L45</f>
        <v>264.52999999999997</v>
      </c>
      <c r="M69" s="50">
        <f t="shared" si="12"/>
        <v>266.83</v>
      </c>
      <c r="N69" s="50">
        <f t="shared" si="12"/>
        <v>269.13000000000005</v>
      </c>
      <c r="O69" s="50">
        <f t="shared" si="12"/>
        <v>267.7</v>
      </c>
      <c r="P69" s="50">
        <f t="shared" si="12"/>
        <v>275.27</v>
      </c>
      <c r="Q69" s="50">
        <f t="shared" si="12"/>
        <v>291.31</v>
      </c>
      <c r="R69" s="50">
        <f t="shared" si="12"/>
        <v>276.58000000000004</v>
      </c>
      <c r="S69" s="38"/>
    </row>
    <row r="70" spans="1:19" s="1" customFormat="1" ht="13.15" hidden="1" outlineLevel="1" x14ac:dyDescent="0.35">
      <c r="A70" s="6"/>
      <c r="E70" s="1" t="s">
        <v>56</v>
      </c>
      <c r="F70" s="1" t="s">
        <v>85</v>
      </c>
      <c r="G70" s="1" t="s">
        <v>94</v>
      </c>
      <c r="H70" s="1" t="s">
        <v>45</v>
      </c>
      <c r="I70" s="8"/>
      <c r="J70" s="50">
        <f t="shared" ref="J70:R70" si="13">J22+J46</f>
        <v>178.23372004966939</v>
      </c>
      <c r="K70" s="50">
        <f t="shared" si="13"/>
        <v>169.47621841892661</v>
      </c>
      <c r="L70" s="50">
        <f>L22+L46</f>
        <v>172.6692530203174</v>
      </c>
      <c r="M70" s="50">
        <f t="shared" si="13"/>
        <v>171.85012339446195</v>
      </c>
      <c r="N70" s="50">
        <f t="shared" si="13"/>
        <v>168.8842473990866</v>
      </c>
      <c r="O70" s="50">
        <f t="shared" si="13"/>
        <v>172.38665134501173</v>
      </c>
      <c r="P70" s="50">
        <f t="shared" si="13"/>
        <v>178.9360201177908</v>
      </c>
      <c r="Q70" s="50">
        <f t="shared" si="13"/>
        <v>182.47926990837064</v>
      </c>
      <c r="R70" s="50">
        <f t="shared" si="13"/>
        <v>176.8673544129621</v>
      </c>
      <c r="S70" s="38"/>
    </row>
    <row r="71" spans="1:19" s="1" customFormat="1" ht="13.15" hidden="1" outlineLevel="1" x14ac:dyDescent="0.35">
      <c r="A71" s="6"/>
      <c r="E71" s="1" t="s">
        <v>57</v>
      </c>
      <c r="F71" s="1" t="s">
        <v>85</v>
      </c>
      <c r="G71" s="1" t="s">
        <v>94</v>
      </c>
      <c r="H71" s="1" t="s">
        <v>45</v>
      </c>
      <c r="I71" s="8"/>
      <c r="J71" s="50">
        <f t="shared" ref="J71:R71" si="14">J23+J47</f>
        <v>60.396335779999994</v>
      </c>
      <c r="K71" s="50">
        <f t="shared" si="14"/>
        <v>57.873645680000003</v>
      </c>
      <c r="L71" s="50">
        <f t="shared" si="14"/>
        <v>58.781794779999998</v>
      </c>
      <c r="M71" s="50">
        <f t="shared" si="14"/>
        <v>59.359681765833336</v>
      </c>
      <c r="N71" s="50">
        <f t="shared" si="14"/>
        <v>59.885425562500004</v>
      </c>
      <c r="O71" s="50">
        <f t="shared" si="14"/>
        <v>59.812389290000006</v>
      </c>
      <c r="P71" s="50">
        <f t="shared" si="14"/>
        <v>59.65</v>
      </c>
      <c r="Q71" s="50">
        <f t="shared" si="14"/>
        <v>60.475043627767619</v>
      </c>
      <c r="R71" s="50">
        <f t="shared" si="14"/>
        <v>58.614278245095683</v>
      </c>
      <c r="S71" s="38"/>
    </row>
    <row r="72" spans="1:19" s="1" customFormat="1" ht="13.15" hidden="1" outlineLevel="1" x14ac:dyDescent="0.35">
      <c r="A72" s="6"/>
      <c r="E72" s="1" t="s">
        <v>58</v>
      </c>
      <c r="F72" s="1" t="s">
        <v>85</v>
      </c>
      <c r="G72" s="1" t="s">
        <v>94</v>
      </c>
      <c r="H72" s="1" t="s">
        <v>45</v>
      </c>
      <c r="I72" s="8"/>
      <c r="J72" s="50">
        <f t="shared" ref="J72:R72" si="15">J24+J48</f>
        <v>73.538551447641368</v>
      </c>
      <c r="K72" s="50">
        <f t="shared" si="15"/>
        <v>73.8</v>
      </c>
      <c r="L72" s="50">
        <f t="shared" si="15"/>
        <v>73.259999999999991</v>
      </c>
      <c r="M72" s="50">
        <f t="shared" si="15"/>
        <v>72.72</v>
      </c>
      <c r="N72" s="50">
        <f t="shared" si="15"/>
        <v>74.38000000000001</v>
      </c>
      <c r="O72" s="50">
        <f t="shared" si="15"/>
        <v>75.95</v>
      </c>
      <c r="P72" s="50">
        <f t="shared" si="15"/>
        <v>77.759999999999991</v>
      </c>
      <c r="Q72" s="50">
        <f t="shared" si="15"/>
        <v>80.38</v>
      </c>
      <c r="R72" s="50">
        <f t="shared" si="15"/>
        <v>87.179999999999993</v>
      </c>
      <c r="S72" s="38"/>
    </row>
    <row r="73" spans="1:19" s="1" customFormat="1" ht="13.15" hidden="1" outlineLevel="1" x14ac:dyDescent="0.35">
      <c r="A73" s="6"/>
      <c r="E73" s="1" t="s">
        <v>75</v>
      </c>
      <c r="F73" s="1" t="s">
        <v>85</v>
      </c>
      <c r="G73" s="1" t="s">
        <v>94</v>
      </c>
      <c r="H73" s="1" t="s">
        <v>45</v>
      </c>
      <c r="I73" s="8"/>
      <c r="J73" s="50">
        <f t="shared" ref="J73:R73" si="16">J25+J49</f>
        <v>52.68</v>
      </c>
      <c r="K73" s="50">
        <f t="shared" si="16"/>
        <v>52.95</v>
      </c>
      <c r="L73" s="50">
        <f t="shared" si="16"/>
        <v>52.800000000000004</v>
      </c>
      <c r="M73" s="50">
        <f t="shared" si="16"/>
        <v>52.21</v>
      </c>
      <c r="N73" s="50">
        <f t="shared" si="16"/>
        <v>53.25</v>
      </c>
      <c r="O73" s="50">
        <f t="shared" si="16"/>
        <v>54.88</v>
      </c>
      <c r="P73" s="50">
        <f t="shared" si="16"/>
        <v>55.97</v>
      </c>
      <c r="Q73" s="50">
        <f t="shared" si="16"/>
        <v>57.41</v>
      </c>
      <c r="R73" s="50">
        <f t="shared" si="16"/>
        <v>60.98</v>
      </c>
      <c r="S73" s="38"/>
    </row>
    <row r="74" spans="1:19" s="1" customFormat="1" ht="13.15" hidden="1" outlineLevel="1" x14ac:dyDescent="0.35">
      <c r="A74" s="6"/>
      <c r="E74" s="1" t="s">
        <v>76</v>
      </c>
      <c r="F74" s="1" t="s">
        <v>85</v>
      </c>
      <c r="G74" s="1" t="s">
        <v>94</v>
      </c>
      <c r="H74" s="1" t="s">
        <v>45</v>
      </c>
      <c r="I74" s="8"/>
      <c r="J74" s="50">
        <f t="shared" ref="J74:R74" si="17">J26+J50</f>
        <v>20.858551447641364</v>
      </c>
      <c r="K74" s="50">
        <f t="shared" si="17"/>
        <v>20.85</v>
      </c>
      <c r="L74" s="50">
        <f t="shared" si="17"/>
        <v>20.459999999999997</v>
      </c>
      <c r="M74" s="50">
        <f t="shared" si="17"/>
        <v>20.51</v>
      </c>
      <c r="N74" s="50">
        <f t="shared" si="17"/>
        <v>21.130000000000003</v>
      </c>
      <c r="O74" s="50">
        <f t="shared" si="17"/>
        <v>21.07</v>
      </c>
      <c r="P74" s="50">
        <f t="shared" si="17"/>
        <v>21.79</v>
      </c>
      <c r="Q74" s="50">
        <f t="shared" si="17"/>
        <v>22.97</v>
      </c>
      <c r="R74" s="50">
        <f t="shared" si="17"/>
        <v>26.2</v>
      </c>
      <c r="S74" s="38"/>
    </row>
    <row r="75" spans="1:19" s="1" customFormat="1" ht="13.15" hidden="1" outlineLevel="1" x14ac:dyDescent="0.35">
      <c r="A75" s="6"/>
      <c r="E75" s="1" t="s">
        <v>59</v>
      </c>
      <c r="F75" s="1" t="s">
        <v>85</v>
      </c>
      <c r="G75" s="1" t="s">
        <v>94</v>
      </c>
      <c r="H75" s="1" t="s">
        <v>45</v>
      </c>
      <c r="I75" s="8"/>
      <c r="J75" s="50">
        <f t="shared" ref="J75:R75" si="18">J27+J51</f>
        <v>40.65</v>
      </c>
      <c r="K75" s="50">
        <f t="shared" si="18"/>
        <v>35.700000000000003</v>
      </c>
      <c r="L75" s="50">
        <f t="shared" si="18"/>
        <v>36.440000000000005</v>
      </c>
      <c r="M75" s="50">
        <f t="shared" si="18"/>
        <v>35.9</v>
      </c>
      <c r="N75" s="50">
        <f t="shared" si="18"/>
        <v>35.42</v>
      </c>
      <c r="O75" s="50">
        <f t="shared" si="18"/>
        <v>34.44</v>
      </c>
      <c r="P75" s="50">
        <f t="shared" si="18"/>
        <v>33.69</v>
      </c>
      <c r="Q75" s="50">
        <f t="shared" si="18"/>
        <v>34.589999999999996</v>
      </c>
      <c r="R75" s="50">
        <f t="shared" si="18"/>
        <v>32.65</v>
      </c>
      <c r="S75" s="38"/>
    </row>
    <row r="76" spans="1:19" s="1" customFormat="1" ht="13.15" hidden="1" outlineLevel="1" x14ac:dyDescent="0.35">
      <c r="A76" s="6"/>
      <c r="E76" s="1" t="s">
        <v>60</v>
      </c>
      <c r="F76" s="1" t="s">
        <v>85</v>
      </c>
      <c r="G76" s="1" t="s">
        <v>94</v>
      </c>
      <c r="H76" s="1" t="s">
        <v>45</v>
      </c>
      <c r="I76" s="8"/>
      <c r="J76" s="50">
        <f t="shared" ref="J76:R76" si="19">J28+J52</f>
        <v>109.98</v>
      </c>
      <c r="K76" s="50">
        <f t="shared" si="19"/>
        <v>100.39576038125161</v>
      </c>
      <c r="L76" s="50">
        <f t="shared" si="19"/>
        <v>103.88</v>
      </c>
      <c r="M76" s="50">
        <f t="shared" si="19"/>
        <v>103.55999999999999</v>
      </c>
      <c r="N76" s="50">
        <f t="shared" si="19"/>
        <v>100.57</v>
      </c>
      <c r="O76" s="50">
        <f t="shared" si="19"/>
        <v>96.95</v>
      </c>
      <c r="P76" s="50">
        <f t="shared" si="19"/>
        <v>93.757805031004295</v>
      </c>
      <c r="Q76" s="50">
        <f t="shared" si="19"/>
        <v>97.527528158666101</v>
      </c>
      <c r="R76" s="50">
        <f t="shared" si="19"/>
        <v>93.893465998983189</v>
      </c>
      <c r="S76" s="38"/>
    </row>
    <row r="77" spans="1:19" s="1" customFormat="1" ht="13.15" hidden="1" outlineLevel="1" x14ac:dyDescent="0.35">
      <c r="A77" s="6"/>
      <c r="E77" s="1" t="s">
        <v>61</v>
      </c>
      <c r="F77" s="1" t="s">
        <v>85</v>
      </c>
      <c r="G77" s="1" t="s">
        <v>94</v>
      </c>
      <c r="H77" s="1" t="s">
        <v>45</v>
      </c>
      <c r="I77" s="8"/>
      <c r="J77" s="50">
        <f t="shared" ref="J77:R77" si="20">J29+J53</f>
        <v>25.092988125186274</v>
      </c>
      <c r="K77" s="50">
        <f t="shared" si="20"/>
        <v>24.43</v>
      </c>
      <c r="L77" s="50">
        <f t="shared" si="20"/>
        <v>24.45</v>
      </c>
      <c r="M77" s="50">
        <f t="shared" si="20"/>
        <v>25.19</v>
      </c>
      <c r="N77" s="50">
        <f t="shared" si="20"/>
        <v>25.95</v>
      </c>
      <c r="O77" s="50">
        <f t="shared" si="20"/>
        <v>27.32</v>
      </c>
      <c r="P77" s="50">
        <f t="shared" si="20"/>
        <v>24.68</v>
      </c>
      <c r="Q77" s="50">
        <f t="shared" si="20"/>
        <v>24.61</v>
      </c>
      <c r="R77" s="50">
        <f t="shared" si="20"/>
        <v>24.85</v>
      </c>
      <c r="S77" s="38"/>
    </row>
    <row r="78" spans="1:19" s="1" customFormat="1" ht="13.15" collapsed="1" x14ac:dyDescent="0.35">
      <c r="A78" s="6"/>
      <c r="J78" s="50"/>
      <c r="K78" s="50"/>
      <c r="L78" s="50"/>
      <c r="M78" s="50"/>
      <c r="N78" s="50"/>
      <c r="O78" s="50"/>
      <c r="P78" s="50"/>
      <c r="Q78" s="50"/>
      <c r="R78" s="50"/>
      <c r="S78" s="38"/>
    </row>
    <row r="79" spans="1:19" s="90" customFormat="1" ht="13.15" x14ac:dyDescent="0.35">
      <c r="A79" s="90" t="s">
        <v>95</v>
      </c>
      <c r="J79" s="91"/>
      <c r="K79" s="91"/>
      <c r="L79" s="91"/>
      <c r="M79" s="91"/>
      <c r="N79" s="91"/>
      <c r="O79" s="91"/>
      <c r="P79" s="91"/>
      <c r="Q79" s="91"/>
      <c r="R79" s="91"/>
      <c r="S79" s="91"/>
    </row>
    <row r="80" spans="1:19" s="1" customFormat="1" ht="13.15" x14ac:dyDescent="0.35">
      <c r="A80" s="6"/>
      <c r="J80" s="50"/>
      <c r="K80" s="50"/>
      <c r="L80" s="50"/>
      <c r="M80" s="50"/>
      <c r="N80" s="50"/>
      <c r="O80" s="50"/>
      <c r="P80" s="50"/>
      <c r="Q80" s="50"/>
      <c r="R80" s="50"/>
      <c r="S80" s="38"/>
    </row>
    <row r="81" spans="1:19" s="1" customFormat="1" ht="13.15" x14ac:dyDescent="0.35">
      <c r="A81" s="6"/>
      <c r="E81" s="1" t="s">
        <v>36</v>
      </c>
      <c r="F81" s="1" t="s">
        <v>85</v>
      </c>
      <c r="G81" s="1" t="s">
        <v>95</v>
      </c>
      <c r="H81" s="1" t="s">
        <v>45</v>
      </c>
      <c r="I81" s="8"/>
      <c r="J81" s="107" t="s">
        <v>78</v>
      </c>
      <c r="K81" s="107" t="s">
        <v>78</v>
      </c>
      <c r="L81" s="108">
        <f>AVERAGE(J57:L57)</f>
        <v>267.38770736053681</v>
      </c>
      <c r="M81" s="108">
        <f t="shared" ref="L81:Q96" si="21">AVERAGE(K57:M57)</f>
        <v>271.51393284967816</v>
      </c>
      <c r="N81" s="108">
        <f t="shared" si="21"/>
        <v>270.5533356069148</v>
      </c>
      <c r="O81" s="108">
        <f t="shared" si="21"/>
        <v>268.73378020192655</v>
      </c>
      <c r="P81" s="108">
        <f t="shared" si="21"/>
        <v>270.10771649011474</v>
      </c>
      <c r="Q81" s="108">
        <f t="shared" si="21"/>
        <v>277.91138990814915</v>
      </c>
      <c r="R81" s="108">
        <f>AVERAGE(P57:R57)</f>
        <v>283.51822750188785</v>
      </c>
      <c r="S81" s="38"/>
    </row>
    <row r="82" spans="1:19" s="1" customFormat="1" ht="13.15" hidden="1" outlineLevel="1" x14ac:dyDescent="0.35">
      <c r="A82" s="6"/>
      <c r="E82" s="1" t="s">
        <v>46</v>
      </c>
      <c r="F82" s="1" t="s">
        <v>85</v>
      </c>
      <c r="G82" s="1" t="s">
        <v>95</v>
      </c>
      <c r="H82" s="1" t="s">
        <v>45</v>
      </c>
      <c r="I82" s="8"/>
      <c r="J82" s="107" t="s">
        <v>78</v>
      </c>
      <c r="K82" s="107" t="s">
        <v>78</v>
      </c>
      <c r="L82" s="108">
        <f>AVERAGE(J58:L58)</f>
        <v>177.41746378016364</v>
      </c>
      <c r="M82" s="108">
        <f t="shared" si="21"/>
        <v>175.52926934945822</v>
      </c>
      <c r="N82" s="108">
        <f t="shared" si="21"/>
        <v>176.1002757250682</v>
      </c>
      <c r="O82" s="108">
        <f t="shared" si="21"/>
        <v>177.33682000515941</v>
      </c>
      <c r="P82" s="108">
        <f t="shared" si="21"/>
        <v>175.38232257468619</v>
      </c>
      <c r="Q82" s="108">
        <f t="shared" si="21"/>
        <v>178.7820465920588</v>
      </c>
      <c r="R82" s="108">
        <f t="shared" ref="R82:R101" si="22">AVERAGE(P58:R58)</f>
        <v>178.66135327170636</v>
      </c>
      <c r="S82" s="38"/>
    </row>
    <row r="83" spans="1:19" s="1" customFormat="1" ht="13.15" hidden="1" outlineLevel="1" x14ac:dyDescent="0.35">
      <c r="A83" s="6"/>
      <c r="E83" s="1" t="s">
        <v>47</v>
      </c>
      <c r="F83" s="1" t="s">
        <v>85</v>
      </c>
      <c r="G83" s="1" t="s">
        <v>95</v>
      </c>
      <c r="H83" s="1" t="s">
        <v>45</v>
      </c>
      <c r="I83" s="8"/>
      <c r="J83" s="107" t="s">
        <v>78</v>
      </c>
      <c r="K83" s="107" t="s">
        <v>78</v>
      </c>
      <c r="L83" s="108">
        <f t="shared" si="21"/>
        <v>18.280911236525466</v>
      </c>
      <c r="M83" s="108">
        <f t="shared" si="21"/>
        <v>18.200695560256587</v>
      </c>
      <c r="N83" s="108">
        <f>AVERAGE(L59:N59)</f>
        <v>17.999143748655797</v>
      </c>
      <c r="O83" s="108">
        <f t="shared" si="21"/>
        <v>18.448235161265419</v>
      </c>
      <c r="P83" s="108">
        <f t="shared" si="21"/>
        <v>18.622237698721097</v>
      </c>
      <c r="Q83" s="108">
        <f t="shared" si="21"/>
        <v>18.156487556202325</v>
      </c>
      <c r="R83" s="108">
        <f t="shared" si="22"/>
        <v>17.015697859048004</v>
      </c>
      <c r="S83" s="38"/>
    </row>
    <row r="84" spans="1:19" s="1" customFormat="1" ht="13.15" hidden="1" outlineLevel="1" x14ac:dyDescent="0.35">
      <c r="A84" s="6"/>
      <c r="E84" s="1" t="s">
        <v>48</v>
      </c>
      <c r="F84" s="1" t="s">
        <v>85</v>
      </c>
      <c r="G84" s="1" t="s">
        <v>95</v>
      </c>
      <c r="H84" s="1" t="s">
        <v>45</v>
      </c>
      <c r="I84" s="8"/>
      <c r="J84" s="107" t="s">
        <v>78</v>
      </c>
      <c r="K84" s="107" t="s">
        <v>78</v>
      </c>
      <c r="L84" s="108">
        <f t="shared" si="21"/>
        <v>242.27</v>
      </c>
      <c r="M84" s="108">
        <f t="shared" si="21"/>
        <v>234.32666666666668</v>
      </c>
      <c r="N84" s="108">
        <f>AVERAGE(L60:N60)</f>
        <v>228.98333333333335</v>
      </c>
      <c r="O84" s="108">
        <f t="shared" si="21"/>
        <v>228.84666666666666</v>
      </c>
      <c r="P84" s="108">
        <f t="shared" si="21"/>
        <v>225.4433333333333</v>
      </c>
      <c r="Q84" s="108">
        <f t="shared" si="21"/>
        <v>223.89333333333335</v>
      </c>
      <c r="R84" s="108">
        <f t="shared" si="22"/>
        <v>217.92999999999998</v>
      </c>
      <c r="S84" s="38"/>
    </row>
    <row r="85" spans="1:19" s="1" customFormat="1" ht="13.15" hidden="1" outlineLevel="1" x14ac:dyDescent="0.35">
      <c r="A85" s="6"/>
      <c r="E85" s="9" t="s">
        <v>70</v>
      </c>
      <c r="F85" s="1" t="s">
        <v>85</v>
      </c>
      <c r="G85" s="1" t="s">
        <v>95</v>
      </c>
      <c r="H85" s="1" t="s">
        <v>45</v>
      </c>
      <c r="I85" s="8"/>
      <c r="J85" s="107" t="s">
        <v>78</v>
      </c>
      <c r="K85" s="107" t="s">
        <v>78</v>
      </c>
      <c r="L85" s="108">
        <f t="shared" si="21"/>
        <v>157.91999999999999</v>
      </c>
      <c r="M85" s="108">
        <f t="shared" si="21"/>
        <v>154.97666666666666</v>
      </c>
      <c r="N85" s="108">
        <f>AVERAGE(L61:N61)</f>
        <v>151.53</v>
      </c>
      <c r="O85" s="108">
        <f t="shared" si="21"/>
        <v>150.48666666666668</v>
      </c>
      <c r="P85" s="108">
        <f t="shared" si="21"/>
        <v>147.48000000000002</v>
      </c>
      <c r="Q85" s="108">
        <f t="shared" si="21"/>
        <v>146.52000000000001</v>
      </c>
      <c r="R85" s="108">
        <f t="shared" si="22"/>
        <v>143.20333333333335</v>
      </c>
      <c r="S85" s="38"/>
    </row>
    <row r="86" spans="1:19" s="1" customFormat="1" ht="13.15" hidden="1" outlineLevel="1" x14ac:dyDescent="0.35">
      <c r="A86" s="6"/>
      <c r="E86" s="9" t="s">
        <v>72</v>
      </c>
      <c r="F86" s="1" t="s">
        <v>85</v>
      </c>
      <c r="G86" s="1" t="s">
        <v>95</v>
      </c>
      <c r="H86" s="1" t="s">
        <v>45</v>
      </c>
      <c r="I86" s="8"/>
      <c r="J86" s="107" t="s">
        <v>78</v>
      </c>
      <c r="K86" s="107" t="s">
        <v>78</v>
      </c>
      <c r="L86" s="108">
        <f t="shared" si="21"/>
        <v>84.353333333333339</v>
      </c>
      <c r="M86" s="108">
        <f t="shared" si="21"/>
        <v>79.353333333333339</v>
      </c>
      <c r="N86" s="108">
        <f t="shared" si="21"/>
        <v>77.453333333333333</v>
      </c>
      <c r="O86" s="108">
        <f t="shared" si="21"/>
        <v>78.356666666666669</v>
      </c>
      <c r="P86" s="108">
        <f t="shared" si="21"/>
        <v>77.959999999999994</v>
      </c>
      <c r="Q86" s="108">
        <f t="shared" si="21"/>
        <v>77.366666666666674</v>
      </c>
      <c r="R86" s="108">
        <f t="shared" si="22"/>
        <v>74.720000000000013</v>
      </c>
      <c r="S86" s="38"/>
    </row>
    <row r="87" spans="1:19" s="1" customFormat="1" ht="13.15" hidden="1" outlineLevel="1" x14ac:dyDescent="0.35">
      <c r="A87" s="6"/>
      <c r="E87" s="1" t="s">
        <v>49</v>
      </c>
      <c r="F87" s="1" t="s">
        <v>85</v>
      </c>
      <c r="G87" s="1" t="s">
        <v>95</v>
      </c>
      <c r="H87" s="1" t="s">
        <v>45</v>
      </c>
      <c r="I87" s="8"/>
      <c r="J87" s="107" t="s">
        <v>78</v>
      </c>
      <c r="K87" s="107" t="s">
        <v>78</v>
      </c>
      <c r="L87" s="108">
        <f t="shared" si="21"/>
        <v>364.82715466642907</v>
      </c>
      <c r="M87" s="108">
        <f t="shared" si="21"/>
        <v>361.7608905944233</v>
      </c>
      <c r="N87" s="108">
        <f t="shared" si="21"/>
        <v>368.95435074835387</v>
      </c>
      <c r="O87" s="108">
        <f t="shared" si="21"/>
        <v>369.90540488427473</v>
      </c>
      <c r="P87" s="108">
        <f t="shared" si="21"/>
        <v>367.39394610317112</v>
      </c>
      <c r="Q87" s="108">
        <f t="shared" si="21"/>
        <v>366.010172098765</v>
      </c>
      <c r="R87" s="108">
        <f t="shared" si="22"/>
        <v>368.16074129405916</v>
      </c>
      <c r="S87" s="38"/>
    </row>
    <row r="88" spans="1:19" s="1" customFormat="1" ht="13.15" hidden="1" outlineLevel="1" x14ac:dyDescent="0.35">
      <c r="A88" s="6"/>
      <c r="E88" s="1" t="s">
        <v>50</v>
      </c>
      <c r="F88" s="1" t="s">
        <v>85</v>
      </c>
      <c r="G88" s="1" t="s">
        <v>95</v>
      </c>
      <c r="H88" s="1" t="s">
        <v>45</v>
      </c>
      <c r="I88" s="8"/>
      <c r="J88" s="107" t="s">
        <v>78</v>
      </c>
      <c r="K88" s="107" t="s">
        <v>78</v>
      </c>
      <c r="L88" s="108">
        <f t="shared" si="21"/>
        <v>157.72453864282099</v>
      </c>
      <c r="M88" s="108">
        <f t="shared" si="21"/>
        <v>156.60367959058397</v>
      </c>
      <c r="N88" s="108">
        <f t="shared" si="21"/>
        <v>154.80101181260486</v>
      </c>
      <c r="O88" s="108">
        <f t="shared" si="21"/>
        <v>151.45366384039593</v>
      </c>
      <c r="P88" s="108">
        <f t="shared" si="21"/>
        <v>147.48792302104508</v>
      </c>
      <c r="Q88" s="108">
        <f t="shared" si="21"/>
        <v>148.16528337521711</v>
      </c>
      <c r="R88" s="108">
        <f t="shared" si="22"/>
        <v>146.16700411520137</v>
      </c>
      <c r="S88" s="38"/>
    </row>
    <row r="89" spans="1:19" s="1" customFormat="1" ht="13.15" hidden="1" outlineLevel="1" x14ac:dyDescent="0.35">
      <c r="A89" s="6"/>
      <c r="E89" s="1" t="s">
        <v>51</v>
      </c>
      <c r="F89" s="1" t="s">
        <v>85</v>
      </c>
      <c r="G89" s="1" t="s">
        <v>95</v>
      </c>
      <c r="H89" s="1" t="s">
        <v>45</v>
      </c>
      <c r="I89" s="8"/>
      <c r="J89" s="107" t="s">
        <v>78</v>
      </c>
      <c r="K89" s="107" t="s">
        <v>78</v>
      </c>
      <c r="L89" s="108">
        <f t="shared" si="21"/>
        <v>100.10043589345024</v>
      </c>
      <c r="M89" s="108">
        <f t="shared" si="21"/>
        <v>104.27756276085462</v>
      </c>
      <c r="N89" s="108">
        <f t="shared" si="21"/>
        <v>106.51439501386447</v>
      </c>
      <c r="O89" s="108">
        <f t="shared" si="21"/>
        <v>108.56564222314319</v>
      </c>
      <c r="P89" s="108">
        <f t="shared" si="21"/>
        <v>112.59340197221911</v>
      </c>
      <c r="Q89" s="108">
        <f t="shared" si="21"/>
        <v>115.88211972527608</v>
      </c>
      <c r="R89" s="108">
        <f t="shared" si="22"/>
        <v>116.95478259448963</v>
      </c>
      <c r="S89" s="38"/>
    </row>
    <row r="90" spans="1:19" s="1" customFormat="1" ht="13.15" hidden="1" outlineLevel="1" x14ac:dyDescent="0.35">
      <c r="A90" s="6"/>
      <c r="E90" s="1" t="s">
        <v>52</v>
      </c>
      <c r="F90" s="1" t="s">
        <v>85</v>
      </c>
      <c r="G90" s="1" t="s">
        <v>95</v>
      </c>
      <c r="H90" s="1" t="s">
        <v>45</v>
      </c>
      <c r="I90" s="8"/>
      <c r="J90" s="107" t="s">
        <v>78</v>
      </c>
      <c r="K90" s="107" t="s">
        <v>78</v>
      </c>
      <c r="L90" s="108">
        <f t="shared" si="21"/>
        <v>497.69666666666672</v>
      </c>
      <c r="M90" s="108">
        <f t="shared" si="21"/>
        <v>499.84333333333331</v>
      </c>
      <c r="N90" s="108">
        <f t="shared" si="21"/>
        <v>502.98666666666668</v>
      </c>
      <c r="O90" s="108">
        <f t="shared" si="21"/>
        <v>495.44</v>
      </c>
      <c r="P90" s="108">
        <f t="shared" si="21"/>
        <v>490.00666666666666</v>
      </c>
      <c r="Q90" s="108">
        <f t="shared" si="21"/>
        <v>483.09666666666664</v>
      </c>
      <c r="R90" s="108">
        <f t="shared" si="22"/>
        <v>477.02155464684597</v>
      </c>
      <c r="S90" s="38"/>
    </row>
    <row r="91" spans="1:19" s="1" customFormat="1" ht="13.15" hidden="1" outlineLevel="1" x14ac:dyDescent="0.35">
      <c r="A91" s="6"/>
      <c r="E91" s="1" t="s">
        <v>74</v>
      </c>
      <c r="F91" s="1" t="s">
        <v>85</v>
      </c>
      <c r="G91" s="1" t="s">
        <v>95</v>
      </c>
      <c r="H91" s="1" t="s">
        <v>45</v>
      </c>
      <c r="I91" s="8"/>
      <c r="J91" s="107" t="s">
        <v>78</v>
      </c>
      <c r="K91" s="107" t="s">
        <v>78</v>
      </c>
      <c r="L91" s="108">
        <f t="shared" si="21"/>
        <v>370.65957435916852</v>
      </c>
      <c r="M91" s="108">
        <f t="shared" si="21"/>
        <v>365.54420045144985</v>
      </c>
      <c r="N91" s="108">
        <f t="shared" si="21"/>
        <v>364.64715871527977</v>
      </c>
      <c r="O91" s="108">
        <f t="shared" si="21"/>
        <v>367.06826577599071</v>
      </c>
      <c r="P91" s="108">
        <f t="shared" si="21"/>
        <v>368.18611894421753</v>
      </c>
      <c r="Q91" s="108">
        <f t="shared" si="21"/>
        <v>370.4305395477225</v>
      </c>
      <c r="R91" s="108">
        <f t="shared" si="22"/>
        <v>373.32928620412866</v>
      </c>
      <c r="S91" s="38"/>
    </row>
    <row r="92" spans="1:19" s="1" customFormat="1" ht="13.15" hidden="1" outlineLevel="1" x14ac:dyDescent="0.35">
      <c r="A92" s="6"/>
      <c r="E92" s="1" t="s">
        <v>54</v>
      </c>
      <c r="F92" s="1" t="s">
        <v>85</v>
      </c>
      <c r="G92" s="1" t="s">
        <v>95</v>
      </c>
      <c r="H92" s="1" t="s">
        <v>45</v>
      </c>
      <c r="I92" s="8"/>
      <c r="J92" s="107" t="s">
        <v>78</v>
      </c>
      <c r="K92" s="107" t="s">
        <v>78</v>
      </c>
      <c r="L92" s="108">
        <f t="shared" si="21"/>
        <v>99.216666666666654</v>
      </c>
      <c r="M92" s="108">
        <f t="shared" si="21"/>
        <v>98.326666666666668</v>
      </c>
      <c r="N92" s="108">
        <f t="shared" si="21"/>
        <v>98.936666666666667</v>
      </c>
      <c r="O92" s="108">
        <f t="shared" si="21"/>
        <v>98.36</v>
      </c>
      <c r="P92" s="108">
        <f t="shared" si="21"/>
        <v>98.09666666666665</v>
      </c>
      <c r="Q92" s="108">
        <f t="shared" si="21"/>
        <v>98.726666666666674</v>
      </c>
      <c r="R92" s="108">
        <f t="shared" si="22"/>
        <v>97.936666666666667</v>
      </c>
      <c r="S92" s="38"/>
    </row>
    <row r="93" spans="1:19" s="1" customFormat="1" ht="13.15" hidden="1" outlineLevel="1" x14ac:dyDescent="0.35">
      <c r="A93" s="6"/>
      <c r="E93" s="1" t="s">
        <v>55</v>
      </c>
      <c r="F93" s="1" t="s">
        <v>85</v>
      </c>
      <c r="G93" s="1" t="s">
        <v>95</v>
      </c>
      <c r="H93" s="1" t="s">
        <v>45</v>
      </c>
      <c r="I93" s="8"/>
      <c r="J93" s="107" t="s">
        <v>78</v>
      </c>
      <c r="K93" s="107" t="s">
        <v>78</v>
      </c>
      <c r="L93" s="108">
        <f t="shared" si="21"/>
        <v>265.37333333333328</v>
      </c>
      <c r="M93" s="108">
        <f t="shared" si="21"/>
        <v>263.45999999999998</v>
      </c>
      <c r="N93" s="108">
        <f t="shared" si="21"/>
        <v>266.83</v>
      </c>
      <c r="O93" s="108">
        <f t="shared" si="21"/>
        <v>267.88666666666671</v>
      </c>
      <c r="P93" s="108">
        <f t="shared" si="21"/>
        <v>270.7</v>
      </c>
      <c r="Q93" s="108">
        <f t="shared" si="21"/>
        <v>278.09333333333331</v>
      </c>
      <c r="R93" s="108">
        <f t="shared" si="22"/>
        <v>281.05333333333334</v>
      </c>
      <c r="S93" s="38"/>
    </row>
    <row r="94" spans="1:19" s="1" customFormat="1" ht="13.15" hidden="1" outlineLevel="1" x14ac:dyDescent="0.35">
      <c r="A94" s="6"/>
      <c r="E94" s="1" t="s">
        <v>56</v>
      </c>
      <c r="F94" s="1" t="s">
        <v>85</v>
      </c>
      <c r="G94" s="1" t="s">
        <v>95</v>
      </c>
      <c r="H94" s="1" t="s">
        <v>45</v>
      </c>
      <c r="I94" s="8"/>
      <c r="J94" s="107" t="s">
        <v>78</v>
      </c>
      <c r="K94" s="107" t="s">
        <v>78</v>
      </c>
      <c r="L94" s="108">
        <f t="shared" si="21"/>
        <v>173.45973049630447</v>
      </c>
      <c r="M94" s="108">
        <f t="shared" si="21"/>
        <v>171.33186494456868</v>
      </c>
      <c r="N94" s="108">
        <f t="shared" si="21"/>
        <v>171.13454127128864</v>
      </c>
      <c r="O94" s="108">
        <f t="shared" si="21"/>
        <v>171.04034071285344</v>
      </c>
      <c r="P94" s="108">
        <f t="shared" si="21"/>
        <v>173.40230628729637</v>
      </c>
      <c r="Q94" s="108">
        <f t="shared" si="21"/>
        <v>177.93398045705771</v>
      </c>
      <c r="R94" s="108">
        <f t="shared" si="22"/>
        <v>179.42754814637451</v>
      </c>
      <c r="S94" s="38"/>
    </row>
    <row r="95" spans="1:19" s="1" customFormat="1" ht="13.15" hidden="1" outlineLevel="1" x14ac:dyDescent="0.35">
      <c r="A95" s="6"/>
      <c r="E95" s="1" t="s">
        <v>57</v>
      </c>
      <c r="F95" s="1" t="s">
        <v>85</v>
      </c>
      <c r="G95" s="1" t="s">
        <v>95</v>
      </c>
      <c r="H95" s="1" t="s">
        <v>45</v>
      </c>
      <c r="I95" s="8"/>
      <c r="J95" s="107" t="s">
        <v>78</v>
      </c>
      <c r="K95" s="107" t="s">
        <v>78</v>
      </c>
      <c r="L95" s="108">
        <f t="shared" si="21"/>
        <v>59.017258746666663</v>
      </c>
      <c r="M95" s="108">
        <f t="shared" si="21"/>
        <v>58.671707408611105</v>
      </c>
      <c r="N95" s="108">
        <f t="shared" si="21"/>
        <v>59.342300702777777</v>
      </c>
      <c r="O95" s="108">
        <f t="shared" si="21"/>
        <v>59.685832206111115</v>
      </c>
      <c r="P95" s="108">
        <f t="shared" si="21"/>
        <v>59.782604950833338</v>
      </c>
      <c r="Q95" s="108">
        <f t="shared" si="21"/>
        <v>59.979144305922546</v>
      </c>
      <c r="R95" s="108">
        <f t="shared" si="22"/>
        <v>59.579773957621093</v>
      </c>
      <c r="S95" s="38"/>
    </row>
    <row r="96" spans="1:19" s="1" customFormat="1" ht="13.15" hidden="1" outlineLevel="1" x14ac:dyDescent="0.35">
      <c r="A96" s="6"/>
      <c r="E96" s="1" t="s">
        <v>58</v>
      </c>
      <c r="F96" s="1" t="s">
        <v>85</v>
      </c>
      <c r="G96" s="1" t="s">
        <v>95</v>
      </c>
      <c r="H96" s="1" t="s">
        <v>45</v>
      </c>
      <c r="I96" s="8"/>
      <c r="J96" s="107" t="s">
        <v>78</v>
      </c>
      <c r="K96" s="107" t="s">
        <v>78</v>
      </c>
      <c r="L96" s="108">
        <f t="shared" si="21"/>
        <v>73.532850482547119</v>
      </c>
      <c r="M96" s="108">
        <f t="shared" si="21"/>
        <v>73.260000000000005</v>
      </c>
      <c r="N96" s="108">
        <f t="shared" si="21"/>
        <v>73.453333333333333</v>
      </c>
      <c r="O96" s="108">
        <f t="shared" si="21"/>
        <v>74.350000000000009</v>
      </c>
      <c r="P96" s="108">
        <f t="shared" si="21"/>
        <v>76.03</v>
      </c>
      <c r="Q96" s="108">
        <f t="shared" si="21"/>
        <v>78.029999999999987</v>
      </c>
      <c r="R96" s="108">
        <f t="shared" si="22"/>
        <v>81.773333333333326</v>
      </c>
      <c r="S96" s="38"/>
    </row>
    <row r="97" spans="1:19" s="1" customFormat="1" ht="13.15" hidden="1" outlineLevel="1" x14ac:dyDescent="0.35">
      <c r="A97" s="6"/>
      <c r="E97" s="1" t="s">
        <v>75</v>
      </c>
      <c r="F97" s="1" t="s">
        <v>85</v>
      </c>
      <c r="G97" s="1" t="s">
        <v>95</v>
      </c>
      <c r="H97" s="1" t="s">
        <v>45</v>
      </c>
      <c r="I97" s="8"/>
      <c r="J97" s="107" t="s">
        <v>78</v>
      </c>
      <c r="K97" s="107" t="s">
        <v>78</v>
      </c>
      <c r="L97" s="108">
        <f t="shared" ref="L97:L100" si="23">AVERAGE(J73:L73)</f>
        <v>52.81</v>
      </c>
      <c r="M97" s="108">
        <f t="shared" ref="M97:M101" si="24">AVERAGE(K73:M73)</f>
        <v>52.653333333333336</v>
      </c>
      <c r="N97" s="108">
        <f t="shared" ref="N97:N101" si="25">AVERAGE(L73:N73)</f>
        <v>52.75333333333333</v>
      </c>
      <c r="O97" s="108">
        <f t="shared" ref="O97:O101" si="26">AVERAGE(M73:O73)</f>
        <v>53.446666666666665</v>
      </c>
      <c r="P97" s="108">
        <f t="shared" ref="P97:P101" si="27">AVERAGE(N73:P73)</f>
        <v>54.699999999999996</v>
      </c>
      <c r="Q97" s="108">
        <f t="shared" ref="Q97:Q101" si="28">AVERAGE(O73:Q73)</f>
        <v>56.086666666666666</v>
      </c>
      <c r="R97" s="108">
        <f t="shared" si="22"/>
        <v>58.12</v>
      </c>
      <c r="S97" s="38"/>
    </row>
    <row r="98" spans="1:19" s="1" customFormat="1" ht="13.15" hidden="1" outlineLevel="1" x14ac:dyDescent="0.35">
      <c r="A98" s="6"/>
      <c r="E98" s="1" t="s">
        <v>76</v>
      </c>
      <c r="F98" s="1" t="s">
        <v>85</v>
      </c>
      <c r="G98" s="1" t="s">
        <v>95</v>
      </c>
      <c r="H98" s="1" t="s">
        <v>45</v>
      </c>
      <c r="I98" s="8"/>
      <c r="J98" s="107" t="s">
        <v>78</v>
      </c>
      <c r="K98" s="107" t="s">
        <v>78</v>
      </c>
      <c r="L98" s="108">
        <f t="shared" si="23"/>
        <v>20.72285048254712</v>
      </c>
      <c r="M98" s="108">
        <f t="shared" si="24"/>
        <v>20.606666666666669</v>
      </c>
      <c r="N98" s="108">
        <f t="shared" si="25"/>
        <v>20.7</v>
      </c>
      <c r="O98" s="108">
        <f t="shared" si="26"/>
        <v>20.903333333333332</v>
      </c>
      <c r="P98" s="108">
        <f t="shared" si="27"/>
        <v>21.330000000000002</v>
      </c>
      <c r="Q98" s="108">
        <f t="shared" si="28"/>
        <v>21.943333333333332</v>
      </c>
      <c r="R98" s="108">
        <f t="shared" si="22"/>
        <v>23.653333333333332</v>
      </c>
      <c r="S98" s="38"/>
    </row>
    <row r="99" spans="1:19" s="1" customFormat="1" ht="13.15" hidden="1" outlineLevel="1" x14ac:dyDescent="0.35">
      <c r="A99" s="6"/>
      <c r="E99" s="1" t="s">
        <v>59</v>
      </c>
      <c r="F99" s="1" t="s">
        <v>85</v>
      </c>
      <c r="G99" s="1" t="s">
        <v>95</v>
      </c>
      <c r="H99" s="1" t="s">
        <v>45</v>
      </c>
      <c r="I99" s="8"/>
      <c r="J99" s="107" t="s">
        <v>78</v>
      </c>
      <c r="K99" s="107" t="s">
        <v>78</v>
      </c>
      <c r="L99" s="108">
        <f t="shared" si="23"/>
        <v>37.596666666666664</v>
      </c>
      <c r="M99" s="108">
        <f t="shared" si="24"/>
        <v>36.013333333333343</v>
      </c>
      <c r="N99" s="108">
        <f t="shared" si="25"/>
        <v>35.92</v>
      </c>
      <c r="O99" s="108">
        <f t="shared" si="26"/>
        <v>35.25333333333333</v>
      </c>
      <c r="P99" s="108">
        <f t="shared" si="27"/>
        <v>34.516666666666666</v>
      </c>
      <c r="Q99" s="108">
        <f t="shared" si="28"/>
        <v>34.24</v>
      </c>
      <c r="R99" s="108">
        <f t="shared" si="22"/>
        <v>33.643333333333338</v>
      </c>
      <c r="S99" s="38"/>
    </row>
    <row r="100" spans="1:19" s="1" customFormat="1" ht="13.15" hidden="1" outlineLevel="1" x14ac:dyDescent="0.35">
      <c r="A100" s="6"/>
      <c r="E100" s="1" t="s">
        <v>60</v>
      </c>
      <c r="F100" s="1" t="s">
        <v>85</v>
      </c>
      <c r="G100" s="1" t="s">
        <v>95</v>
      </c>
      <c r="H100" s="1" t="s">
        <v>45</v>
      </c>
      <c r="I100" s="8"/>
      <c r="J100" s="107" t="s">
        <v>78</v>
      </c>
      <c r="K100" s="107" t="s">
        <v>78</v>
      </c>
      <c r="L100" s="108">
        <f t="shared" si="23"/>
        <v>104.75192012708386</v>
      </c>
      <c r="M100" s="108">
        <f t="shared" si="24"/>
        <v>102.61192012708386</v>
      </c>
      <c r="N100" s="108">
        <f t="shared" si="25"/>
        <v>102.67</v>
      </c>
      <c r="O100" s="108">
        <f t="shared" si="26"/>
        <v>100.36</v>
      </c>
      <c r="P100" s="108">
        <f t="shared" si="27"/>
        <v>97.092601677001426</v>
      </c>
      <c r="Q100" s="108">
        <f t="shared" si="28"/>
        <v>96.07844439655679</v>
      </c>
      <c r="R100" s="108">
        <f t="shared" si="22"/>
        <v>95.059599729551181</v>
      </c>
      <c r="S100" s="38"/>
    </row>
    <row r="101" spans="1:19" s="1" customFormat="1" ht="13.15" hidden="1" outlineLevel="1" x14ac:dyDescent="0.35">
      <c r="A101" s="6"/>
      <c r="E101" s="1" t="s">
        <v>61</v>
      </c>
      <c r="F101" s="1" t="s">
        <v>85</v>
      </c>
      <c r="G101" s="1" t="s">
        <v>95</v>
      </c>
      <c r="H101" s="1" t="s">
        <v>45</v>
      </c>
      <c r="I101" s="8"/>
      <c r="J101" s="107" t="s">
        <v>78</v>
      </c>
      <c r="K101" s="107" t="s">
        <v>78</v>
      </c>
      <c r="L101" s="108">
        <f>AVERAGE(J77:L77)</f>
        <v>24.657662708395424</v>
      </c>
      <c r="M101" s="108">
        <f t="shared" si="24"/>
        <v>24.689999999999998</v>
      </c>
      <c r="N101" s="108">
        <f t="shared" si="25"/>
        <v>25.196666666666669</v>
      </c>
      <c r="O101" s="108">
        <f t="shared" si="26"/>
        <v>26.153333333333336</v>
      </c>
      <c r="P101" s="108">
        <f t="shared" si="27"/>
        <v>25.983333333333331</v>
      </c>
      <c r="Q101" s="108">
        <f t="shared" si="28"/>
        <v>25.536666666666665</v>
      </c>
      <c r="R101" s="108">
        <f t="shared" si="22"/>
        <v>24.713333333333335</v>
      </c>
      <c r="S101" s="38"/>
    </row>
    <row r="102" spans="1:19" s="1" customFormat="1" ht="13.15" collapsed="1" x14ac:dyDescent="0.35">
      <c r="A102" s="6"/>
      <c r="J102" s="38"/>
      <c r="K102" s="38"/>
      <c r="L102" s="38"/>
      <c r="M102" s="38"/>
      <c r="N102" s="38"/>
      <c r="O102" s="38"/>
      <c r="P102" s="38"/>
      <c r="Q102" s="38"/>
      <c r="R102" s="38"/>
      <c r="S102" s="38"/>
    </row>
    <row r="103" spans="1:19" s="100" customFormat="1" ht="13.15" x14ac:dyDescent="0.4">
      <c r="A103" s="100" t="s">
        <v>83</v>
      </c>
      <c r="J103" s="101"/>
      <c r="K103" s="101"/>
      <c r="L103" s="101"/>
      <c r="M103" s="101"/>
      <c r="N103" s="101"/>
      <c r="O103" s="101"/>
      <c r="P103" s="101"/>
      <c r="Q103" s="101"/>
      <c r="R103" s="101"/>
      <c r="S103" s="10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14E0-FDE4-47A4-9661-FE3947B945AE}">
  <sheetPr codeName="Sheet7">
    <tabColor rgb="FFCCCCCE"/>
  </sheetPr>
  <dimension ref="A1:R55"/>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9.875" style="86" customWidth="1"/>
    <col min="6" max="6" width="20.25" style="1" customWidth="1"/>
    <col min="7" max="7" width="31.75" style="1" bestFit="1" customWidth="1"/>
    <col min="8" max="8" width="7.875" style="1" customWidth="1"/>
    <col min="9" max="9" width="2.75" style="1" customWidth="1"/>
    <col min="10" max="17" width="9" style="38" customWidth="1"/>
    <col min="18" max="18" width="9" style="86" customWidth="1"/>
    <col min="19" max="16384" width="9" style="1" hidden="1"/>
  </cols>
  <sheetData>
    <row r="1" spans="1:18" s="37" customFormat="1" ht="30.75" x14ac:dyDescent="0.35">
      <c r="A1" s="4" t="str">
        <f ca="1">RIGHT(CELL("filename", A1), LEN(CELL("filename", A1)) - SEARCH("]", CELL("filename", A1)))</f>
        <v>NHH.WRMP</v>
      </c>
      <c r="B1" s="4"/>
      <c r="C1" s="4"/>
      <c r="D1" s="5"/>
      <c r="E1" s="4"/>
      <c r="F1" s="4"/>
      <c r="G1" s="4"/>
      <c r="H1" s="4"/>
      <c r="I1" s="4"/>
    </row>
    <row r="2" spans="1:18" x14ac:dyDescent="0.45">
      <c r="E2" s="1"/>
      <c r="J2" s="43" t="s">
        <v>19</v>
      </c>
      <c r="K2" s="43" t="s">
        <v>20</v>
      </c>
      <c r="L2" s="43" t="s">
        <v>21</v>
      </c>
      <c r="M2" s="43" t="s">
        <v>22</v>
      </c>
      <c r="N2" s="43" t="s">
        <v>23</v>
      </c>
      <c r="O2" s="43" t="s">
        <v>24</v>
      </c>
      <c r="P2" s="43" t="s">
        <v>25</v>
      </c>
      <c r="Q2" s="43" t="s">
        <v>26</v>
      </c>
    </row>
    <row r="3" spans="1:18" x14ac:dyDescent="0.45">
      <c r="E3" s="7" t="s">
        <v>62</v>
      </c>
      <c r="F3" s="7" t="s">
        <v>63</v>
      </c>
      <c r="G3" s="7" t="s">
        <v>64</v>
      </c>
      <c r="H3" s="7" t="s">
        <v>13</v>
      </c>
      <c r="I3" s="7"/>
    </row>
    <row r="4" spans="1:18" x14ac:dyDescent="0.45">
      <c r="E4" s="1"/>
    </row>
    <row r="5" spans="1:18" x14ac:dyDescent="0.45">
      <c r="E5" s="1"/>
      <c r="I5" s="3"/>
    </row>
    <row r="6" spans="1:18" x14ac:dyDescent="0.45">
      <c r="E6" s="1"/>
    </row>
    <row r="7" spans="1:18" s="91" customFormat="1" ht="13.15" x14ac:dyDescent="0.35">
      <c r="A7" s="90" t="s">
        <v>96</v>
      </c>
      <c r="B7" s="90"/>
      <c r="C7" s="90"/>
      <c r="D7" s="90"/>
      <c r="E7" s="90"/>
      <c r="F7" s="90"/>
      <c r="G7" s="90"/>
      <c r="H7" s="90"/>
      <c r="I7" s="90"/>
    </row>
    <row r="8" spans="1:18" x14ac:dyDescent="0.45">
      <c r="E8" s="1"/>
      <c r="J8" s="50"/>
      <c r="K8" s="50"/>
      <c r="L8" s="50"/>
      <c r="M8" s="50"/>
      <c r="N8" s="50"/>
      <c r="O8" s="50"/>
      <c r="P8" s="50"/>
      <c r="Q8" s="50"/>
    </row>
    <row r="9" spans="1:18" s="46" customFormat="1" x14ac:dyDescent="0.45">
      <c r="A9" s="6"/>
      <c r="B9" s="1"/>
      <c r="C9" s="1"/>
      <c r="D9" s="1"/>
      <c r="E9" s="1" t="s">
        <v>36</v>
      </c>
      <c r="F9" s="1" t="s">
        <v>85</v>
      </c>
      <c r="G9" s="1" t="s">
        <v>90</v>
      </c>
      <c r="H9" s="1" t="s">
        <v>45</v>
      </c>
      <c r="I9" s="11"/>
      <c r="J9" s="46">
        <f>INDEX(NHH.Inputs!$O$57:$W$78,MATCH($E9,NHH.Inputs!$E$57:$E$78,0),MATCH(J$2,NHH.Inputs!$O$2:$W$2,0))</f>
        <v>276.03191213135648</v>
      </c>
      <c r="K9" s="46">
        <f>INDEX(NHH.Inputs!$O$57:$W$78,MATCH($E9,NHH.Inputs!$E$57:$E$78,0),MATCH(K$2,NHH.Inputs!$O$2:$W$2,0))</f>
        <v>274.46118090755726</v>
      </c>
      <c r="L9" s="46">
        <f>INDEX(NHH.Inputs!$O$57:$W$78,MATCH($E9,NHH.Inputs!$E$57:$E$78,0),MATCH(L$2,NHH.Inputs!$O$2:$W$2,0))</f>
        <v>272.89307158071824</v>
      </c>
      <c r="M9" s="46">
        <f>INDEX(NHH.Inputs!$O$57:$W$78,MATCH($E9,NHH.Inputs!$E$57:$E$78,0),MATCH(M$2,NHH.Inputs!$O$2:$W$2,0))</f>
        <v>271.95570356324009</v>
      </c>
      <c r="N9" s="46">
        <f>INDEX(NHH.Inputs!$O$57:$W$78,MATCH($E9,NHH.Inputs!$E$57:$E$78,0),MATCH(N$2,NHH.Inputs!$O$2:$W$2,0))</f>
        <v>271.01733836410824</v>
      </c>
      <c r="O9" s="46">
        <f>INDEX(NHH.Inputs!$O$57:$W$78,MATCH($E9,NHH.Inputs!$E$57:$E$78,0),MATCH(O$2,NHH.Inputs!$O$2:$W$2,0))</f>
        <v>270.10437657314424</v>
      </c>
      <c r="P9" s="46">
        <f>INDEX(NHH.Inputs!$O$57:$W$78,MATCH($E9,NHH.Inputs!$E$57:$E$78,0),MATCH(P$2,NHH.Inputs!$O$2:$W$2,0))</f>
        <v>269.16407798943743</v>
      </c>
      <c r="Q9" s="46">
        <f>INDEX(NHH.Inputs!$O$57:$W$78,MATCH($E9,NHH.Inputs!$E$57:$E$78,0),MATCH(Q$2,NHH.Inputs!$O$2:$W$2,0))</f>
        <v>268.22238723117158</v>
      </c>
      <c r="R9" s="86"/>
    </row>
    <row r="10" spans="1:18" s="46" customFormat="1" hidden="1" outlineLevel="1" x14ac:dyDescent="0.45">
      <c r="A10" s="6"/>
      <c r="B10" s="1"/>
      <c r="C10" s="1"/>
      <c r="D10" s="1"/>
      <c r="E10" s="1" t="s">
        <v>46</v>
      </c>
      <c r="F10" s="1" t="s">
        <v>85</v>
      </c>
      <c r="G10" s="1" t="s">
        <v>90</v>
      </c>
      <c r="H10" s="1" t="s">
        <v>45</v>
      </c>
      <c r="I10" s="8"/>
      <c r="J10" s="46" t="str">
        <f>INDEX(NHH.Inputs!$O$57:$W$78,MATCH($E10,NHH.Inputs!$E$57:$E$78,0),MATCH(J$2,NHH.Inputs!$O$2:$W$2,0))</f>
        <v>-</v>
      </c>
      <c r="K10" s="46" t="str">
        <f>INDEX(NHH.Inputs!$O$57:$W$78,MATCH($E10,NHH.Inputs!$E$57:$E$78,0),MATCH(K$2,NHH.Inputs!$O$2:$W$2,0))</f>
        <v>-</v>
      </c>
      <c r="L10" s="46" t="str">
        <f>INDEX(NHH.Inputs!$O$57:$W$78,MATCH($E10,NHH.Inputs!$E$57:$E$78,0),MATCH(L$2,NHH.Inputs!$O$2:$W$2,0))</f>
        <v>-</v>
      </c>
      <c r="M10" s="46" t="str">
        <f>INDEX(NHH.Inputs!$O$57:$W$78,MATCH($E10,NHH.Inputs!$E$57:$E$78,0),MATCH(M$2,NHH.Inputs!$O$2:$W$2,0))</f>
        <v>-</v>
      </c>
      <c r="N10" s="46" t="str">
        <f>INDEX(NHH.Inputs!$O$57:$W$78,MATCH($E10,NHH.Inputs!$E$57:$E$78,0),MATCH(N$2,NHH.Inputs!$O$2:$W$2,0))</f>
        <v>-</v>
      </c>
      <c r="O10" s="46" t="str">
        <f>INDEX(NHH.Inputs!$O$57:$W$78,MATCH($E10,NHH.Inputs!$E$57:$E$78,0),MATCH(O$2,NHH.Inputs!$O$2:$W$2,0))</f>
        <v>-</v>
      </c>
      <c r="P10" s="46" t="str">
        <f>INDEX(NHH.Inputs!$O$57:$W$78,MATCH($E10,NHH.Inputs!$E$57:$E$78,0),MATCH(P$2,NHH.Inputs!$O$2:$W$2,0))</f>
        <v>-</v>
      </c>
      <c r="Q10" s="46" t="str">
        <f>INDEX(NHH.Inputs!$O$57:$W$78,MATCH($E10,NHH.Inputs!$E$57:$E$78,0),MATCH(Q$2,NHH.Inputs!$O$2:$W$2,0))</f>
        <v>-</v>
      </c>
      <c r="R10" s="86"/>
    </row>
    <row r="11" spans="1:18" s="46" customFormat="1" hidden="1" outlineLevel="1" x14ac:dyDescent="0.45">
      <c r="A11" s="6"/>
      <c r="B11" s="1"/>
      <c r="C11" s="1"/>
      <c r="D11" s="1"/>
      <c r="E11" s="1" t="s">
        <v>47</v>
      </c>
      <c r="F11" s="1" t="s">
        <v>85</v>
      </c>
      <c r="G11" s="1" t="s">
        <v>90</v>
      </c>
      <c r="H11" s="1" t="s">
        <v>45</v>
      </c>
      <c r="I11" s="8"/>
      <c r="J11" s="46" t="str">
        <f>INDEX(NHH.Inputs!$O$57:$W$78,MATCH($E11,NHH.Inputs!$E$57:$E$78,0),MATCH(J$2,NHH.Inputs!$O$2:$W$2,0))</f>
        <v>-</v>
      </c>
      <c r="K11" s="46" t="str">
        <f>INDEX(NHH.Inputs!$O$57:$W$78,MATCH($E11,NHH.Inputs!$E$57:$E$78,0),MATCH(K$2,NHH.Inputs!$O$2:$W$2,0))</f>
        <v>-</v>
      </c>
      <c r="L11" s="46" t="str">
        <f>INDEX(NHH.Inputs!$O$57:$W$78,MATCH($E11,NHH.Inputs!$E$57:$E$78,0),MATCH(L$2,NHH.Inputs!$O$2:$W$2,0))</f>
        <v>-</v>
      </c>
      <c r="M11" s="46" t="str">
        <f>INDEX(NHH.Inputs!$O$57:$W$78,MATCH($E11,NHH.Inputs!$E$57:$E$78,0),MATCH(M$2,NHH.Inputs!$O$2:$W$2,0))</f>
        <v>-</v>
      </c>
      <c r="N11" s="46" t="str">
        <f>INDEX(NHH.Inputs!$O$57:$W$78,MATCH($E11,NHH.Inputs!$E$57:$E$78,0),MATCH(N$2,NHH.Inputs!$O$2:$W$2,0))</f>
        <v>-</v>
      </c>
      <c r="O11" s="46" t="str">
        <f>INDEX(NHH.Inputs!$O$57:$W$78,MATCH($E11,NHH.Inputs!$E$57:$E$78,0),MATCH(O$2,NHH.Inputs!$O$2:$W$2,0))</f>
        <v>-</v>
      </c>
      <c r="P11" s="46" t="str">
        <f>INDEX(NHH.Inputs!$O$57:$W$78,MATCH($E11,NHH.Inputs!$E$57:$E$78,0),MATCH(P$2,NHH.Inputs!$O$2:$W$2,0))</f>
        <v>-</v>
      </c>
      <c r="Q11" s="46" t="str">
        <f>INDEX(NHH.Inputs!$O$57:$W$78,MATCH($E11,NHH.Inputs!$E$57:$E$78,0),MATCH(Q$2,NHH.Inputs!$O$2:$W$2,0))</f>
        <v>-</v>
      </c>
      <c r="R11" s="86"/>
    </row>
    <row r="12" spans="1:18" s="46" customFormat="1" hidden="1" outlineLevel="1" x14ac:dyDescent="0.45">
      <c r="A12" s="6"/>
      <c r="B12" s="1"/>
      <c r="C12" s="1"/>
      <c r="D12" s="1"/>
      <c r="E12" s="1" t="s">
        <v>48</v>
      </c>
      <c r="F12" s="1" t="s">
        <v>85</v>
      </c>
      <c r="G12" s="1" t="s">
        <v>90</v>
      </c>
      <c r="H12" s="1" t="s">
        <v>45</v>
      </c>
      <c r="I12" s="8"/>
      <c r="J12" s="46">
        <f>INDEX(NHH.Inputs!$O$57:$W$78,MATCH($E12,NHH.Inputs!$E$57:$E$78,0),MATCH(J$2,NHH.Inputs!$O$2:$W$2,0))</f>
        <v>229.54562904656632</v>
      </c>
      <c r="K12" s="46">
        <f>INDEX(NHH.Inputs!$O$57:$W$78,MATCH($E12,NHH.Inputs!$E$57:$E$78,0),MATCH(K$2,NHH.Inputs!$O$2:$W$2,0))</f>
        <v>229.51403500855668</v>
      </c>
      <c r="L12" s="46">
        <f>INDEX(NHH.Inputs!$O$57:$W$78,MATCH($E12,NHH.Inputs!$E$57:$E$78,0),MATCH(L$2,NHH.Inputs!$O$2:$W$2,0))</f>
        <v>229.13512767822249</v>
      </c>
      <c r="M12" s="46">
        <f>INDEX(NHH.Inputs!$O$57:$W$78,MATCH($E12,NHH.Inputs!$E$57:$E$78,0),MATCH(M$2,NHH.Inputs!$O$2:$W$2,0))</f>
        <v>228.72444774181349</v>
      </c>
      <c r="N12" s="46">
        <f>INDEX(NHH.Inputs!$O$57:$W$78,MATCH($E12,NHH.Inputs!$E$57:$E$78,0),MATCH(N$2,NHH.Inputs!$O$2:$W$2,0))</f>
        <v>227.68131095886929</v>
      </c>
      <c r="O12" s="46">
        <f>INDEX(NHH.Inputs!$O$57:$W$78,MATCH($E12,NHH.Inputs!$E$57:$E$78,0),MATCH(O$2,NHH.Inputs!$O$2:$W$2,0))</f>
        <v>227.90112466335995</v>
      </c>
      <c r="P12" s="46">
        <f>INDEX(NHH.Inputs!$O$57:$W$78,MATCH($E12,NHH.Inputs!$E$57:$E$78,0),MATCH(P$2,NHH.Inputs!$O$2:$W$2,0))</f>
        <v>227.54815965861735</v>
      </c>
      <c r="Q12" s="46">
        <f>INDEX(NHH.Inputs!$O$57:$W$78,MATCH($E12,NHH.Inputs!$E$57:$E$78,0),MATCH(Q$2,NHH.Inputs!$O$2:$W$2,0))</f>
        <v>227.27645414293511</v>
      </c>
      <c r="R12" s="86"/>
    </row>
    <row r="13" spans="1:18" s="46" customFormat="1" hidden="1" outlineLevel="1" x14ac:dyDescent="0.45">
      <c r="A13" s="6"/>
      <c r="B13" s="1"/>
      <c r="C13" s="1"/>
      <c r="D13" s="1"/>
      <c r="E13" s="9" t="s">
        <v>70</v>
      </c>
      <c r="F13" s="1" t="s">
        <v>85</v>
      </c>
      <c r="G13" s="1" t="s">
        <v>90</v>
      </c>
      <c r="H13" s="1" t="s">
        <v>45</v>
      </c>
      <c r="I13" s="8"/>
      <c r="J13" s="46">
        <f>INDEX(NHH.Inputs!$O$57:$W$78,MATCH($E13,NHH.Inputs!$E$57:$E$78,0),MATCH(J$2,NHH.Inputs!$O$2:$W$2,0))</f>
        <v>154.89641213417053</v>
      </c>
      <c r="K13" s="46">
        <f>INDEX(NHH.Inputs!$O$57:$W$78,MATCH($E13,NHH.Inputs!$E$57:$E$78,0),MATCH(K$2,NHH.Inputs!$O$2:$W$2,0))</f>
        <v>154.86574411392212</v>
      </c>
      <c r="L13" s="46">
        <f>INDEX(NHH.Inputs!$O$57:$W$78,MATCH($E13,NHH.Inputs!$E$57:$E$78,0),MATCH(L$2,NHH.Inputs!$O$2:$W$2,0))</f>
        <v>154.49070977419615</v>
      </c>
      <c r="M13" s="46">
        <f>INDEX(NHH.Inputs!$O$57:$W$78,MATCH($E13,NHH.Inputs!$E$57:$E$78,0),MATCH(M$2,NHH.Inputs!$O$2:$W$2,0))</f>
        <v>154.20499419420958</v>
      </c>
      <c r="N13" s="46">
        <f>INDEX(NHH.Inputs!$O$57:$W$78,MATCH($E13,NHH.Inputs!$E$57:$E$78,0),MATCH(N$2,NHH.Inputs!$O$2:$W$2,0))</f>
        <v>153.47829483449459</v>
      </c>
      <c r="O13" s="46">
        <f>INDEX(NHH.Inputs!$O$57:$W$78,MATCH($E13,NHH.Inputs!$E$57:$E$78,0),MATCH(O$2,NHH.Inputs!$O$2:$W$2,0))</f>
        <v>153.55040572583675</v>
      </c>
      <c r="P13" s="46">
        <f>INDEX(NHH.Inputs!$O$57:$W$78,MATCH($E13,NHH.Inputs!$E$57:$E$78,0),MATCH(P$2,NHH.Inputs!$O$2:$W$2,0))</f>
        <v>153.26431296020701</v>
      </c>
      <c r="Q13" s="46">
        <f>INDEX(NHH.Inputs!$O$57:$W$78,MATCH($E13,NHH.Inputs!$E$57:$E$78,0),MATCH(Q$2,NHH.Inputs!$O$2:$W$2,0))</f>
        <v>152.99354502558708</v>
      </c>
      <c r="R13" s="86"/>
    </row>
    <row r="14" spans="1:18" s="46" customFormat="1" hidden="1" outlineLevel="1" x14ac:dyDescent="0.45">
      <c r="A14" s="6"/>
      <c r="B14" s="1"/>
      <c r="C14" s="1"/>
      <c r="D14" s="1"/>
      <c r="E14" s="9" t="s">
        <v>72</v>
      </c>
      <c r="F14" s="1" t="s">
        <v>85</v>
      </c>
      <c r="G14" s="1" t="s">
        <v>90</v>
      </c>
      <c r="H14" s="1" t="s">
        <v>45</v>
      </c>
      <c r="I14" s="8"/>
      <c r="J14" s="46">
        <f>INDEX(NHH.Inputs!$O$57:$W$78,MATCH($E14,NHH.Inputs!$E$57:$E$78,0),MATCH(J$2,NHH.Inputs!$O$2:$W$2,0))</f>
        <v>74.649216912395786</v>
      </c>
      <c r="K14" s="46">
        <f>INDEX(NHH.Inputs!$O$57:$W$78,MATCH($E14,NHH.Inputs!$E$57:$E$78,0),MATCH(K$2,NHH.Inputs!$O$2:$W$2,0))</f>
        <v>74.648290894634556</v>
      </c>
      <c r="L14" s="46">
        <f>INDEX(NHH.Inputs!$O$57:$W$78,MATCH($E14,NHH.Inputs!$E$57:$E$78,0),MATCH(L$2,NHH.Inputs!$O$2:$W$2,0))</f>
        <v>74.644417904026341</v>
      </c>
      <c r="M14" s="46">
        <f>INDEX(NHH.Inputs!$O$57:$W$78,MATCH($E14,NHH.Inputs!$E$57:$E$78,0),MATCH(M$2,NHH.Inputs!$O$2:$W$2,0))</f>
        <v>74.519453547603916</v>
      </c>
      <c r="N14" s="46">
        <f>INDEX(NHH.Inputs!$O$57:$W$78,MATCH($E14,NHH.Inputs!$E$57:$E$78,0),MATCH(N$2,NHH.Inputs!$O$2:$W$2,0))</f>
        <v>74.203016124374699</v>
      </c>
      <c r="O14" s="46">
        <f>INDEX(NHH.Inputs!$O$57:$W$78,MATCH($E14,NHH.Inputs!$E$57:$E$78,0),MATCH(O$2,NHH.Inputs!$O$2:$W$2,0))</f>
        <v>74.350718937523197</v>
      </c>
      <c r="P14" s="46">
        <f>INDEX(NHH.Inputs!$O$57:$W$78,MATCH($E14,NHH.Inputs!$E$57:$E$78,0),MATCH(P$2,NHH.Inputs!$O$2:$W$2,0))</f>
        <v>74.283846698410343</v>
      </c>
      <c r="Q14" s="46">
        <f>INDEX(NHH.Inputs!$O$57:$W$78,MATCH($E14,NHH.Inputs!$E$57:$E$78,0),MATCH(Q$2,NHH.Inputs!$O$2:$W$2,0))</f>
        <v>74.282909117348026</v>
      </c>
      <c r="R14" s="86"/>
    </row>
    <row r="15" spans="1:18" s="46" customFormat="1" hidden="1" outlineLevel="1" x14ac:dyDescent="0.45">
      <c r="A15" s="6"/>
      <c r="B15" s="1"/>
      <c r="C15" s="1"/>
      <c r="D15" s="1"/>
      <c r="E15" s="1" t="s">
        <v>49</v>
      </c>
      <c r="F15" s="1" t="s">
        <v>85</v>
      </c>
      <c r="G15" s="1" t="s">
        <v>90</v>
      </c>
      <c r="H15" s="1" t="s">
        <v>45</v>
      </c>
      <c r="I15" s="8"/>
      <c r="J15" s="46">
        <f>INDEX(NHH.Inputs!$O$57:$W$78,MATCH($E15,NHH.Inputs!$E$57:$E$78,0),MATCH(J$2,NHH.Inputs!$O$2:$W$2,0))</f>
        <v>345.38169236308164</v>
      </c>
      <c r="K15" s="46">
        <f>INDEX(NHH.Inputs!$O$57:$W$78,MATCH($E15,NHH.Inputs!$E$57:$E$78,0),MATCH(K$2,NHH.Inputs!$O$2:$W$2,0))</f>
        <v>341.0174826537633</v>
      </c>
      <c r="L15" s="46">
        <f>INDEX(NHH.Inputs!$O$57:$W$78,MATCH($E15,NHH.Inputs!$E$57:$E$78,0),MATCH(L$2,NHH.Inputs!$O$2:$W$2,0))</f>
        <v>336.05182764451479</v>
      </c>
      <c r="M15" s="46">
        <f>INDEX(NHH.Inputs!$O$57:$W$78,MATCH($E15,NHH.Inputs!$E$57:$E$78,0),MATCH(M$2,NHH.Inputs!$O$2:$W$2,0))</f>
        <v>331.38462415361488</v>
      </c>
      <c r="N15" s="46">
        <f>INDEX(NHH.Inputs!$O$57:$W$78,MATCH($E15,NHH.Inputs!$E$57:$E$78,0),MATCH(N$2,NHH.Inputs!$O$2:$W$2,0))</f>
        <v>326.17385487848009</v>
      </c>
      <c r="O15" s="46">
        <f>INDEX(NHH.Inputs!$O$57:$W$78,MATCH($E15,NHH.Inputs!$E$57:$E$78,0),MATCH(O$2,NHH.Inputs!$O$2:$W$2,0))</f>
        <v>324.33074956585955</v>
      </c>
      <c r="P15" s="46">
        <f>INDEX(NHH.Inputs!$O$57:$W$78,MATCH($E15,NHH.Inputs!$E$57:$E$78,0),MATCH(P$2,NHH.Inputs!$O$2:$W$2,0))</f>
        <v>321.85554638115082</v>
      </c>
      <c r="Q15" s="46">
        <f>INDEX(NHH.Inputs!$O$57:$W$78,MATCH($E15,NHH.Inputs!$E$57:$E$78,0),MATCH(Q$2,NHH.Inputs!$O$2:$W$2,0))</f>
        <v>319.56693203623882</v>
      </c>
      <c r="R15" s="86"/>
    </row>
    <row r="16" spans="1:18" s="46" customFormat="1" hidden="1" outlineLevel="1" x14ac:dyDescent="0.45">
      <c r="A16" s="6"/>
      <c r="B16" s="1"/>
      <c r="C16" s="1"/>
      <c r="D16" s="1"/>
      <c r="E16" s="1" t="s">
        <v>50</v>
      </c>
      <c r="F16" s="1" t="s">
        <v>85</v>
      </c>
      <c r="G16" s="1" t="s">
        <v>90</v>
      </c>
      <c r="H16" s="1" t="s">
        <v>45</v>
      </c>
      <c r="I16" s="8"/>
      <c r="J16" s="46">
        <f>INDEX(NHH.Inputs!$O$57:$W$78,MATCH($E16,NHH.Inputs!$E$57:$E$78,0),MATCH(J$2,NHH.Inputs!$O$2:$W$2,0))</f>
        <v>153.23330975816657</v>
      </c>
      <c r="K16" s="46">
        <f>INDEX(NHH.Inputs!$O$57:$W$78,MATCH($E16,NHH.Inputs!$E$57:$E$78,0),MATCH(K$2,NHH.Inputs!$O$2:$W$2,0))</f>
        <v>151.51868148923577</v>
      </c>
      <c r="L16" s="46">
        <f>INDEX(NHH.Inputs!$O$57:$W$78,MATCH($E16,NHH.Inputs!$E$57:$E$78,0),MATCH(L$2,NHH.Inputs!$O$2:$W$2,0))</f>
        <v>149.87851212146381</v>
      </c>
      <c r="M16" s="46">
        <f>INDEX(NHH.Inputs!$O$57:$W$78,MATCH($E16,NHH.Inputs!$E$57:$E$78,0),MATCH(M$2,NHH.Inputs!$O$2:$W$2,0))</f>
        <v>148.367191726789</v>
      </c>
      <c r="N16" s="46">
        <f>INDEX(NHH.Inputs!$O$57:$W$78,MATCH($E16,NHH.Inputs!$E$57:$E$78,0),MATCH(N$2,NHH.Inputs!$O$2:$W$2,0))</f>
        <v>146.82344831523147</v>
      </c>
      <c r="O16" s="46">
        <f>INDEX(NHH.Inputs!$O$57:$W$78,MATCH($E16,NHH.Inputs!$E$57:$E$78,0),MATCH(O$2,NHH.Inputs!$O$2:$W$2,0))</f>
        <v>145.52263879574193</v>
      </c>
      <c r="P16" s="46">
        <f>INDEX(NHH.Inputs!$O$57:$W$78,MATCH($E16,NHH.Inputs!$E$57:$E$78,0),MATCH(P$2,NHH.Inputs!$O$2:$W$2,0))</f>
        <v>144.17869977725351</v>
      </c>
      <c r="Q16" s="46">
        <f>INDEX(NHH.Inputs!$O$57:$W$78,MATCH($E16,NHH.Inputs!$E$57:$E$78,0),MATCH(Q$2,NHH.Inputs!$O$2:$W$2,0))</f>
        <v>142.87381155923103</v>
      </c>
      <c r="R16" s="86"/>
    </row>
    <row r="17" spans="1:18" s="46" customFormat="1" hidden="1" outlineLevel="1" x14ac:dyDescent="0.45">
      <c r="A17" s="6"/>
      <c r="B17" s="1"/>
      <c r="C17" s="1"/>
      <c r="D17" s="1"/>
      <c r="E17" s="1" t="s">
        <v>51</v>
      </c>
      <c r="F17" s="1" t="s">
        <v>85</v>
      </c>
      <c r="G17" s="1" t="s">
        <v>90</v>
      </c>
      <c r="H17" s="1" t="s">
        <v>45</v>
      </c>
      <c r="I17" s="8"/>
      <c r="J17" s="46">
        <f>INDEX(NHH.Inputs!$O$57:$W$78,MATCH($E17,NHH.Inputs!$E$57:$E$78,0),MATCH(J$2,NHH.Inputs!$O$2:$W$2,0))</f>
        <v>102.23822612254889</v>
      </c>
      <c r="K17" s="46">
        <f>INDEX(NHH.Inputs!$O$57:$W$78,MATCH($E17,NHH.Inputs!$E$57:$E$78,0),MATCH(K$2,NHH.Inputs!$O$2:$W$2,0))</f>
        <v>101.60045684093159</v>
      </c>
      <c r="L17" s="46">
        <f>INDEX(NHH.Inputs!$O$57:$W$78,MATCH($E17,NHH.Inputs!$E$57:$E$78,0),MATCH(L$2,NHH.Inputs!$O$2:$W$2,0))</f>
        <v>101.46313544214134</v>
      </c>
      <c r="M17" s="46">
        <f>INDEX(NHH.Inputs!$O$57:$W$78,MATCH($E17,NHH.Inputs!$E$57:$E$78,0),MATCH(M$2,NHH.Inputs!$O$2:$W$2,0))</f>
        <v>101.53091919549438</v>
      </c>
      <c r="N17" s="46">
        <f>INDEX(NHH.Inputs!$O$57:$W$78,MATCH($E17,NHH.Inputs!$E$57:$E$78,0),MATCH(N$2,NHH.Inputs!$O$2:$W$2,0))</f>
        <v>101.05272803134797</v>
      </c>
      <c r="O17" s="46">
        <f>INDEX(NHH.Inputs!$O$57:$W$78,MATCH($E17,NHH.Inputs!$E$57:$E$78,0),MATCH(O$2,NHH.Inputs!$O$2:$W$2,0))</f>
        <v>100.85851641476827</v>
      </c>
      <c r="P17" s="46">
        <f>INDEX(NHH.Inputs!$O$57:$W$78,MATCH($E17,NHH.Inputs!$E$57:$E$78,0),MATCH(P$2,NHH.Inputs!$O$2:$W$2,0))</f>
        <v>100.5149260716836</v>
      </c>
      <c r="Q17" s="46">
        <f>INDEX(NHH.Inputs!$O$57:$W$78,MATCH($E17,NHH.Inputs!$E$57:$E$78,0),MATCH(Q$2,NHH.Inputs!$O$2:$W$2,0))</f>
        <v>100.0672974937565</v>
      </c>
      <c r="R17" s="86"/>
    </row>
    <row r="18" spans="1:18" s="46" customFormat="1" hidden="1" outlineLevel="1" x14ac:dyDescent="0.45">
      <c r="A18" s="6"/>
      <c r="B18" s="1"/>
      <c r="C18" s="1"/>
      <c r="D18" s="1"/>
      <c r="E18" s="1" t="s">
        <v>52</v>
      </c>
      <c r="F18" s="1" t="s">
        <v>85</v>
      </c>
      <c r="G18" s="1" t="s">
        <v>90</v>
      </c>
      <c r="H18" s="1" t="s">
        <v>45</v>
      </c>
      <c r="I18" s="8"/>
      <c r="J18" s="46">
        <f>INDEX(NHH.Inputs!$O$57:$W$78,MATCH($E18,NHH.Inputs!$E$57:$E$78,0),MATCH(J$2,NHH.Inputs!$O$2:$W$2,0))</f>
        <v>505.75164893782193</v>
      </c>
      <c r="K18" s="46">
        <f>INDEX(NHH.Inputs!$O$57:$W$78,MATCH($E18,NHH.Inputs!$E$57:$E$78,0),MATCH(K$2,NHH.Inputs!$O$2:$W$2,0))</f>
        <v>504.52108186852178</v>
      </c>
      <c r="L18" s="46">
        <f>INDEX(NHH.Inputs!$O$57:$W$78,MATCH($E18,NHH.Inputs!$E$57:$E$78,0),MATCH(L$2,NHH.Inputs!$O$2:$W$2,0))</f>
        <v>502.08383443929227</v>
      </c>
      <c r="M18" s="46">
        <f>INDEX(NHH.Inputs!$O$57:$W$78,MATCH($E18,NHH.Inputs!$E$57:$E$78,0),MATCH(M$2,NHH.Inputs!$O$2:$W$2,0))</f>
        <v>499.5957448435185</v>
      </c>
      <c r="N18" s="46">
        <f>INDEX(NHH.Inputs!$O$57:$W$78,MATCH($E18,NHH.Inputs!$E$57:$E$78,0),MATCH(N$2,NHH.Inputs!$O$2:$W$2,0))</f>
        <v>496.58554229495616</v>
      </c>
      <c r="O18" s="46">
        <f>INDEX(NHH.Inputs!$O$57:$W$78,MATCH($E18,NHH.Inputs!$E$57:$E$78,0),MATCH(O$2,NHH.Inputs!$O$2:$W$2,0))</f>
        <v>494.48641046300264</v>
      </c>
      <c r="P18" s="46">
        <f>INDEX(NHH.Inputs!$O$57:$W$78,MATCH($E18,NHH.Inputs!$E$57:$E$78,0),MATCH(P$2,NHH.Inputs!$O$2:$W$2,0))</f>
        <v>492.35514862743094</v>
      </c>
      <c r="Q18" s="46">
        <f>INDEX(NHH.Inputs!$O$57:$W$78,MATCH($E18,NHH.Inputs!$E$57:$E$78,0),MATCH(Q$2,NHH.Inputs!$O$2:$W$2,0))</f>
        <v>491.86317532171159</v>
      </c>
      <c r="R18" s="86"/>
    </row>
    <row r="19" spans="1:18" s="46" customFormat="1" hidden="1" outlineLevel="1" x14ac:dyDescent="0.45">
      <c r="A19" s="6"/>
      <c r="B19" s="1"/>
      <c r="C19" s="1"/>
      <c r="D19" s="1"/>
      <c r="E19" s="1" t="s">
        <v>74</v>
      </c>
      <c r="F19" s="1" t="s">
        <v>85</v>
      </c>
      <c r="G19" s="1" t="s">
        <v>90</v>
      </c>
      <c r="H19" s="1" t="s">
        <v>45</v>
      </c>
      <c r="I19" s="8"/>
      <c r="J19" s="46">
        <f>INDEX(NHH.Inputs!$O$57:$W$78,MATCH($E19,NHH.Inputs!$E$57:$E$78,0),MATCH(J$2,NHH.Inputs!$O$2:$W$2,0))</f>
        <v>351.08443377087252</v>
      </c>
      <c r="K19" s="46">
        <f>INDEX(NHH.Inputs!$O$57:$W$78,MATCH($E19,NHH.Inputs!$E$57:$E$78,0),MATCH(K$2,NHH.Inputs!$O$2:$W$2,0))</f>
        <v>348.74197919161077</v>
      </c>
      <c r="L19" s="46">
        <f>INDEX(NHH.Inputs!$O$57:$W$78,MATCH($E19,NHH.Inputs!$E$57:$E$78,0),MATCH(L$2,NHH.Inputs!$O$2:$W$2,0))</f>
        <v>346.51779457640345</v>
      </c>
      <c r="M19" s="46">
        <f>INDEX(NHH.Inputs!$O$57:$W$78,MATCH($E19,NHH.Inputs!$E$57:$E$78,0),MATCH(M$2,NHH.Inputs!$O$2:$W$2,0))</f>
        <v>344.29407388225383</v>
      </c>
      <c r="N19" s="46">
        <f>INDEX(NHH.Inputs!$O$57:$W$78,MATCH($E19,NHH.Inputs!$E$57:$E$78,0),MATCH(N$2,NHH.Inputs!$O$2:$W$2,0))</f>
        <v>342.02016963448261</v>
      </c>
      <c r="O19" s="46">
        <f>INDEX(NHH.Inputs!$O$57:$W$78,MATCH($E19,NHH.Inputs!$E$57:$E$78,0),MATCH(O$2,NHH.Inputs!$O$2:$W$2,0))</f>
        <v>339.8877727491157</v>
      </c>
      <c r="P19" s="46">
        <f>INDEX(NHH.Inputs!$O$57:$W$78,MATCH($E19,NHH.Inputs!$E$57:$E$78,0),MATCH(P$2,NHH.Inputs!$O$2:$W$2,0))</f>
        <v>337.87740473364482</v>
      </c>
      <c r="Q19" s="46">
        <f>INDEX(NHH.Inputs!$O$57:$W$78,MATCH($E19,NHH.Inputs!$E$57:$E$78,0),MATCH(Q$2,NHH.Inputs!$O$2:$W$2,0))</f>
        <v>335.91878462897006</v>
      </c>
      <c r="R19" s="86"/>
    </row>
    <row r="20" spans="1:18" s="46" customFormat="1" hidden="1" outlineLevel="1" x14ac:dyDescent="0.45">
      <c r="A20" s="6"/>
      <c r="B20" s="1"/>
      <c r="C20" s="1"/>
      <c r="D20" s="1"/>
      <c r="E20" s="1" t="s">
        <v>54</v>
      </c>
      <c r="F20" s="1" t="s">
        <v>85</v>
      </c>
      <c r="G20" s="1" t="s">
        <v>90</v>
      </c>
      <c r="H20" s="1" t="s">
        <v>45</v>
      </c>
      <c r="I20" s="8"/>
      <c r="J20" s="46">
        <f>INDEX(NHH.Inputs!$O$57:$W$78,MATCH($E20,NHH.Inputs!$E$57:$E$78,0),MATCH(J$2,NHH.Inputs!$O$2:$W$2,0))</f>
        <v>93.526529952831851</v>
      </c>
      <c r="K20" s="46">
        <f>INDEX(NHH.Inputs!$O$57:$W$78,MATCH($E20,NHH.Inputs!$E$57:$E$78,0),MATCH(K$2,NHH.Inputs!$O$2:$W$2,0))</f>
        <v>92.419317051198234</v>
      </c>
      <c r="L20" s="46">
        <f>INDEX(NHH.Inputs!$O$57:$W$78,MATCH($E20,NHH.Inputs!$E$57:$E$78,0),MATCH(L$2,NHH.Inputs!$O$2:$W$2,0))</f>
        <v>91.284045562042891</v>
      </c>
      <c r="M20" s="46">
        <f>INDEX(NHH.Inputs!$O$57:$W$78,MATCH($E20,NHH.Inputs!$E$57:$E$78,0),MATCH(M$2,NHH.Inputs!$O$2:$W$2,0))</f>
        <v>90.188110414350845</v>
      </c>
      <c r="N20" s="46">
        <f>INDEX(NHH.Inputs!$O$57:$W$78,MATCH($E20,NHH.Inputs!$E$57:$E$78,0),MATCH(N$2,NHH.Inputs!$O$2:$W$2,0))</f>
        <v>89.179976662174553</v>
      </c>
      <c r="O20" s="46">
        <f>INDEX(NHH.Inputs!$O$57:$W$78,MATCH($E20,NHH.Inputs!$E$57:$E$78,0),MATCH(O$2,NHH.Inputs!$O$2:$W$2,0))</f>
        <v>87.678431821241318</v>
      </c>
      <c r="P20" s="46">
        <f>INDEX(NHH.Inputs!$O$57:$W$78,MATCH($E20,NHH.Inputs!$E$57:$E$78,0),MATCH(P$2,NHH.Inputs!$O$2:$W$2,0))</f>
        <v>86.233213134419941</v>
      </c>
      <c r="Q20" s="46">
        <f>INDEX(NHH.Inputs!$O$57:$W$78,MATCH($E20,NHH.Inputs!$E$57:$E$78,0),MATCH(Q$2,NHH.Inputs!$O$2:$W$2,0))</f>
        <v>84.779433079863281</v>
      </c>
      <c r="R20" s="86"/>
    </row>
    <row r="21" spans="1:18" s="46" customFormat="1" hidden="1" outlineLevel="1" x14ac:dyDescent="0.45">
      <c r="A21" s="6"/>
      <c r="B21" s="1"/>
      <c r="C21" s="1"/>
      <c r="D21" s="1"/>
      <c r="E21" s="1" t="s">
        <v>55</v>
      </c>
      <c r="F21" s="1" t="s">
        <v>85</v>
      </c>
      <c r="G21" s="1" t="s">
        <v>90</v>
      </c>
      <c r="H21" s="1" t="s">
        <v>45</v>
      </c>
      <c r="I21" s="8"/>
      <c r="J21" s="46">
        <f>INDEX(NHH.Inputs!$O$57:$W$78,MATCH($E21,NHH.Inputs!$E$57:$E$78,0),MATCH(J$2,NHH.Inputs!$O$2:$W$2,0))</f>
        <v>271.02518414542743</v>
      </c>
      <c r="K21" s="46">
        <f>INDEX(NHH.Inputs!$O$57:$W$78,MATCH($E21,NHH.Inputs!$E$57:$E$78,0),MATCH(K$2,NHH.Inputs!$O$2:$W$2,0))</f>
        <v>269.68802357054125</v>
      </c>
      <c r="L21" s="46">
        <f>INDEX(NHH.Inputs!$O$57:$W$78,MATCH($E21,NHH.Inputs!$E$57:$E$78,0),MATCH(L$2,NHH.Inputs!$O$2:$W$2,0))</f>
        <v>268.5005609499504</v>
      </c>
      <c r="M21" s="46">
        <f>INDEX(NHH.Inputs!$O$57:$W$78,MATCH($E21,NHH.Inputs!$E$57:$E$78,0),MATCH(M$2,NHH.Inputs!$O$2:$W$2,0))</f>
        <v>267.27686794699645</v>
      </c>
      <c r="N21" s="46">
        <f>INDEX(NHH.Inputs!$O$57:$W$78,MATCH($E21,NHH.Inputs!$E$57:$E$78,0),MATCH(N$2,NHH.Inputs!$O$2:$W$2,0))</f>
        <v>265.80290034307603</v>
      </c>
      <c r="O21" s="46">
        <f>INDEX(NHH.Inputs!$O$57:$W$78,MATCH($E21,NHH.Inputs!$E$57:$E$78,0),MATCH(O$2,NHH.Inputs!$O$2:$W$2,0))</f>
        <v>264.39799798067855</v>
      </c>
      <c r="P21" s="46">
        <f>INDEX(NHH.Inputs!$O$57:$W$78,MATCH($E21,NHH.Inputs!$E$57:$E$78,0),MATCH(P$2,NHH.Inputs!$O$2:$W$2,0))</f>
        <v>263.20711466949263</v>
      </c>
      <c r="Q21" s="46">
        <f>INDEX(NHH.Inputs!$O$57:$W$78,MATCH($E21,NHH.Inputs!$E$57:$E$78,0),MATCH(Q$2,NHH.Inputs!$O$2:$W$2,0))</f>
        <v>261.97417979654836</v>
      </c>
      <c r="R21" s="86"/>
    </row>
    <row r="22" spans="1:18" s="46" customFormat="1" hidden="1" outlineLevel="1" x14ac:dyDescent="0.45">
      <c r="A22" s="6"/>
      <c r="B22" s="1"/>
      <c r="C22" s="1"/>
      <c r="D22" s="1"/>
      <c r="E22" s="1" t="s">
        <v>56</v>
      </c>
      <c r="F22" s="1" t="s">
        <v>85</v>
      </c>
      <c r="G22" s="1" t="s">
        <v>90</v>
      </c>
      <c r="H22" s="1" t="s">
        <v>45</v>
      </c>
      <c r="I22" s="8"/>
      <c r="J22" s="46">
        <f>INDEX(NHH.Inputs!$O$57:$W$78,MATCH($E22,NHH.Inputs!$E$57:$E$78,0),MATCH(J$2,NHH.Inputs!$O$2:$W$2,0))</f>
        <v>186.62415655051385</v>
      </c>
      <c r="K22" s="46">
        <f>INDEX(NHH.Inputs!$O$57:$W$78,MATCH($E22,NHH.Inputs!$E$57:$E$78,0),MATCH(K$2,NHH.Inputs!$O$2:$W$2,0))</f>
        <v>186.32097888579617</v>
      </c>
      <c r="L22" s="46">
        <f>INDEX(NHH.Inputs!$O$57:$W$78,MATCH($E22,NHH.Inputs!$E$57:$E$78,0),MATCH(L$2,NHH.Inputs!$O$2:$W$2,0))</f>
        <v>185.89903941409699</v>
      </c>
      <c r="M22" s="46">
        <f>INDEX(NHH.Inputs!$O$57:$W$78,MATCH($E22,NHH.Inputs!$E$57:$E$78,0),MATCH(M$2,NHH.Inputs!$O$2:$W$2,0))</f>
        <v>185.47709994239781</v>
      </c>
      <c r="N22" s="46">
        <f>INDEX(NHH.Inputs!$O$57:$W$78,MATCH($E22,NHH.Inputs!$E$57:$E$78,0),MATCH(N$2,NHH.Inputs!$O$2:$W$2,0))</f>
        <v>185.05516047069867</v>
      </c>
      <c r="O22" s="46">
        <f>INDEX(NHH.Inputs!$O$57:$W$78,MATCH($E22,NHH.Inputs!$E$57:$E$78,0),MATCH(O$2,NHH.Inputs!$O$2:$W$2,0))</f>
        <v>184.68829946805491</v>
      </c>
      <c r="P22" s="46">
        <f>INDEX(NHH.Inputs!$O$57:$W$78,MATCH($E22,NHH.Inputs!$E$57:$E$78,0),MATCH(P$2,NHH.Inputs!$O$2:$W$2,0))</f>
        <v>184.32142014182287</v>
      </c>
      <c r="Q22" s="46">
        <f>INDEX(NHH.Inputs!$O$57:$W$78,MATCH($E22,NHH.Inputs!$E$57:$E$78,0),MATCH(Q$2,NHH.Inputs!$O$2:$W$2,0))</f>
        <v>184.30890563747997</v>
      </c>
      <c r="R22" s="86"/>
    </row>
    <row r="23" spans="1:18" s="46" customFormat="1" hidden="1" outlineLevel="1" x14ac:dyDescent="0.45">
      <c r="A23" s="6"/>
      <c r="B23" s="1"/>
      <c r="C23" s="1"/>
      <c r="D23" s="1"/>
      <c r="E23" s="1" t="s">
        <v>57</v>
      </c>
      <c r="F23" s="1" t="s">
        <v>85</v>
      </c>
      <c r="G23" s="1" t="s">
        <v>90</v>
      </c>
      <c r="H23" s="1" t="s">
        <v>45</v>
      </c>
      <c r="I23" s="8"/>
      <c r="J23" s="46">
        <f>INDEX(NHH.Inputs!$O$57:$W$78,MATCH($E23,NHH.Inputs!$E$57:$E$78,0),MATCH(J$2,NHH.Inputs!$O$2:$W$2,0))</f>
        <v>55.18</v>
      </c>
      <c r="K23" s="46">
        <f>INDEX(NHH.Inputs!$O$57:$W$78,MATCH($E23,NHH.Inputs!$E$57:$E$78,0),MATCH(K$2,NHH.Inputs!$O$2:$W$2,0))</f>
        <v>54.42</v>
      </c>
      <c r="L23" s="46">
        <f>INDEX(NHH.Inputs!$O$57:$W$78,MATCH($E23,NHH.Inputs!$E$57:$E$78,0),MATCH(L$2,NHH.Inputs!$O$2:$W$2,0))</f>
        <v>53.99</v>
      </c>
      <c r="M23" s="46">
        <f>INDEX(NHH.Inputs!$O$57:$W$78,MATCH($E23,NHH.Inputs!$E$57:$E$78,0),MATCH(M$2,NHH.Inputs!$O$2:$W$2,0))</f>
        <v>53.59</v>
      </c>
      <c r="N23" s="46">
        <f>INDEX(NHH.Inputs!$O$57:$W$78,MATCH($E23,NHH.Inputs!$E$57:$E$78,0),MATCH(N$2,NHH.Inputs!$O$2:$W$2,0))</f>
        <v>53.24</v>
      </c>
      <c r="O23" s="46">
        <f>INDEX(NHH.Inputs!$O$57:$W$78,MATCH($E23,NHH.Inputs!$E$57:$E$78,0),MATCH(O$2,NHH.Inputs!$O$2:$W$2,0))</f>
        <v>52.940000000000005</v>
      </c>
      <c r="P23" s="46">
        <f>INDEX(NHH.Inputs!$O$57:$W$78,MATCH($E23,NHH.Inputs!$E$57:$E$78,0),MATCH(P$2,NHH.Inputs!$O$2:$W$2,0))</f>
        <v>52.660000000000004</v>
      </c>
      <c r="Q23" s="46">
        <f>INDEX(NHH.Inputs!$O$57:$W$78,MATCH($E23,NHH.Inputs!$E$57:$E$78,0),MATCH(Q$2,NHH.Inputs!$O$2:$W$2,0))</f>
        <v>52.42</v>
      </c>
      <c r="R23" s="86"/>
    </row>
    <row r="24" spans="1:18" s="46" customFormat="1" hidden="1" outlineLevel="1" x14ac:dyDescent="0.45">
      <c r="A24" s="6"/>
      <c r="B24" s="1"/>
      <c r="C24" s="1"/>
      <c r="D24" s="1"/>
      <c r="E24" s="1" t="s">
        <v>58</v>
      </c>
      <c r="F24" s="1" t="s">
        <v>85</v>
      </c>
      <c r="G24" s="1" t="s">
        <v>90</v>
      </c>
      <c r="H24" s="1" t="s">
        <v>45</v>
      </c>
      <c r="I24" s="8"/>
      <c r="J24" s="46">
        <f>INDEX(NHH.Inputs!$O$57:$W$78,MATCH($E24,NHH.Inputs!$E$57:$E$78,0),MATCH(J$2,NHH.Inputs!$O$2:$W$2,0))</f>
        <v>77.304172110456832</v>
      </c>
      <c r="K24" s="46">
        <f>INDEX(NHH.Inputs!$O$57:$W$78,MATCH($E24,NHH.Inputs!$E$57:$E$78,0),MATCH(K$2,NHH.Inputs!$O$2:$W$2,0))</f>
        <v>77.22736088252914</v>
      </c>
      <c r="L24" s="46">
        <f>INDEX(NHH.Inputs!$O$57:$W$78,MATCH($E24,NHH.Inputs!$E$57:$E$78,0),MATCH(L$2,NHH.Inputs!$O$2:$W$2,0))</f>
        <v>77.096997934131977</v>
      </c>
      <c r="M24" s="46">
        <f>INDEX(NHH.Inputs!$O$57:$W$78,MATCH($E24,NHH.Inputs!$E$57:$E$78,0),MATCH(M$2,NHH.Inputs!$O$2:$W$2,0))</f>
        <v>76.922888614739733</v>
      </c>
      <c r="N24" s="46">
        <f>INDEX(NHH.Inputs!$O$57:$W$78,MATCH($E24,NHH.Inputs!$E$57:$E$78,0),MATCH(N$2,NHH.Inputs!$O$2:$W$2,0))</f>
        <v>76.715942704936722</v>
      </c>
      <c r="O24" s="46">
        <f>INDEX(NHH.Inputs!$O$57:$W$78,MATCH($E24,NHH.Inputs!$E$57:$E$78,0),MATCH(O$2,NHH.Inputs!$O$2:$W$2,0))</f>
        <v>76.789761645818075</v>
      </c>
      <c r="P24" s="46">
        <f>INDEX(NHH.Inputs!$O$57:$W$78,MATCH($E24,NHH.Inputs!$E$57:$E$78,0),MATCH(P$2,NHH.Inputs!$O$2:$W$2,0))</f>
        <v>76.86335640555798</v>
      </c>
      <c r="Q24" s="46">
        <f>INDEX(NHH.Inputs!$O$57:$W$78,MATCH($E24,NHH.Inputs!$E$57:$E$78,0),MATCH(Q$2,NHH.Inputs!$O$2:$W$2,0))</f>
        <v>76.936723264557941</v>
      </c>
      <c r="R24" s="86"/>
    </row>
    <row r="25" spans="1:18" s="46" customFormat="1" hidden="1" outlineLevel="1" x14ac:dyDescent="0.45">
      <c r="A25" s="6"/>
      <c r="B25" s="1"/>
      <c r="C25" s="1"/>
      <c r="D25" s="1"/>
      <c r="E25" s="1" t="s">
        <v>75</v>
      </c>
      <c r="F25" s="1" t="s">
        <v>85</v>
      </c>
      <c r="G25" s="1" t="s">
        <v>90</v>
      </c>
      <c r="H25" s="1" t="s">
        <v>45</v>
      </c>
      <c r="I25" s="8"/>
      <c r="J25" s="46">
        <f>INDEX(NHH.Inputs!$O$57:$W$78,MATCH($E25,NHH.Inputs!$E$57:$E$78,0),MATCH(J$2,NHH.Inputs!$O$2:$W$2,0))</f>
        <v>55.132350903812245</v>
      </c>
      <c r="K25" s="46">
        <f>INDEX(NHH.Inputs!$O$57:$W$78,MATCH($E25,NHH.Inputs!$E$57:$E$78,0),MATCH(K$2,NHH.Inputs!$O$2:$W$2,0))</f>
        <v>55.054486504507757</v>
      </c>
      <c r="L25" s="46">
        <f>INDEX(NHH.Inputs!$O$57:$W$78,MATCH($E25,NHH.Inputs!$E$57:$E$78,0),MATCH(L$2,NHH.Inputs!$O$2:$W$2,0))</f>
        <v>54.922496778377564</v>
      </c>
      <c r="M25" s="46">
        <f>INDEX(NHH.Inputs!$O$57:$W$78,MATCH($E25,NHH.Inputs!$E$57:$E$78,0),MATCH(M$2,NHH.Inputs!$O$2:$W$2,0))</f>
        <v>54.746197489958604</v>
      </c>
      <c r="N25" s="46">
        <f>INDEX(NHH.Inputs!$O$57:$W$78,MATCH($E25,NHH.Inputs!$E$57:$E$78,0),MATCH(N$2,NHH.Inputs!$O$2:$W$2,0))</f>
        <v>54.53650867444825</v>
      </c>
      <c r="O25" s="46">
        <f>INDEX(NHH.Inputs!$O$57:$W$78,MATCH($E25,NHH.Inputs!$E$57:$E$78,0),MATCH(O$2,NHH.Inputs!$O$2:$W$2,0))</f>
        <v>54.607041882280939</v>
      </c>
      <c r="P25" s="46">
        <f>INDEX(NHH.Inputs!$O$57:$W$78,MATCH($E25,NHH.Inputs!$E$57:$E$78,0),MATCH(P$2,NHH.Inputs!$O$2:$W$2,0))</f>
        <v>54.676818063168852</v>
      </c>
      <c r="Q25" s="46">
        <f>INDEX(NHH.Inputs!$O$57:$W$78,MATCH($E25,NHH.Inputs!$E$57:$E$78,0),MATCH(Q$2,NHH.Inputs!$O$2:$W$2,0))</f>
        <v>54.74584337180265</v>
      </c>
      <c r="R25" s="86"/>
    </row>
    <row r="26" spans="1:18" s="46" customFormat="1" hidden="1" outlineLevel="1" x14ac:dyDescent="0.45">
      <c r="A26" s="6"/>
      <c r="B26" s="1"/>
      <c r="C26" s="1"/>
      <c r="D26" s="1"/>
      <c r="E26" s="1" t="s">
        <v>76</v>
      </c>
      <c r="F26" s="1" t="s">
        <v>85</v>
      </c>
      <c r="G26" s="1" t="s">
        <v>90</v>
      </c>
      <c r="H26" s="1" t="s">
        <v>45</v>
      </c>
      <c r="I26" s="8"/>
      <c r="J26" s="46">
        <f>INDEX(NHH.Inputs!$O$57:$W$78,MATCH($E26,NHH.Inputs!$E$57:$E$78,0),MATCH(J$2,NHH.Inputs!$O$2:$W$2,0))</f>
        <v>22.171821206644587</v>
      </c>
      <c r="K26" s="46">
        <f>INDEX(NHH.Inputs!$O$57:$W$78,MATCH($E26,NHH.Inputs!$E$57:$E$78,0),MATCH(K$2,NHH.Inputs!$O$2:$W$2,0))</f>
        <v>22.172874378021387</v>
      </c>
      <c r="L26" s="46">
        <f>INDEX(NHH.Inputs!$O$57:$W$78,MATCH($E26,NHH.Inputs!$E$57:$E$78,0),MATCH(L$2,NHH.Inputs!$O$2:$W$2,0))</f>
        <v>22.174501155754417</v>
      </c>
      <c r="M26" s="46">
        <f>INDEX(NHH.Inputs!$O$57:$W$78,MATCH($E26,NHH.Inputs!$E$57:$E$78,0),MATCH(M$2,NHH.Inputs!$O$2:$W$2,0))</f>
        <v>22.176691124781126</v>
      </c>
      <c r="N26" s="46">
        <f>INDEX(NHH.Inputs!$O$57:$W$78,MATCH($E26,NHH.Inputs!$E$57:$E$78,0),MATCH(N$2,NHH.Inputs!$O$2:$W$2,0))</f>
        <v>22.179434030488473</v>
      </c>
      <c r="O26" s="46">
        <f>INDEX(NHH.Inputs!$O$57:$W$78,MATCH($E26,NHH.Inputs!$E$57:$E$78,0),MATCH(O$2,NHH.Inputs!$O$2:$W$2,0))</f>
        <v>22.182719763537133</v>
      </c>
      <c r="P26" s="46">
        <f>INDEX(NHH.Inputs!$O$57:$W$78,MATCH($E26,NHH.Inputs!$E$57:$E$78,0),MATCH(P$2,NHH.Inputs!$O$2:$W$2,0))</f>
        <v>22.186538342389127</v>
      </c>
      <c r="Q26" s="46">
        <f>INDEX(NHH.Inputs!$O$57:$W$78,MATCH($E26,NHH.Inputs!$E$57:$E$78,0),MATCH(Q$2,NHH.Inputs!$O$2:$W$2,0))</f>
        <v>22.190879892755298</v>
      </c>
      <c r="R26" s="86"/>
    </row>
    <row r="27" spans="1:18" s="46" customFormat="1" hidden="1" outlineLevel="1" x14ac:dyDescent="0.45">
      <c r="A27" s="6"/>
      <c r="B27" s="1"/>
      <c r="C27" s="1"/>
      <c r="D27" s="1"/>
      <c r="E27" s="1" t="s">
        <v>59</v>
      </c>
      <c r="F27" s="1" t="s">
        <v>85</v>
      </c>
      <c r="G27" s="1" t="s">
        <v>90</v>
      </c>
      <c r="H27" s="1" t="s">
        <v>45</v>
      </c>
      <c r="I27" s="8"/>
      <c r="J27" s="46">
        <f>INDEX(NHH.Inputs!$O$57:$W$78,MATCH($E27,NHH.Inputs!$E$57:$E$78,0),MATCH(J$2,NHH.Inputs!$O$2:$W$2,0))</f>
        <v>36.390139397294583</v>
      </c>
      <c r="K27" s="46">
        <f>INDEX(NHH.Inputs!$O$57:$W$78,MATCH($E27,NHH.Inputs!$E$57:$E$78,0),MATCH(K$2,NHH.Inputs!$O$2:$W$2,0))</f>
        <v>35.891843192222503</v>
      </c>
      <c r="L27" s="46">
        <f>INDEX(NHH.Inputs!$O$57:$W$78,MATCH($E27,NHH.Inputs!$E$57:$E$78,0),MATCH(L$2,NHH.Inputs!$O$2:$W$2,0))</f>
        <v>35.407144452885362</v>
      </c>
      <c r="M27" s="46">
        <f>INDEX(NHH.Inputs!$O$57:$W$78,MATCH($E27,NHH.Inputs!$E$57:$E$78,0),MATCH(M$2,NHH.Inputs!$O$2:$W$2,0))</f>
        <v>34.93549446116274</v>
      </c>
      <c r="N27" s="46">
        <f>INDEX(NHH.Inputs!$O$57:$W$78,MATCH($E27,NHH.Inputs!$E$57:$E$78,0),MATCH(N$2,NHH.Inputs!$O$2:$W$2,0))</f>
        <v>34.476373613108933</v>
      </c>
      <c r="O27" s="46">
        <f>INDEX(NHH.Inputs!$O$57:$W$78,MATCH($E27,NHH.Inputs!$E$57:$E$78,0),MATCH(O$2,NHH.Inputs!$O$2:$W$2,0))</f>
        <v>34.029289513761654</v>
      </c>
      <c r="P27" s="46">
        <f>INDEX(NHH.Inputs!$O$57:$W$78,MATCH($E27,NHH.Inputs!$E$57:$E$78,0),MATCH(P$2,NHH.Inputs!$O$2:$W$2,0))</f>
        <v>33.593775219637202</v>
      </c>
      <c r="Q27" s="46">
        <f>INDEX(NHH.Inputs!$O$57:$W$78,MATCH($E27,NHH.Inputs!$E$57:$E$78,0),MATCH(Q$2,NHH.Inputs!$O$2:$W$2,0))</f>
        <v>33.16938761572235</v>
      </c>
      <c r="R27" s="86"/>
    </row>
    <row r="28" spans="1:18" s="46" customFormat="1" hidden="1" outlineLevel="1" x14ac:dyDescent="0.45">
      <c r="A28" s="6"/>
      <c r="B28" s="1"/>
      <c r="C28" s="1"/>
      <c r="D28" s="1"/>
      <c r="E28" s="1" t="s">
        <v>60</v>
      </c>
      <c r="F28" s="1" t="s">
        <v>85</v>
      </c>
      <c r="G28" s="1" t="s">
        <v>90</v>
      </c>
      <c r="H28" s="1" t="s">
        <v>45</v>
      </c>
      <c r="I28" s="8"/>
      <c r="J28" s="46">
        <f>INDEX(NHH.Inputs!$O$57:$W$78,MATCH($E28,NHH.Inputs!$E$57:$E$78,0),MATCH(J$2,NHH.Inputs!$O$2:$W$2,0))</f>
        <v>130.0911427889119</v>
      </c>
      <c r="K28" s="46">
        <f>INDEX(NHH.Inputs!$O$57:$W$78,MATCH($E28,NHH.Inputs!$E$57:$E$78,0),MATCH(K$2,NHH.Inputs!$O$2:$W$2,0))</f>
        <v>130.41276841524663</v>
      </c>
      <c r="L28" s="46">
        <f>INDEX(NHH.Inputs!$O$57:$W$78,MATCH($E28,NHH.Inputs!$E$57:$E$78,0),MATCH(L$2,NHH.Inputs!$O$2:$W$2,0))</f>
        <v>130.75288686310958</v>
      </c>
      <c r="M28" s="46">
        <f>INDEX(NHH.Inputs!$O$57:$W$78,MATCH($E28,NHH.Inputs!$E$57:$E$78,0),MATCH(M$2,NHH.Inputs!$O$2:$W$2,0))</f>
        <v>131.11343565492473</v>
      </c>
      <c r="N28" s="46">
        <f>INDEX(NHH.Inputs!$O$57:$W$78,MATCH($E28,NHH.Inputs!$E$57:$E$78,0),MATCH(N$2,NHH.Inputs!$O$2:$W$2,0))</f>
        <v>131.4903777796882</v>
      </c>
      <c r="O28" s="46">
        <f>INDEX(NHH.Inputs!$O$57:$W$78,MATCH($E28,NHH.Inputs!$E$57:$E$78,0),MATCH(O$2,NHH.Inputs!$O$2:$W$2,0))</f>
        <v>131.98864237129789</v>
      </c>
      <c r="P28" s="46">
        <f>INDEX(NHH.Inputs!$O$57:$W$78,MATCH($E28,NHH.Inputs!$E$57:$E$78,0),MATCH(P$2,NHH.Inputs!$O$2:$W$2,0))</f>
        <v>132.49856892299385</v>
      </c>
      <c r="Q28" s="46">
        <f>INDEX(NHH.Inputs!$O$57:$W$78,MATCH($E28,NHH.Inputs!$E$57:$E$78,0),MATCH(Q$2,NHH.Inputs!$O$2:$W$2,0))</f>
        <v>133.01858350455356</v>
      </c>
      <c r="R28" s="86"/>
    </row>
    <row r="29" spans="1:18" s="46" customFormat="1" hidden="1" outlineLevel="1" x14ac:dyDescent="0.45">
      <c r="A29" s="6"/>
      <c r="B29" s="1"/>
      <c r="C29" s="1"/>
      <c r="D29" s="1"/>
      <c r="E29" s="1" t="s">
        <v>61</v>
      </c>
      <c r="F29" s="1" t="s">
        <v>85</v>
      </c>
      <c r="G29" s="1" t="s">
        <v>90</v>
      </c>
      <c r="H29" s="1" t="s">
        <v>45</v>
      </c>
      <c r="I29" s="8"/>
      <c r="J29" s="46">
        <f>INDEX(NHH.Inputs!$O$57:$W$78,MATCH($E29,NHH.Inputs!$E$57:$E$78,0),MATCH(J$2,NHH.Inputs!$O$2:$W$2,0))</f>
        <v>25.602433657738924</v>
      </c>
      <c r="K29" s="46">
        <f>INDEX(NHH.Inputs!$O$57:$W$78,MATCH($E29,NHH.Inputs!$E$57:$E$78,0),MATCH(K$2,NHH.Inputs!$O$2:$W$2,0))</f>
        <v>25.569085299109119</v>
      </c>
      <c r="L29" s="46">
        <f>INDEX(NHH.Inputs!$O$57:$W$78,MATCH($E29,NHH.Inputs!$E$57:$E$78,0),MATCH(L$2,NHH.Inputs!$O$2:$W$2,0))</f>
        <v>25.503814683111536</v>
      </c>
      <c r="M29" s="46">
        <f>INDEX(NHH.Inputs!$O$57:$W$78,MATCH($E29,NHH.Inputs!$E$57:$E$78,0),MATCH(M$2,NHH.Inputs!$O$2:$W$2,0))</f>
        <v>25.444721437194481</v>
      </c>
      <c r="N29" s="46">
        <f>INDEX(NHH.Inputs!$O$57:$W$78,MATCH($E29,NHH.Inputs!$E$57:$E$78,0),MATCH(N$2,NHH.Inputs!$O$2:$W$2,0))</f>
        <v>25.391316284638673</v>
      </c>
      <c r="O29" s="46">
        <f>INDEX(NHH.Inputs!$O$57:$W$78,MATCH($E29,NHH.Inputs!$E$57:$E$78,0),MATCH(O$2,NHH.Inputs!$O$2:$W$2,0))</f>
        <v>25.343148701738659</v>
      </c>
      <c r="P29" s="46">
        <f>INDEX(NHH.Inputs!$O$57:$W$78,MATCH($E29,NHH.Inputs!$E$57:$E$78,0),MATCH(P$2,NHH.Inputs!$O$2:$W$2,0))</f>
        <v>25.299803848382091</v>
      </c>
      <c r="Q29" s="46">
        <f>INDEX(NHH.Inputs!$O$57:$W$78,MATCH($E29,NHH.Inputs!$E$57:$E$78,0),MATCH(Q$2,NHH.Inputs!$O$2:$W$2,0))</f>
        <v>25.260899741741611</v>
      </c>
      <c r="R29" s="86"/>
    </row>
    <row r="30" spans="1:18" s="50" customFormat="1" collapsed="1" x14ac:dyDescent="0.45">
      <c r="A30" s="6"/>
      <c r="B30" s="1"/>
      <c r="C30" s="1"/>
      <c r="D30" s="1"/>
      <c r="E30" s="1"/>
      <c r="F30" s="1"/>
      <c r="G30" s="1"/>
      <c r="H30" s="1"/>
      <c r="I30" s="1"/>
      <c r="R30" s="86"/>
    </row>
    <row r="31" spans="1:18" s="91" customFormat="1" ht="13.15" x14ac:dyDescent="0.35">
      <c r="A31" s="90" t="s">
        <v>97</v>
      </c>
      <c r="B31" s="90"/>
      <c r="C31" s="90"/>
      <c r="D31" s="90"/>
      <c r="E31" s="90"/>
      <c r="F31" s="90"/>
      <c r="G31" s="90"/>
      <c r="H31" s="90"/>
      <c r="I31" s="90"/>
    </row>
    <row r="32" spans="1:18" s="50" customFormat="1" x14ac:dyDescent="0.45">
      <c r="A32" s="6"/>
      <c r="B32" s="1"/>
      <c r="C32" s="1"/>
      <c r="D32" s="1"/>
      <c r="E32" s="1"/>
      <c r="F32" s="1"/>
      <c r="G32" s="1"/>
      <c r="H32" s="1"/>
      <c r="I32" s="1"/>
      <c r="R32" s="86"/>
    </row>
    <row r="33" spans="5:17" x14ac:dyDescent="0.45">
      <c r="E33" s="1" t="s">
        <v>36</v>
      </c>
      <c r="F33" s="1" t="s">
        <v>85</v>
      </c>
      <c r="G33" s="1" t="s">
        <v>97</v>
      </c>
      <c r="H33" s="1" t="s">
        <v>45</v>
      </c>
      <c r="I33" s="11"/>
      <c r="J33" s="108"/>
      <c r="K33" s="108"/>
      <c r="L33" s="108">
        <f>IF(L9="-","",AVERAGE(J9:L9))</f>
        <v>274.46205487321066</v>
      </c>
      <c r="M33" s="108">
        <f t="shared" ref="M33:N33" si="0">IF(M9="-","",AVERAGE(K9:M9))</f>
        <v>273.10331868383855</v>
      </c>
      <c r="N33" s="108">
        <f t="shared" si="0"/>
        <v>271.95537116935554</v>
      </c>
      <c r="O33" s="108">
        <f>IF(O9="-","",AVERAGE(M9:O9))</f>
        <v>271.02580616683082</v>
      </c>
      <c r="P33" s="108">
        <f t="shared" ref="P33" si="1">IF(P9="-","",AVERAGE(N9:P9))</f>
        <v>270.09526430889667</v>
      </c>
      <c r="Q33" s="108">
        <f t="shared" ref="Q33" si="2">IF(Q9="-","",AVERAGE(O9:Q9))</f>
        <v>269.16361393125106</v>
      </c>
    </row>
    <row r="34" spans="5:17" hidden="1" outlineLevel="1" x14ac:dyDescent="0.45">
      <c r="E34" s="1" t="s">
        <v>46</v>
      </c>
      <c r="F34" s="1" t="s">
        <v>85</v>
      </c>
      <c r="G34" s="1" t="s">
        <v>97</v>
      </c>
      <c r="H34" s="1" t="s">
        <v>45</v>
      </c>
      <c r="I34" s="8"/>
      <c r="J34" s="108"/>
      <c r="K34" s="108"/>
      <c r="L34" s="108" t="str">
        <f t="shared" ref="L34:L53" si="3">IF(L10="-","",AVERAGE(J10:L10))</f>
        <v/>
      </c>
      <c r="M34" s="108" t="str">
        <f t="shared" ref="M34:M53" si="4">IF(M10="-","",AVERAGE(K10:M10))</f>
        <v/>
      </c>
      <c r="N34" s="108" t="str">
        <f t="shared" ref="N34:O49" si="5">IF(N10="-","",AVERAGE(L10:N10))</f>
        <v/>
      </c>
      <c r="O34" s="108" t="str">
        <f t="shared" si="5"/>
        <v/>
      </c>
      <c r="P34" s="108" t="str">
        <f t="shared" ref="P34:P53" si="6">IF(P10="-","",AVERAGE(N10:P10))</f>
        <v/>
      </c>
      <c r="Q34" s="108" t="str">
        <f t="shared" ref="Q34:Q53" si="7">IF(Q10="-","",AVERAGE(O10:Q10))</f>
        <v/>
      </c>
    </row>
    <row r="35" spans="5:17" hidden="1" outlineLevel="1" x14ac:dyDescent="0.45">
      <c r="E35" s="1" t="s">
        <v>47</v>
      </c>
      <c r="F35" s="1" t="s">
        <v>85</v>
      </c>
      <c r="G35" s="1" t="s">
        <v>97</v>
      </c>
      <c r="H35" s="1" t="s">
        <v>45</v>
      </c>
      <c r="I35" s="8"/>
      <c r="J35" s="108"/>
      <c r="K35" s="108"/>
      <c r="L35" s="108" t="str">
        <f t="shared" si="3"/>
        <v/>
      </c>
      <c r="M35" s="108" t="str">
        <f t="shared" si="4"/>
        <v/>
      </c>
      <c r="N35" s="108" t="str">
        <f t="shared" si="5"/>
        <v/>
      </c>
      <c r="O35" s="108" t="str">
        <f t="shared" ref="O35:O53" si="8">IF(O11="-","",AVERAGE(M11:O11))</f>
        <v/>
      </c>
      <c r="P35" s="108" t="str">
        <f t="shared" si="6"/>
        <v/>
      </c>
      <c r="Q35" s="108" t="str">
        <f t="shared" si="7"/>
        <v/>
      </c>
    </row>
    <row r="36" spans="5:17" hidden="1" outlineLevel="1" x14ac:dyDescent="0.45">
      <c r="E36" s="1" t="s">
        <v>48</v>
      </c>
      <c r="F36" s="1" t="s">
        <v>85</v>
      </c>
      <c r="G36" s="1" t="s">
        <v>97</v>
      </c>
      <c r="H36" s="1" t="s">
        <v>45</v>
      </c>
      <c r="I36" s="8"/>
      <c r="J36" s="108"/>
      <c r="K36" s="108"/>
      <c r="L36" s="108">
        <f t="shared" si="3"/>
        <v>229.39826391111515</v>
      </c>
      <c r="M36" s="108">
        <f t="shared" si="4"/>
        <v>229.12453680953089</v>
      </c>
      <c r="N36" s="108">
        <f t="shared" si="5"/>
        <v>228.51362879296843</v>
      </c>
      <c r="O36" s="108">
        <f t="shared" si="8"/>
        <v>228.1022944546809</v>
      </c>
      <c r="P36" s="108">
        <f t="shared" si="6"/>
        <v>227.71019842694886</v>
      </c>
      <c r="Q36" s="108">
        <f t="shared" si="7"/>
        <v>227.57524615497081</v>
      </c>
    </row>
    <row r="37" spans="5:17" hidden="1" outlineLevel="1" x14ac:dyDescent="0.45">
      <c r="E37" s="9" t="s">
        <v>70</v>
      </c>
      <c r="F37" s="1" t="s">
        <v>85</v>
      </c>
      <c r="G37" s="1" t="s">
        <v>97</v>
      </c>
      <c r="H37" s="1" t="s">
        <v>45</v>
      </c>
      <c r="I37" s="8"/>
      <c r="J37" s="108"/>
      <c r="K37" s="108"/>
      <c r="L37" s="108">
        <f t="shared" si="3"/>
        <v>154.75095534076294</v>
      </c>
      <c r="M37" s="108">
        <f t="shared" si="4"/>
        <v>154.52048269410929</v>
      </c>
      <c r="N37" s="108">
        <f t="shared" si="5"/>
        <v>154.05799960096678</v>
      </c>
      <c r="O37" s="108">
        <f t="shared" si="8"/>
        <v>153.74456491818032</v>
      </c>
      <c r="P37" s="108">
        <f t="shared" si="6"/>
        <v>153.43100450684611</v>
      </c>
      <c r="Q37" s="108">
        <f t="shared" si="7"/>
        <v>153.26942123721028</v>
      </c>
    </row>
    <row r="38" spans="5:17" hidden="1" outlineLevel="1" x14ac:dyDescent="0.45">
      <c r="E38" s="9" t="s">
        <v>72</v>
      </c>
      <c r="F38" s="1" t="s">
        <v>85</v>
      </c>
      <c r="G38" s="1" t="s">
        <v>97</v>
      </c>
      <c r="H38" s="1" t="s">
        <v>45</v>
      </c>
      <c r="I38" s="8"/>
      <c r="J38" s="108"/>
      <c r="K38" s="108"/>
      <c r="L38" s="108">
        <f t="shared" si="3"/>
        <v>74.647308570352223</v>
      </c>
      <c r="M38" s="108">
        <f t="shared" si="4"/>
        <v>74.604054115421604</v>
      </c>
      <c r="N38" s="108">
        <f t="shared" si="5"/>
        <v>74.455629192001652</v>
      </c>
      <c r="O38" s="108">
        <f t="shared" si="8"/>
        <v>74.357729536500599</v>
      </c>
      <c r="P38" s="108">
        <f t="shared" si="6"/>
        <v>74.279193920102742</v>
      </c>
      <c r="Q38" s="108">
        <f t="shared" si="7"/>
        <v>74.305824917760518</v>
      </c>
    </row>
    <row r="39" spans="5:17" hidden="1" outlineLevel="1" x14ac:dyDescent="0.45">
      <c r="E39" s="1" t="s">
        <v>49</v>
      </c>
      <c r="F39" s="1" t="s">
        <v>85</v>
      </c>
      <c r="G39" s="1" t="s">
        <v>97</v>
      </c>
      <c r="H39" s="1" t="s">
        <v>45</v>
      </c>
      <c r="I39" s="8"/>
      <c r="J39" s="108"/>
      <c r="K39" s="108"/>
      <c r="L39" s="108">
        <f t="shared" si="3"/>
        <v>340.81700088711995</v>
      </c>
      <c r="M39" s="108">
        <f t="shared" si="4"/>
        <v>336.15131148396432</v>
      </c>
      <c r="N39" s="108">
        <f t="shared" si="5"/>
        <v>331.2034355588699</v>
      </c>
      <c r="O39" s="108">
        <f t="shared" si="8"/>
        <v>327.29640953265152</v>
      </c>
      <c r="P39" s="108">
        <f t="shared" si="6"/>
        <v>324.12005027516346</v>
      </c>
      <c r="Q39" s="108">
        <f t="shared" si="7"/>
        <v>321.91774266108308</v>
      </c>
    </row>
    <row r="40" spans="5:17" hidden="1" outlineLevel="1" x14ac:dyDescent="0.45">
      <c r="E40" s="1" t="s">
        <v>50</v>
      </c>
      <c r="F40" s="1" t="s">
        <v>85</v>
      </c>
      <c r="G40" s="1" t="s">
        <v>97</v>
      </c>
      <c r="H40" s="1" t="s">
        <v>45</v>
      </c>
      <c r="I40" s="8"/>
      <c r="J40" s="108"/>
      <c r="K40" s="108"/>
      <c r="L40" s="108">
        <f t="shared" si="3"/>
        <v>151.54350112295538</v>
      </c>
      <c r="M40" s="108">
        <f t="shared" si="4"/>
        <v>149.92146177916285</v>
      </c>
      <c r="N40" s="108">
        <f t="shared" si="5"/>
        <v>148.35638405449475</v>
      </c>
      <c r="O40" s="108">
        <f t="shared" si="8"/>
        <v>146.90442627925415</v>
      </c>
      <c r="P40" s="108">
        <f t="shared" si="6"/>
        <v>145.50826229607563</v>
      </c>
      <c r="Q40" s="108">
        <f t="shared" si="7"/>
        <v>144.19171671074216</v>
      </c>
    </row>
    <row r="41" spans="5:17" hidden="1" outlineLevel="1" x14ac:dyDescent="0.45">
      <c r="E41" s="1" t="s">
        <v>51</v>
      </c>
      <c r="F41" s="1" t="s">
        <v>85</v>
      </c>
      <c r="G41" s="1" t="s">
        <v>97</v>
      </c>
      <c r="H41" s="1" t="s">
        <v>45</v>
      </c>
      <c r="I41" s="8"/>
      <c r="J41" s="108"/>
      <c r="K41" s="108"/>
      <c r="L41" s="108">
        <f t="shared" si="3"/>
        <v>101.76727280187394</v>
      </c>
      <c r="M41" s="108">
        <f t="shared" si="4"/>
        <v>101.53150382618911</v>
      </c>
      <c r="N41" s="108">
        <f t="shared" si="5"/>
        <v>101.34892755632789</v>
      </c>
      <c r="O41" s="108">
        <f t="shared" si="8"/>
        <v>101.14738788053687</v>
      </c>
      <c r="P41" s="108">
        <f t="shared" si="6"/>
        <v>100.80872350593329</v>
      </c>
      <c r="Q41" s="108">
        <f t="shared" si="7"/>
        <v>100.48024666006945</v>
      </c>
    </row>
    <row r="42" spans="5:17" hidden="1" outlineLevel="1" x14ac:dyDescent="0.45">
      <c r="E42" s="1" t="s">
        <v>52</v>
      </c>
      <c r="F42" s="1" t="s">
        <v>85</v>
      </c>
      <c r="G42" s="1" t="s">
        <v>97</v>
      </c>
      <c r="H42" s="1" t="s">
        <v>45</v>
      </c>
      <c r="I42" s="8"/>
      <c r="J42" s="108"/>
      <c r="K42" s="108"/>
      <c r="L42" s="108">
        <f t="shared" si="3"/>
        <v>504.11885508187862</v>
      </c>
      <c r="M42" s="108">
        <f t="shared" si="4"/>
        <v>502.06688705044417</v>
      </c>
      <c r="N42" s="108">
        <f t="shared" si="5"/>
        <v>499.42170719258894</v>
      </c>
      <c r="O42" s="108">
        <f t="shared" si="8"/>
        <v>496.8892325338258</v>
      </c>
      <c r="P42" s="108">
        <f t="shared" si="6"/>
        <v>494.47570046179658</v>
      </c>
      <c r="Q42" s="108">
        <f t="shared" si="7"/>
        <v>492.9015781373817</v>
      </c>
    </row>
    <row r="43" spans="5:17" hidden="1" outlineLevel="1" x14ac:dyDescent="0.45">
      <c r="E43" s="1" t="s">
        <v>74</v>
      </c>
      <c r="F43" s="1" t="s">
        <v>85</v>
      </c>
      <c r="G43" s="1" t="s">
        <v>97</v>
      </c>
      <c r="H43" s="1" t="s">
        <v>45</v>
      </c>
      <c r="I43" s="8"/>
      <c r="J43" s="108"/>
      <c r="K43" s="108"/>
      <c r="L43" s="108">
        <f t="shared" si="3"/>
        <v>348.7814025129623</v>
      </c>
      <c r="M43" s="108">
        <f t="shared" si="4"/>
        <v>346.51794921675599</v>
      </c>
      <c r="N43" s="108">
        <f t="shared" si="5"/>
        <v>344.27734603104665</v>
      </c>
      <c r="O43" s="108">
        <f t="shared" si="8"/>
        <v>342.06733875528408</v>
      </c>
      <c r="P43" s="108">
        <f t="shared" si="6"/>
        <v>339.92844903908104</v>
      </c>
      <c r="Q43" s="108">
        <f t="shared" si="7"/>
        <v>337.89465403724353</v>
      </c>
    </row>
    <row r="44" spans="5:17" hidden="1" outlineLevel="1" x14ac:dyDescent="0.45">
      <c r="E44" s="1" t="s">
        <v>54</v>
      </c>
      <c r="F44" s="1" t="s">
        <v>85</v>
      </c>
      <c r="G44" s="1" t="s">
        <v>97</v>
      </c>
      <c r="H44" s="1" t="s">
        <v>45</v>
      </c>
      <c r="I44" s="8"/>
      <c r="J44" s="108"/>
      <c r="K44" s="108"/>
      <c r="L44" s="108">
        <f t="shared" si="3"/>
        <v>92.409964188690992</v>
      </c>
      <c r="M44" s="108">
        <f t="shared" si="4"/>
        <v>91.297157675864</v>
      </c>
      <c r="N44" s="108">
        <f t="shared" si="5"/>
        <v>90.217377546189425</v>
      </c>
      <c r="O44" s="108">
        <f t="shared" si="8"/>
        <v>89.015506299255563</v>
      </c>
      <c r="P44" s="108">
        <f t="shared" si="6"/>
        <v>87.697207205945276</v>
      </c>
      <c r="Q44" s="108">
        <f t="shared" si="7"/>
        <v>86.230359345174847</v>
      </c>
    </row>
    <row r="45" spans="5:17" hidden="1" outlineLevel="1" x14ac:dyDescent="0.45">
      <c r="E45" s="1" t="s">
        <v>55</v>
      </c>
      <c r="F45" s="1" t="s">
        <v>85</v>
      </c>
      <c r="G45" s="1" t="s">
        <v>97</v>
      </c>
      <c r="H45" s="1" t="s">
        <v>45</v>
      </c>
      <c r="I45" s="8"/>
      <c r="J45" s="108"/>
      <c r="K45" s="108"/>
      <c r="L45" s="108">
        <f t="shared" si="3"/>
        <v>269.73792288863973</v>
      </c>
      <c r="M45" s="108">
        <f t="shared" si="4"/>
        <v>268.48848415582938</v>
      </c>
      <c r="N45" s="108">
        <f t="shared" si="5"/>
        <v>267.19344308000763</v>
      </c>
      <c r="O45" s="108">
        <f t="shared" si="8"/>
        <v>265.82592209025034</v>
      </c>
      <c r="P45" s="108">
        <f t="shared" si="6"/>
        <v>264.46933766441572</v>
      </c>
      <c r="Q45" s="108">
        <f t="shared" si="7"/>
        <v>263.19309748223981</v>
      </c>
    </row>
    <row r="46" spans="5:17" hidden="1" outlineLevel="1" x14ac:dyDescent="0.45">
      <c r="E46" s="1" t="s">
        <v>56</v>
      </c>
      <c r="F46" s="1" t="s">
        <v>85</v>
      </c>
      <c r="G46" s="1" t="s">
        <v>97</v>
      </c>
      <c r="H46" s="1" t="s">
        <v>45</v>
      </c>
      <c r="I46" s="8"/>
      <c r="J46" s="108"/>
      <c r="K46" s="108"/>
      <c r="L46" s="108">
        <f t="shared" si="3"/>
        <v>186.28139161680232</v>
      </c>
      <c r="M46" s="108">
        <f t="shared" si="4"/>
        <v>185.89903941409696</v>
      </c>
      <c r="N46" s="108">
        <f t="shared" si="5"/>
        <v>185.47709994239781</v>
      </c>
      <c r="O46" s="108">
        <f t="shared" si="8"/>
        <v>185.07351996038381</v>
      </c>
      <c r="P46" s="108">
        <f t="shared" si="6"/>
        <v>184.68829336019215</v>
      </c>
      <c r="Q46" s="108">
        <f t="shared" si="7"/>
        <v>184.43954174911926</v>
      </c>
    </row>
    <row r="47" spans="5:17" hidden="1" outlineLevel="1" x14ac:dyDescent="0.45">
      <c r="E47" s="1" t="s">
        <v>57</v>
      </c>
      <c r="F47" s="1" t="s">
        <v>85</v>
      </c>
      <c r="G47" s="1" t="s">
        <v>97</v>
      </c>
      <c r="H47" s="1" t="s">
        <v>45</v>
      </c>
      <c r="I47" s="8"/>
      <c r="J47" s="108"/>
      <c r="K47" s="108"/>
      <c r="L47" s="108">
        <f t="shared" si="3"/>
        <v>54.53</v>
      </c>
      <c r="M47" s="108">
        <f t="shared" si="4"/>
        <v>54</v>
      </c>
      <c r="N47" s="108">
        <f t="shared" si="5"/>
        <v>53.606666666666676</v>
      </c>
      <c r="O47" s="108">
        <f t="shared" si="8"/>
        <v>53.256666666666668</v>
      </c>
      <c r="P47" s="108">
        <f t="shared" si="6"/>
        <v>52.946666666666665</v>
      </c>
      <c r="Q47" s="108">
        <f t="shared" si="7"/>
        <v>52.673333333333339</v>
      </c>
    </row>
    <row r="48" spans="5:17" hidden="1" outlineLevel="1" x14ac:dyDescent="0.45">
      <c r="E48" s="1" t="s">
        <v>58</v>
      </c>
      <c r="F48" s="1" t="s">
        <v>85</v>
      </c>
      <c r="G48" s="1" t="s">
        <v>97</v>
      </c>
      <c r="H48" s="1" t="s">
        <v>45</v>
      </c>
      <c r="I48" s="8"/>
      <c r="J48" s="108"/>
      <c r="K48" s="108"/>
      <c r="L48" s="108">
        <f t="shared" si="3"/>
        <v>77.209510309039317</v>
      </c>
      <c r="M48" s="108">
        <f t="shared" si="4"/>
        <v>77.082415810466955</v>
      </c>
      <c r="N48" s="108">
        <f t="shared" si="5"/>
        <v>76.911943084602811</v>
      </c>
      <c r="O48" s="108">
        <f t="shared" si="8"/>
        <v>76.809530988498182</v>
      </c>
      <c r="P48" s="108">
        <f t="shared" si="6"/>
        <v>76.789686918770926</v>
      </c>
      <c r="Q48" s="108">
        <f t="shared" si="7"/>
        <v>76.863280438644665</v>
      </c>
    </row>
    <row r="49" spans="1:18" hidden="1" outlineLevel="1" x14ac:dyDescent="0.45">
      <c r="E49" s="1" t="s">
        <v>75</v>
      </c>
      <c r="F49" s="1" t="s">
        <v>85</v>
      </c>
      <c r="G49" s="1" t="s">
        <v>97</v>
      </c>
      <c r="H49" s="1" t="s">
        <v>45</v>
      </c>
      <c r="I49" s="8"/>
      <c r="J49" s="108"/>
      <c r="K49" s="108"/>
      <c r="L49" s="108">
        <f t="shared" si="3"/>
        <v>55.036444728899191</v>
      </c>
      <c r="M49" s="108">
        <f t="shared" si="4"/>
        <v>54.907726924281313</v>
      </c>
      <c r="N49" s="108">
        <f t="shared" si="5"/>
        <v>54.735067647594803</v>
      </c>
      <c r="O49" s="108">
        <f t="shared" si="8"/>
        <v>54.629916015562593</v>
      </c>
      <c r="P49" s="108">
        <f t="shared" si="6"/>
        <v>54.606789539966009</v>
      </c>
      <c r="Q49" s="108">
        <f t="shared" si="7"/>
        <v>54.676567772417478</v>
      </c>
    </row>
    <row r="50" spans="1:18" hidden="1" outlineLevel="1" x14ac:dyDescent="0.45">
      <c r="E50" s="1" t="s">
        <v>76</v>
      </c>
      <c r="F50" s="1" t="s">
        <v>85</v>
      </c>
      <c r="G50" s="1" t="s">
        <v>97</v>
      </c>
      <c r="H50" s="1" t="s">
        <v>45</v>
      </c>
      <c r="I50" s="8"/>
      <c r="J50" s="108"/>
      <c r="K50" s="108"/>
      <c r="L50" s="108">
        <f t="shared" si="3"/>
        <v>22.173065580140129</v>
      </c>
      <c r="M50" s="108">
        <f t="shared" si="4"/>
        <v>22.174688886185645</v>
      </c>
      <c r="N50" s="108">
        <f t="shared" ref="N50:N53" si="9">IF(N26="-","",AVERAGE(L26:N26))</f>
        <v>22.176875437008004</v>
      </c>
      <c r="O50" s="108">
        <f t="shared" si="8"/>
        <v>22.179614972935578</v>
      </c>
      <c r="P50" s="108">
        <f t="shared" si="6"/>
        <v>22.18289737880491</v>
      </c>
      <c r="Q50" s="108">
        <f t="shared" si="7"/>
        <v>22.186712666227191</v>
      </c>
    </row>
    <row r="51" spans="1:18" hidden="1" outlineLevel="1" x14ac:dyDescent="0.45">
      <c r="E51" s="1" t="s">
        <v>59</v>
      </c>
      <c r="F51" s="1" t="s">
        <v>85</v>
      </c>
      <c r="G51" s="1" t="s">
        <v>97</v>
      </c>
      <c r="H51" s="1" t="s">
        <v>45</v>
      </c>
      <c r="I51" s="8"/>
      <c r="J51" s="108"/>
      <c r="K51" s="108"/>
      <c r="L51" s="108">
        <f t="shared" si="3"/>
        <v>35.896375680800816</v>
      </c>
      <c r="M51" s="108">
        <f t="shared" si="4"/>
        <v>35.411494035423537</v>
      </c>
      <c r="N51" s="108">
        <f t="shared" si="9"/>
        <v>34.939670842385681</v>
      </c>
      <c r="O51" s="108">
        <f t="shared" si="8"/>
        <v>34.480385862677771</v>
      </c>
      <c r="P51" s="108">
        <f t="shared" si="6"/>
        <v>34.033146115502596</v>
      </c>
      <c r="Q51" s="108">
        <f t="shared" si="7"/>
        <v>33.597484116373728</v>
      </c>
    </row>
    <row r="52" spans="1:18" hidden="1" outlineLevel="1" x14ac:dyDescent="0.45">
      <c r="E52" s="1" t="s">
        <v>60</v>
      </c>
      <c r="F52" s="1" t="s">
        <v>85</v>
      </c>
      <c r="G52" s="1" t="s">
        <v>97</v>
      </c>
      <c r="H52" s="1" t="s">
        <v>45</v>
      </c>
      <c r="I52" s="8"/>
      <c r="J52" s="108"/>
      <c r="K52" s="108"/>
      <c r="L52" s="108">
        <f t="shared" si="3"/>
        <v>130.41893268908936</v>
      </c>
      <c r="M52" s="108">
        <f t="shared" si="4"/>
        <v>130.75969697776031</v>
      </c>
      <c r="N52" s="108">
        <f t="shared" si="9"/>
        <v>131.11890009924082</v>
      </c>
      <c r="O52" s="108">
        <f t="shared" si="8"/>
        <v>131.53081860197025</v>
      </c>
      <c r="P52" s="108">
        <f t="shared" si="6"/>
        <v>131.99252969132667</v>
      </c>
      <c r="Q52" s="108">
        <f t="shared" si="7"/>
        <v>132.50193159961509</v>
      </c>
    </row>
    <row r="53" spans="1:18" hidden="1" outlineLevel="1" x14ac:dyDescent="0.45">
      <c r="E53" s="1" t="s">
        <v>61</v>
      </c>
      <c r="F53" s="1" t="s">
        <v>85</v>
      </c>
      <c r="G53" s="1" t="s">
        <v>97</v>
      </c>
      <c r="H53" s="1" t="s">
        <v>45</v>
      </c>
      <c r="I53" s="8"/>
      <c r="J53" s="108"/>
      <c r="K53" s="108"/>
      <c r="L53" s="108">
        <f t="shared" si="3"/>
        <v>25.558444546653192</v>
      </c>
      <c r="M53" s="108">
        <f t="shared" si="4"/>
        <v>25.505873806471712</v>
      </c>
      <c r="N53" s="108">
        <f t="shared" si="9"/>
        <v>25.446617468314898</v>
      </c>
      <c r="O53" s="108">
        <f t="shared" si="8"/>
        <v>25.393062141190601</v>
      </c>
      <c r="P53" s="108">
        <f t="shared" si="6"/>
        <v>25.34475627825314</v>
      </c>
      <c r="Q53" s="108">
        <f t="shared" si="7"/>
        <v>25.301284097287454</v>
      </c>
    </row>
    <row r="54" spans="1:18" s="50" customFormat="1" collapsed="1" x14ac:dyDescent="0.45">
      <c r="A54" s="6"/>
      <c r="B54" s="1"/>
      <c r="C54" s="1"/>
      <c r="D54" s="1"/>
      <c r="E54" s="1"/>
      <c r="F54" s="1"/>
      <c r="G54" s="1"/>
      <c r="H54" s="1"/>
      <c r="I54" s="1"/>
      <c r="R54" s="86"/>
    </row>
    <row r="55" spans="1:18" s="101" customFormat="1" ht="13.15" x14ac:dyDescent="0.4">
      <c r="A55" s="100" t="s">
        <v>83</v>
      </c>
      <c r="B55" s="100"/>
      <c r="C55" s="100"/>
      <c r="D55" s="100"/>
      <c r="E55" s="100"/>
      <c r="F55" s="100"/>
      <c r="G55" s="100"/>
      <c r="H55" s="100"/>
      <c r="I55" s="100"/>
    </row>
  </sheetData>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5798-C778-4ABD-87F7-001E739E5E8F}">
  <sheetPr codeName="Sheet8">
    <tabColor rgb="FFCCCCCE"/>
  </sheetPr>
  <dimension ref="A1:Z103"/>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1" bestFit="1" customWidth="1"/>
    <col min="7" max="7" width="57.125" style="1" bestFit="1" customWidth="1"/>
    <col min="8" max="8" width="7.875" style="1" customWidth="1"/>
    <col min="9" max="9" width="2.75" style="1" customWidth="1"/>
    <col min="10" max="16" width="9" style="38" customWidth="1"/>
    <col min="17" max="17" width="9" style="1" customWidth="1"/>
    <col min="18" max="26" width="0" style="1" hidden="1" customWidth="1"/>
    <col min="27" max="16384" width="9" style="1" hidden="1"/>
  </cols>
  <sheetData>
    <row r="1" spans="1:16" s="4" customFormat="1" ht="30.75" x14ac:dyDescent="0.35">
      <c r="A1" s="4" t="str">
        <f ca="1">RIGHT(CELL("filename", A1), LEN(CELL("filename", A1)) - SEARCH("]", CELL("filename", A1)))</f>
        <v>NHH.P.Range</v>
      </c>
      <c r="D1" s="5"/>
      <c r="J1" s="37"/>
      <c r="K1" s="37"/>
      <c r="L1" s="37"/>
      <c r="M1" s="37"/>
      <c r="N1" s="37"/>
      <c r="O1" s="37"/>
      <c r="P1" s="37"/>
    </row>
    <row r="2" spans="1:16" ht="13.15" x14ac:dyDescent="0.35">
      <c r="E2" s="1"/>
      <c r="J2" s="43" t="s">
        <v>17</v>
      </c>
      <c r="K2" s="43" t="s">
        <v>18</v>
      </c>
      <c r="L2" s="43" t="s">
        <v>19</v>
      </c>
      <c r="M2" s="43" t="s">
        <v>20</v>
      </c>
      <c r="N2" s="43" t="s">
        <v>21</v>
      </c>
      <c r="O2" s="43" t="s">
        <v>22</v>
      </c>
      <c r="P2" s="43" t="s">
        <v>23</v>
      </c>
    </row>
    <row r="3" spans="1:16" ht="13.15" x14ac:dyDescent="0.35">
      <c r="E3" s="7" t="s">
        <v>62</v>
      </c>
      <c r="F3" s="7" t="s">
        <v>63</v>
      </c>
      <c r="G3" s="7" t="s">
        <v>64</v>
      </c>
      <c r="H3" s="7" t="s">
        <v>13</v>
      </c>
      <c r="I3" s="7"/>
    </row>
    <row r="4" spans="1:16" ht="13.15" x14ac:dyDescent="0.35">
      <c r="E4" s="1"/>
    </row>
    <row r="5" spans="1:16" ht="13.15" x14ac:dyDescent="0.35">
      <c r="E5" s="1"/>
      <c r="I5" s="3"/>
    </row>
    <row r="6" spans="1:16" ht="13.15" x14ac:dyDescent="0.35">
      <c r="E6" s="1"/>
    </row>
    <row r="7" spans="1:16" s="90" customFormat="1" ht="13.15" x14ac:dyDescent="0.35">
      <c r="A7" s="90" t="s">
        <v>98</v>
      </c>
      <c r="J7" s="91"/>
      <c r="K7" s="91"/>
      <c r="L7" s="91"/>
      <c r="M7" s="91"/>
      <c r="N7" s="91"/>
      <c r="O7" s="91"/>
      <c r="P7" s="91"/>
    </row>
    <row r="8" spans="1:16" ht="13.15" x14ac:dyDescent="0.35">
      <c r="E8" s="1"/>
    </row>
    <row r="9" spans="1:16" ht="13.15" x14ac:dyDescent="0.35">
      <c r="E9" s="1" t="s">
        <v>36</v>
      </c>
      <c r="F9" s="1" t="s">
        <v>85</v>
      </c>
      <c r="G9" s="1" t="s">
        <v>95</v>
      </c>
      <c r="H9" s="1" t="s">
        <v>45</v>
      </c>
      <c r="I9" s="8"/>
      <c r="J9" s="48">
        <f>NHH.Performance!L81</f>
        <v>267.38770736053681</v>
      </c>
      <c r="K9" s="48">
        <f>NHH.Performance!M81</f>
        <v>271.51393284967816</v>
      </c>
      <c r="L9" s="48">
        <f>NHH.Performance!N81</f>
        <v>270.5533356069148</v>
      </c>
      <c r="M9" s="48">
        <f>NHH.Performance!O81</f>
        <v>268.73378020192655</v>
      </c>
      <c r="N9" s="48">
        <f>NHH.Performance!P81</f>
        <v>270.10771649011474</v>
      </c>
      <c r="O9" s="48">
        <f>NHH.Performance!Q81</f>
        <v>277.91138990814915</v>
      </c>
      <c r="P9" s="48">
        <f>NHH.Performance!R81</f>
        <v>283.51822750188785</v>
      </c>
    </row>
    <row r="10" spans="1:16" ht="13.15" hidden="1" outlineLevel="1" x14ac:dyDescent="0.35">
      <c r="E10" s="1" t="s">
        <v>46</v>
      </c>
      <c r="F10" s="1" t="s">
        <v>85</v>
      </c>
      <c r="G10" s="1" t="s">
        <v>95</v>
      </c>
      <c r="H10" s="1" t="s">
        <v>45</v>
      </c>
      <c r="I10" s="8"/>
      <c r="J10" s="48">
        <f>NHH.Performance!L82</f>
        <v>177.41746378016364</v>
      </c>
      <c r="K10" s="48">
        <f>NHH.Performance!M82</f>
        <v>175.52926934945822</v>
      </c>
      <c r="L10" s="48">
        <f>NHH.Performance!N82</f>
        <v>176.1002757250682</v>
      </c>
      <c r="M10" s="48">
        <f>NHH.Performance!O82</f>
        <v>177.33682000515941</v>
      </c>
      <c r="N10" s="48">
        <f>NHH.Performance!P82</f>
        <v>175.38232257468619</v>
      </c>
      <c r="O10" s="48">
        <f>NHH.Performance!Q82</f>
        <v>178.7820465920588</v>
      </c>
      <c r="P10" s="48">
        <f>NHH.Performance!R82</f>
        <v>178.66135327170636</v>
      </c>
    </row>
    <row r="11" spans="1:16" ht="13.15" hidden="1" outlineLevel="1" x14ac:dyDescent="0.35">
      <c r="E11" s="1" t="s">
        <v>47</v>
      </c>
      <c r="F11" s="1" t="s">
        <v>85</v>
      </c>
      <c r="G11" s="1" t="s">
        <v>95</v>
      </c>
      <c r="H11" s="1" t="s">
        <v>45</v>
      </c>
      <c r="I11" s="8"/>
      <c r="J11" s="48">
        <f>NHH.Performance!L83</f>
        <v>18.280911236525466</v>
      </c>
      <c r="K11" s="48">
        <f>NHH.Performance!M83</f>
        <v>18.200695560256587</v>
      </c>
      <c r="L11" s="48">
        <f>NHH.Performance!N83</f>
        <v>17.999143748655797</v>
      </c>
      <c r="M11" s="48">
        <f>NHH.Performance!O83</f>
        <v>18.448235161265419</v>
      </c>
      <c r="N11" s="48">
        <f>NHH.Performance!P83</f>
        <v>18.622237698721097</v>
      </c>
      <c r="O11" s="48">
        <f>NHH.Performance!Q83</f>
        <v>18.156487556202325</v>
      </c>
      <c r="P11" s="48">
        <f>NHH.Performance!R83</f>
        <v>17.015697859048004</v>
      </c>
    </row>
    <row r="12" spans="1:16" ht="13.15" hidden="1" outlineLevel="1" x14ac:dyDescent="0.35">
      <c r="E12" s="1" t="s">
        <v>48</v>
      </c>
      <c r="F12" s="1" t="s">
        <v>85</v>
      </c>
      <c r="G12" s="1" t="s">
        <v>95</v>
      </c>
      <c r="H12" s="1" t="s">
        <v>45</v>
      </c>
      <c r="I12" s="8"/>
      <c r="J12" s="48">
        <f>NHH.Performance!L84</f>
        <v>242.27</v>
      </c>
      <c r="K12" s="48">
        <f>NHH.Performance!M84</f>
        <v>234.32666666666668</v>
      </c>
      <c r="L12" s="48">
        <f>NHH.Performance!N84</f>
        <v>228.98333333333335</v>
      </c>
      <c r="M12" s="48">
        <f>NHH.Performance!O84</f>
        <v>228.84666666666666</v>
      </c>
      <c r="N12" s="48">
        <f>NHH.Performance!P84</f>
        <v>225.4433333333333</v>
      </c>
      <c r="O12" s="48">
        <f>NHH.Performance!Q84</f>
        <v>223.89333333333335</v>
      </c>
      <c r="P12" s="48">
        <f>NHH.Performance!R84</f>
        <v>217.92999999999998</v>
      </c>
    </row>
    <row r="13" spans="1:16" ht="13.15" hidden="1" outlineLevel="1" x14ac:dyDescent="0.35">
      <c r="E13" s="9" t="s">
        <v>70</v>
      </c>
      <c r="F13" s="1" t="s">
        <v>85</v>
      </c>
      <c r="G13" s="1" t="s">
        <v>95</v>
      </c>
      <c r="H13" s="1" t="s">
        <v>45</v>
      </c>
      <c r="I13" s="8"/>
      <c r="J13" s="48">
        <f>NHH.Performance!L85</f>
        <v>157.91999999999999</v>
      </c>
      <c r="K13" s="48">
        <f>NHH.Performance!M85</f>
        <v>154.97666666666666</v>
      </c>
      <c r="L13" s="48">
        <f>NHH.Performance!N85</f>
        <v>151.53</v>
      </c>
      <c r="M13" s="48">
        <f>NHH.Performance!O85</f>
        <v>150.48666666666668</v>
      </c>
      <c r="N13" s="48">
        <f>NHH.Performance!P85</f>
        <v>147.48000000000002</v>
      </c>
      <c r="O13" s="48">
        <f>NHH.Performance!Q85</f>
        <v>146.52000000000001</v>
      </c>
      <c r="P13" s="48">
        <f>NHH.Performance!R85</f>
        <v>143.20333333333335</v>
      </c>
    </row>
    <row r="14" spans="1:16" ht="13.15" hidden="1" outlineLevel="1" x14ac:dyDescent="0.35">
      <c r="E14" s="9" t="s">
        <v>72</v>
      </c>
      <c r="F14" s="1" t="s">
        <v>85</v>
      </c>
      <c r="G14" s="1" t="s">
        <v>95</v>
      </c>
      <c r="H14" s="1" t="s">
        <v>45</v>
      </c>
      <c r="I14" s="8"/>
      <c r="J14" s="48">
        <f>NHH.Performance!L86</f>
        <v>84.353333333333339</v>
      </c>
      <c r="K14" s="48">
        <f>NHH.Performance!M86</f>
        <v>79.353333333333339</v>
      </c>
      <c r="L14" s="48">
        <f>NHH.Performance!N86</f>
        <v>77.453333333333333</v>
      </c>
      <c r="M14" s="48">
        <f>NHH.Performance!O86</f>
        <v>78.356666666666669</v>
      </c>
      <c r="N14" s="48">
        <f>NHH.Performance!P86</f>
        <v>77.959999999999994</v>
      </c>
      <c r="O14" s="48">
        <f>NHH.Performance!Q86</f>
        <v>77.366666666666674</v>
      </c>
      <c r="P14" s="48">
        <f>NHH.Performance!R86</f>
        <v>74.720000000000013</v>
      </c>
    </row>
    <row r="15" spans="1:16" ht="13.15" hidden="1" outlineLevel="1" x14ac:dyDescent="0.35">
      <c r="E15" s="1" t="s">
        <v>49</v>
      </c>
      <c r="F15" s="1" t="s">
        <v>85</v>
      </c>
      <c r="G15" s="1" t="s">
        <v>95</v>
      </c>
      <c r="H15" s="1" t="s">
        <v>45</v>
      </c>
      <c r="I15" s="8"/>
      <c r="J15" s="48">
        <f>NHH.Performance!L87</f>
        <v>364.82715466642907</v>
      </c>
      <c r="K15" s="48">
        <f>NHH.Performance!M87</f>
        <v>361.7608905944233</v>
      </c>
      <c r="L15" s="48">
        <f>NHH.Performance!N87</f>
        <v>368.95435074835387</v>
      </c>
      <c r="M15" s="48">
        <f>NHH.Performance!O87</f>
        <v>369.90540488427473</v>
      </c>
      <c r="N15" s="48">
        <f>NHH.Performance!P87</f>
        <v>367.39394610317112</v>
      </c>
      <c r="O15" s="48">
        <f>NHH.Performance!Q87</f>
        <v>366.010172098765</v>
      </c>
      <c r="P15" s="48">
        <f>NHH.Performance!R87</f>
        <v>368.16074129405916</v>
      </c>
    </row>
    <row r="16" spans="1:16" ht="13.15" hidden="1" outlineLevel="1" x14ac:dyDescent="0.35">
      <c r="E16" s="1" t="s">
        <v>50</v>
      </c>
      <c r="F16" s="1" t="s">
        <v>85</v>
      </c>
      <c r="G16" s="1" t="s">
        <v>95</v>
      </c>
      <c r="H16" s="1" t="s">
        <v>45</v>
      </c>
      <c r="I16" s="8"/>
      <c r="J16" s="48">
        <f>NHH.Performance!L88</f>
        <v>157.72453864282099</v>
      </c>
      <c r="K16" s="48">
        <f>NHH.Performance!M88</f>
        <v>156.60367959058397</v>
      </c>
      <c r="L16" s="48">
        <f>NHH.Performance!N88</f>
        <v>154.80101181260486</v>
      </c>
      <c r="M16" s="48">
        <f>NHH.Performance!O88</f>
        <v>151.45366384039593</v>
      </c>
      <c r="N16" s="48">
        <f>NHH.Performance!P88</f>
        <v>147.48792302104508</v>
      </c>
      <c r="O16" s="48">
        <f>NHH.Performance!Q88</f>
        <v>148.16528337521711</v>
      </c>
      <c r="P16" s="48">
        <f>NHH.Performance!R88</f>
        <v>146.16700411520137</v>
      </c>
    </row>
    <row r="17" spans="1:16" ht="13.15" hidden="1" outlineLevel="1" x14ac:dyDescent="0.35">
      <c r="E17" s="1" t="s">
        <v>51</v>
      </c>
      <c r="F17" s="1" t="s">
        <v>85</v>
      </c>
      <c r="G17" s="1" t="s">
        <v>95</v>
      </c>
      <c r="H17" s="1" t="s">
        <v>45</v>
      </c>
      <c r="I17" s="8"/>
      <c r="J17" s="48">
        <f>NHH.Performance!L89</f>
        <v>100.10043589345024</v>
      </c>
      <c r="K17" s="48">
        <f>NHH.Performance!M89</f>
        <v>104.27756276085462</v>
      </c>
      <c r="L17" s="48">
        <f>NHH.Performance!N89</f>
        <v>106.51439501386447</v>
      </c>
      <c r="M17" s="48">
        <f>NHH.Performance!O89</f>
        <v>108.56564222314319</v>
      </c>
      <c r="N17" s="48">
        <f>NHH.Performance!P89</f>
        <v>112.59340197221911</v>
      </c>
      <c r="O17" s="48">
        <f>NHH.Performance!Q89</f>
        <v>115.88211972527608</v>
      </c>
      <c r="P17" s="48">
        <f>NHH.Performance!R89</f>
        <v>116.95478259448963</v>
      </c>
    </row>
    <row r="18" spans="1:16" ht="13.15" hidden="1" outlineLevel="1" x14ac:dyDescent="0.35">
      <c r="E18" s="1" t="s">
        <v>52</v>
      </c>
      <c r="F18" s="1" t="s">
        <v>85</v>
      </c>
      <c r="G18" s="1" t="s">
        <v>95</v>
      </c>
      <c r="H18" s="1" t="s">
        <v>45</v>
      </c>
      <c r="I18" s="8"/>
      <c r="J18" s="48">
        <f>NHH.Performance!L90</f>
        <v>497.69666666666672</v>
      </c>
      <c r="K18" s="48">
        <f>NHH.Performance!M90</f>
        <v>499.84333333333331</v>
      </c>
      <c r="L18" s="48">
        <f>NHH.Performance!N90</f>
        <v>502.98666666666668</v>
      </c>
      <c r="M18" s="48">
        <f>NHH.Performance!O90</f>
        <v>495.44</v>
      </c>
      <c r="N18" s="48">
        <f>NHH.Performance!P90</f>
        <v>490.00666666666666</v>
      </c>
      <c r="O18" s="48">
        <f>NHH.Performance!Q90</f>
        <v>483.09666666666664</v>
      </c>
      <c r="P18" s="48">
        <f>NHH.Performance!R90</f>
        <v>477.02155464684597</v>
      </c>
    </row>
    <row r="19" spans="1:16" ht="13.15" hidden="1" outlineLevel="1" x14ac:dyDescent="0.35">
      <c r="E19" s="1" t="s">
        <v>74</v>
      </c>
      <c r="F19" s="1" t="s">
        <v>85</v>
      </c>
      <c r="G19" s="1" t="s">
        <v>95</v>
      </c>
      <c r="H19" s="1" t="s">
        <v>45</v>
      </c>
      <c r="I19" s="8"/>
      <c r="J19" s="48">
        <f>NHH.Performance!L91</f>
        <v>370.65957435916852</v>
      </c>
      <c r="K19" s="48">
        <f>NHH.Performance!M91</f>
        <v>365.54420045144985</v>
      </c>
      <c r="L19" s="48">
        <f>NHH.Performance!N91</f>
        <v>364.64715871527977</v>
      </c>
      <c r="M19" s="48">
        <f>NHH.Performance!O91</f>
        <v>367.06826577599071</v>
      </c>
      <c r="N19" s="48">
        <f>NHH.Performance!P91</f>
        <v>368.18611894421753</v>
      </c>
      <c r="O19" s="48">
        <f>NHH.Performance!Q91</f>
        <v>370.4305395477225</v>
      </c>
      <c r="P19" s="48">
        <f>NHH.Performance!R91</f>
        <v>373.32928620412866</v>
      </c>
    </row>
    <row r="20" spans="1:16" ht="13.15" hidden="1" outlineLevel="1" x14ac:dyDescent="0.35">
      <c r="E20" s="1" t="s">
        <v>54</v>
      </c>
      <c r="F20" s="1" t="s">
        <v>85</v>
      </c>
      <c r="G20" s="1" t="s">
        <v>95</v>
      </c>
      <c r="H20" s="1" t="s">
        <v>45</v>
      </c>
      <c r="I20" s="8"/>
      <c r="J20" s="48">
        <f>NHH.Performance!L92</f>
        <v>99.216666666666654</v>
      </c>
      <c r="K20" s="48">
        <f>NHH.Performance!M92</f>
        <v>98.326666666666668</v>
      </c>
      <c r="L20" s="48">
        <f>NHH.Performance!N92</f>
        <v>98.936666666666667</v>
      </c>
      <c r="M20" s="48">
        <f>NHH.Performance!O92</f>
        <v>98.36</v>
      </c>
      <c r="N20" s="48">
        <f>NHH.Performance!P92</f>
        <v>98.09666666666665</v>
      </c>
      <c r="O20" s="48">
        <f>NHH.Performance!Q92</f>
        <v>98.726666666666674</v>
      </c>
      <c r="P20" s="48">
        <f>NHH.Performance!R92</f>
        <v>97.936666666666667</v>
      </c>
    </row>
    <row r="21" spans="1:16" ht="13.15" hidden="1" outlineLevel="1" x14ac:dyDescent="0.35">
      <c r="E21" s="1" t="s">
        <v>55</v>
      </c>
      <c r="F21" s="1" t="s">
        <v>85</v>
      </c>
      <c r="G21" s="1" t="s">
        <v>95</v>
      </c>
      <c r="H21" s="1" t="s">
        <v>45</v>
      </c>
      <c r="I21" s="8"/>
      <c r="J21" s="48">
        <f>NHH.Performance!L93</f>
        <v>265.37333333333328</v>
      </c>
      <c r="K21" s="48">
        <f>NHH.Performance!M93</f>
        <v>263.45999999999998</v>
      </c>
      <c r="L21" s="48">
        <f>NHH.Performance!N93</f>
        <v>266.83</v>
      </c>
      <c r="M21" s="48">
        <f>NHH.Performance!O93</f>
        <v>267.88666666666671</v>
      </c>
      <c r="N21" s="48">
        <f>NHH.Performance!P93</f>
        <v>270.7</v>
      </c>
      <c r="O21" s="48">
        <f>NHH.Performance!Q93</f>
        <v>278.09333333333331</v>
      </c>
      <c r="P21" s="48">
        <f>NHH.Performance!R93</f>
        <v>281.05333333333334</v>
      </c>
    </row>
    <row r="22" spans="1:16" ht="13.15" hidden="1" outlineLevel="1" x14ac:dyDescent="0.35">
      <c r="E22" s="1" t="s">
        <v>56</v>
      </c>
      <c r="F22" s="1" t="s">
        <v>85</v>
      </c>
      <c r="G22" s="1" t="s">
        <v>95</v>
      </c>
      <c r="H22" s="1" t="s">
        <v>45</v>
      </c>
      <c r="I22" s="8"/>
      <c r="J22" s="48">
        <f>NHH.Performance!L94</f>
        <v>173.45973049630447</v>
      </c>
      <c r="K22" s="48">
        <f>NHH.Performance!M94</f>
        <v>171.33186494456868</v>
      </c>
      <c r="L22" s="48">
        <f>NHH.Performance!N94</f>
        <v>171.13454127128864</v>
      </c>
      <c r="M22" s="48">
        <f>NHH.Performance!O94</f>
        <v>171.04034071285344</v>
      </c>
      <c r="N22" s="48">
        <f>NHH.Performance!P94</f>
        <v>173.40230628729637</v>
      </c>
      <c r="O22" s="48">
        <f>NHH.Performance!Q94</f>
        <v>177.93398045705771</v>
      </c>
      <c r="P22" s="48">
        <f>NHH.Performance!R94</f>
        <v>179.42754814637451</v>
      </c>
    </row>
    <row r="23" spans="1:16" ht="13.15" hidden="1" outlineLevel="1" x14ac:dyDescent="0.35">
      <c r="E23" s="1" t="s">
        <v>57</v>
      </c>
      <c r="F23" s="1" t="s">
        <v>85</v>
      </c>
      <c r="G23" s="1" t="s">
        <v>95</v>
      </c>
      <c r="H23" s="1" t="s">
        <v>45</v>
      </c>
      <c r="I23" s="8"/>
      <c r="J23" s="48">
        <f>NHH.Performance!L95</f>
        <v>59.017258746666663</v>
      </c>
      <c r="K23" s="48">
        <f>NHH.Performance!M95</f>
        <v>58.671707408611105</v>
      </c>
      <c r="L23" s="48">
        <f>NHH.Performance!N95</f>
        <v>59.342300702777777</v>
      </c>
      <c r="M23" s="48">
        <f>NHH.Performance!O95</f>
        <v>59.685832206111115</v>
      </c>
      <c r="N23" s="48">
        <f>NHH.Performance!P95</f>
        <v>59.782604950833338</v>
      </c>
      <c r="O23" s="48">
        <f>NHH.Performance!Q95</f>
        <v>59.979144305922546</v>
      </c>
      <c r="P23" s="48">
        <f>NHH.Performance!R95</f>
        <v>59.579773957621093</v>
      </c>
    </row>
    <row r="24" spans="1:16" ht="13.15" hidden="1" outlineLevel="1" x14ac:dyDescent="0.35">
      <c r="E24" s="1" t="s">
        <v>58</v>
      </c>
      <c r="F24" s="1" t="s">
        <v>85</v>
      </c>
      <c r="G24" s="1" t="s">
        <v>95</v>
      </c>
      <c r="H24" s="1" t="s">
        <v>45</v>
      </c>
      <c r="I24" s="8"/>
      <c r="J24" s="48">
        <f>NHH.Performance!L96</f>
        <v>73.532850482547119</v>
      </c>
      <c r="K24" s="48">
        <f>NHH.Performance!M96</f>
        <v>73.260000000000005</v>
      </c>
      <c r="L24" s="48">
        <f>NHH.Performance!N96</f>
        <v>73.453333333333333</v>
      </c>
      <c r="M24" s="48">
        <f>NHH.Performance!O96</f>
        <v>74.350000000000009</v>
      </c>
      <c r="N24" s="48">
        <f>NHH.Performance!P96</f>
        <v>76.03</v>
      </c>
      <c r="O24" s="48">
        <f>NHH.Performance!Q96</f>
        <v>78.029999999999987</v>
      </c>
      <c r="P24" s="48">
        <f>NHH.Performance!R96</f>
        <v>81.773333333333326</v>
      </c>
    </row>
    <row r="25" spans="1:16" ht="13.15" hidden="1" outlineLevel="1" x14ac:dyDescent="0.35">
      <c r="E25" s="1" t="s">
        <v>75</v>
      </c>
      <c r="F25" s="1" t="s">
        <v>85</v>
      </c>
      <c r="G25" s="1" t="s">
        <v>95</v>
      </c>
      <c r="H25" s="1" t="s">
        <v>45</v>
      </c>
      <c r="I25" s="8"/>
      <c r="J25" s="48">
        <f>NHH.Performance!L97</f>
        <v>52.81</v>
      </c>
      <c r="K25" s="48">
        <f>NHH.Performance!M97</f>
        <v>52.653333333333336</v>
      </c>
      <c r="L25" s="48">
        <f>NHH.Performance!N97</f>
        <v>52.75333333333333</v>
      </c>
      <c r="M25" s="48">
        <f>NHH.Performance!O97</f>
        <v>53.446666666666665</v>
      </c>
      <c r="N25" s="48">
        <f>NHH.Performance!P97</f>
        <v>54.699999999999996</v>
      </c>
      <c r="O25" s="48">
        <f>NHH.Performance!Q97</f>
        <v>56.086666666666666</v>
      </c>
      <c r="P25" s="48">
        <f>NHH.Performance!R97</f>
        <v>58.12</v>
      </c>
    </row>
    <row r="26" spans="1:16" ht="13.15" hidden="1" outlineLevel="1" x14ac:dyDescent="0.35">
      <c r="E26" s="1" t="s">
        <v>76</v>
      </c>
      <c r="F26" s="1" t="s">
        <v>85</v>
      </c>
      <c r="G26" s="1" t="s">
        <v>95</v>
      </c>
      <c r="H26" s="1" t="s">
        <v>45</v>
      </c>
      <c r="I26" s="8"/>
      <c r="J26" s="48">
        <f>NHH.Performance!L98</f>
        <v>20.72285048254712</v>
      </c>
      <c r="K26" s="48">
        <f>NHH.Performance!M98</f>
        <v>20.606666666666669</v>
      </c>
      <c r="L26" s="48">
        <f>NHH.Performance!N98</f>
        <v>20.7</v>
      </c>
      <c r="M26" s="48">
        <f>NHH.Performance!O98</f>
        <v>20.903333333333332</v>
      </c>
      <c r="N26" s="48">
        <f>NHH.Performance!P98</f>
        <v>21.330000000000002</v>
      </c>
      <c r="O26" s="48">
        <f>NHH.Performance!Q98</f>
        <v>21.943333333333332</v>
      </c>
      <c r="P26" s="48">
        <f>NHH.Performance!R98</f>
        <v>23.653333333333332</v>
      </c>
    </row>
    <row r="27" spans="1:16" ht="13.15" hidden="1" outlineLevel="1" x14ac:dyDescent="0.35">
      <c r="E27" s="1" t="s">
        <v>59</v>
      </c>
      <c r="F27" s="1" t="s">
        <v>85</v>
      </c>
      <c r="G27" s="1" t="s">
        <v>95</v>
      </c>
      <c r="H27" s="1" t="s">
        <v>45</v>
      </c>
      <c r="I27" s="8"/>
      <c r="J27" s="48">
        <f>NHH.Performance!L99</f>
        <v>37.596666666666664</v>
      </c>
      <c r="K27" s="48">
        <f>NHH.Performance!M99</f>
        <v>36.013333333333343</v>
      </c>
      <c r="L27" s="48">
        <f>NHH.Performance!N99</f>
        <v>35.92</v>
      </c>
      <c r="M27" s="48">
        <f>NHH.Performance!O99</f>
        <v>35.25333333333333</v>
      </c>
      <c r="N27" s="48">
        <f>NHH.Performance!P99</f>
        <v>34.516666666666666</v>
      </c>
      <c r="O27" s="48">
        <f>NHH.Performance!Q99</f>
        <v>34.24</v>
      </c>
      <c r="P27" s="48">
        <f>NHH.Performance!R99</f>
        <v>33.643333333333338</v>
      </c>
    </row>
    <row r="28" spans="1:16" ht="13.15" hidden="1" outlineLevel="1" x14ac:dyDescent="0.35">
      <c r="E28" s="1" t="s">
        <v>60</v>
      </c>
      <c r="F28" s="1" t="s">
        <v>85</v>
      </c>
      <c r="G28" s="1" t="s">
        <v>95</v>
      </c>
      <c r="H28" s="1" t="s">
        <v>45</v>
      </c>
      <c r="I28" s="8"/>
      <c r="J28" s="48">
        <f>NHH.Performance!L100</f>
        <v>104.75192012708386</v>
      </c>
      <c r="K28" s="48">
        <f>NHH.Performance!M100</f>
        <v>102.61192012708386</v>
      </c>
      <c r="L28" s="48">
        <f>NHH.Performance!N100</f>
        <v>102.67</v>
      </c>
      <c r="M28" s="48">
        <f>NHH.Performance!O100</f>
        <v>100.36</v>
      </c>
      <c r="N28" s="48">
        <f>NHH.Performance!P100</f>
        <v>97.092601677001426</v>
      </c>
      <c r="O28" s="48">
        <f>NHH.Performance!Q100</f>
        <v>96.07844439655679</v>
      </c>
      <c r="P28" s="48">
        <f>NHH.Performance!R100</f>
        <v>95.059599729551181</v>
      </c>
    </row>
    <row r="29" spans="1:16" ht="13.15" hidden="1" outlineLevel="1" x14ac:dyDescent="0.35">
      <c r="E29" s="1" t="s">
        <v>61</v>
      </c>
      <c r="F29" s="1" t="s">
        <v>85</v>
      </c>
      <c r="G29" s="1" t="s">
        <v>95</v>
      </c>
      <c r="H29" s="1" t="s">
        <v>45</v>
      </c>
      <c r="I29" s="8"/>
      <c r="J29" s="48">
        <f>NHH.Performance!L101</f>
        <v>24.657662708395424</v>
      </c>
      <c r="K29" s="48">
        <f>NHH.Performance!M101</f>
        <v>24.689999999999998</v>
      </c>
      <c r="L29" s="48">
        <f>NHH.Performance!N101</f>
        <v>25.196666666666669</v>
      </c>
      <c r="M29" s="48">
        <f>NHH.Performance!O101</f>
        <v>26.153333333333336</v>
      </c>
      <c r="N29" s="48">
        <f>NHH.Performance!P101</f>
        <v>25.983333333333331</v>
      </c>
      <c r="O29" s="48">
        <f>NHH.Performance!Q101</f>
        <v>25.536666666666665</v>
      </c>
      <c r="P29" s="48">
        <f>NHH.Performance!R101</f>
        <v>24.713333333333335</v>
      </c>
    </row>
    <row r="30" spans="1:16" ht="13.15" collapsed="1" x14ac:dyDescent="0.35">
      <c r="E30" s="1"/>
      <c r="J30" s="50"/>
      <c r="K30" s="50"/>
      <c r="L30" s="50"/>
      <c r="M30" s="50"/>
      <c r="N30" s="50"/>
      <c r="O30" s="50"/>
      <c r="P30" s="50"/>
    </row>
    <row r="31" spans="1:16" s="90" customFormat="1" ht="13.15" x14ac:dyDescent="0.35">
      <c r="A31" s="90" t="s">
        <v>99</v>
      </c>
      <c r="J31" s="91"/>
      <c r="K31" s="91"/>
      <c r="L31" s="91"/>
      <c r="M31" s="91"/>
      <c r="N31" s="91"/>
      <c r="O31" s="91"/>
      <c r="P31" s="91"/>
    </row>
    <row r="32" spans="1:16" ht="13.15" x14ac:dyDescent="0.35">
      <c r="E32" s="1"/>
      <c r="J32" s="50"/>
      <c r="K32" s="50"/>
      <c r="L32" s="50"/>
      <c r="M32" s="50"/>
      <c r="N32" s="50"/>
      <c r="O32" s="50"/>
      <c r="P32" s="50"/>
    </row>
    <row r="33" spans="5:16" ht="13.15" x14ac:dyDescent="0.35">
      <c r="E33" s="1" t="s">
        <v>36</v>
      </c>
      <c r="F33" s="1" t="s">
        <v>85</v>
      </c>
      <c r="G33" s="1" t="s">
        <v>97</v>
      </c>
      <c r="H33" s="1" t="s">
        <v>45</v>
      </c>
      <c r="I33" s="11"/>
      <c r="J33" s="48"/>
      <c r="K33" s="48"/>
      <c r="L33" s="48"/>
      <c r="M33" s="48"/>
      <c r="N33" s="48">
        <f>NHH.WRMP!L33</f>
        <v>274.46205487321066</v>
      </c>
      <c r="O33" s="48">
        <f>NHH.WRMP!M33</f>
        <v>273.10331868383855</v>
      </c>
      <c r="P33" s="48">
        <f>NHH.WRMP!N33</f>
        <v>271.95537116935554</v>
      </c>
    </row>
    <row r="34" spans="5:16" ht="13.15" hidden="1" outlineLevel="1" x14ac:dyDescent="0.35">
      <c r="E34" s="1" t="s">
        <v>46</v>
      </c>
      <c r="F34" s="1" t="s">
        <v>85</v>
      </c>
      <c r="G34" s="1" t="s">
        <v>97</v>
      </c>
      <c r="H34" s="1" t="s">
        <v>45</v>
      </c>
      <c r="I34" s="8"/>
      <c r="J34" s="48"/>
      <c r="K34" s="48"/>
      <c r="L34" s="48"/>
      <c r="M34" s="48"/>
      <c r="N34" s="48" t="str">
        <f>NHH.WRMP!L34</f>
        <v/>
      </c>
      <c r="O34" s="48" t="str">
        <f>NHH.WRMP!M34</f>
        <v/>
      </c>
      <c r="P34" s="48" t="str">
        <f>NHH.WRMP!N34</f>
        <v/>
      </c>
    </row>
    <row r="35" spans="5:16" ht="13.15" hidden="1" outlineLevel="1" x14ac:dyDescent="0.35">
      <c r="E35" s="1" t="s">
        <v>47</v>
      </c>
      <c r="F35" s="1" t="s">
        <v>85</v>
      </c>
      <c r="G35" s="1" t="s">
        <v>97</v>
      </c>
      <c r="H35" s="1" t="s">
        <v>45</v>
      </c>
      <c r="I35" s="8"/>
      <c r="J35" s="48"/>
      <c r="K35" s="48"/>
      <c r="L35" s="48"/>
      <c r="M35" s="48"/>
      <c r="N35" s="48" t="str">
        <f>NHH.WRMP!L35</f>
        <v/>
      </c>
      <c r="O35" s="48" t="str">
        <f>NHH.WRMP!M35</f>
        <v/>
      </c>
      <c r="P35" s="48" t="str">
        <f>NHH.WRMP!N35</f>
        <v/>
      </c>
    </row>
    <row r="36" spans="5:16" ht="13.15" hidden="1" outlineLevel="1" x14ac:dyDescent="0.35">
      <c r="E36" s="1" t="s">
        <v>48</v>
      </c>
      <c r="F36" s="1" t="s">
        <v>85</v>
      </c>
      <c r="G36" s="1" t="s">
        <v>97</v>
      </c>
      <c r="H36" s="1" t="s">
        <v>45</v>
      </c>
      <c r="I36" s="8"/>
      <c r="J36" s="48"/>
      <c r="K36" s="48"/>
      <c r="L36" s="48"/>
      <c r="M36" s="48"/>
      <c r="N36" s="48">
        <f>NHH.WRMP!L36</f>
        <v>229.39826391111515</v>
      </c>
      <c r="O36" s="48">
        <f>NHH.WRMP!M36</f>
        <v>229.12453680953089</v>
      </c>
      <c r="P36" s="48">
        <f>NHH.WRMP!N36</f>
        <v>228.51362879296843</v>
      </c>
    </row>
    <row r="37" spans="5:16" ht="13.15" hidden="1" outlineLevel="1" x14ac:dyDescent="0.35">
      <c r="E37" s="9" t="s">
        <v>70</v>
      </c>
      <c r="F37" s="1" t="s">
        <v>85</v>
      </c>
      <c r="G37" s="1" t="s">
        <v>97</v>
      </c>
      <c r="H37" s="1" t="s">
        <v>45</v>
      </c>
      <c r="I37" s="8"/>
      <c r="J37" s="48"/>
      <c r="K37" s="48"/>
      <c r="L37" s="48"/>
      <c r="M37" s="48"/>
      <c r="N37" s="48">
        <f>NHH.WRMP!L37</f>
        <v>154.75095534076294</v>
      </c>
      <c r="O37" s="48">
        <f>NHH.WRMP!M37</f>
        <v>154.52048269410929</v>
      </c>
      <c r="P37" s="48">
        <f>NHH.WRMP!N37</f>
        <v>154.05799960096678</v>
      </c>
    </row>
    <row r="38" spans="5:16" ht="13.15" hidden="1" outlineLevel="1" x14ac:dyDescent="0.35">
      <c r="E38" s="9" t="s">
        <v>72</v>
      </c>
      <c r="F38" s="1" t="s">
        <v>85</v>
      </c>
      <c r="G38" s="1" t="s">
        <v>97</v>
      </c>
      <c r="H38" s="1" t="s">
        <v>45</v>
      </c>
      <c r="I38" s="8"/>
      <c r="J38" s="48"/>
      <c r="K38" s="48"/>
      <c r="L38" s="48"/>
      <c r="M38" s="48"/>
      <c r="N38" s="48">
        <f>NHH.WRMP!L38</f>
        <v>74.647308570352223</v>
      </c>
      <c r="O38" s="48">
        <f>NHH.WRMP!M38</f>
        <v>74.604054115421604</v>
      </c>
      <c r="P38" s="48">
        <f>NHH.WRMP!N38</f>
        <v>74.455629192001652</v>
      </c>
    </row>
    <row r="39" spans="5:16" ht="13.15" hidden="1" outlineLevel="1" x14ac:dyDescent="0.35">
      <c r="E39" s="1" t="s">
        <v>49</v>
      </c>
      <c r="F39" s="1" t="s">
        <v>85</v>
      </c>
      <c r="G39" s="1" t="s">
        <v>97</v>
      </c>
      <c r="H39" s="1" t="s">
        <v>45</v>
      </c>
      <c r="I39" s="8"/>
      <c r="J39" s="48"/>
      <c r="K39" s="48"/>
      <c r="L39" s="48"/>
      <c r="M39" s="48"/>
      <c r="N39" s="48">
        <f>NHH.WRMP!L39</f>
        <v>340.81700088711995</v>
      </c>
      <c r="O39" s="48">
        <f>NHH.WRMP!M39</f>
        <v>336.15131148396432</v>
      </c>
      <c r="P39" s="48">
        <f>NHH.WRMP!N39</f>
        <v>331.2034355588699</v>
      </c>
    </row>
    <row r="40" spans="5:16" ht="13.15" hidden="1" outlineLevel="1" x14ac:dyDescent="0.35">
      <c r="E40" s="1" t="s">
        <v>50</v>
      </c>
      <c r="F40" s="1" t="s">
        <v>85</v>
      </c>
      <c r="G40" s="1" t="s">
        <v>97</v>
      </c>
      <c r="H40" s="1" t="s">
        <v>45</v>
      </c>
      <c r="I40" s="8"/>
      <c r="J40" s="48"/>
      <c r="K40" s="48"/>
      <c r="L40" s="48"/>
      <c r="M40" s="48"/>
      <c r="N40" s="48">
        <f>NHH.WRMP!L40</f>
        <v>151.54350112295538</v>
      </c>
      <c r="O40" s="48">
        <f>NHH.WRMP!M40</f>
        <v>149.92146177916285</v>
      </c>
      <c r="P40" s="48">
        <f>NHH.WRMP!N40</f>
        <v>148.35638405449475</v>
      </c>
    </row>
    <row r="41" spans="5:16" ht="13.15" hidden="1" outlineLevel="1" x14ac:dyDescent="0.35">
      <c r="E41" s="1" t="s">
        <v>51</v>
      </c>
      <c r="F41" s="1" t="s">
        <v>85</v>
      </c>
      <c r="G41" s="1" t="s">
        <v>97</v>
      </c>
      <c r="H41" s="1" t="s">
        <v>45</v>
      </c>
      <c r="I41" s="8"/>
      <c r="J41" s="48"/>
      <c r="K41" s="48"/>
      <c r="L41" s="48"/>
      <c r="M41" s="48"/>
      <c r="N41" s="48">
        <f>NHH.WRMP!L41</f>
        <v>101.76727280187394</v>
      </c>
      <c r="O41" s="48">
        <f>NHH.WRMP!M41</f>
        <v>101.53150382618911</v>
      </c>
      <c r="P41" s="48">
        <f>NHH.WRMP!N41</f>
        <v>101.34892755632789</v>
      </c>
    </row>
    <row r="42" spans="5:16" ht="13.15" hidden="1" outlineLevel="1" x14ac:dyDescent="0.35">
      <c r="E42" s="1" t="s">
        <v>52</v>
      </c>
      <c r="F42" s="1" t="s">
        <v>85</v>
      </c>
      <c r="G42" s="1" t="s">
        <v>97</v>
      </c>
      <c r="H42" s="1" t="s">
        <v>45</v>
      </c>
      <c r="I42" s="8"/>
      <c r="J42" s="48"/>
      <c r="K42" s="48"/>
      <c r="L42" s="48"/>
      <c r="M42" s="48"/>
      <c r="N42" s="48">
        <f>NHH.WRMP!L42</f>
        <v>504.11885508187862</v>
      </c>
      <c r="O42" s="48">
        <f>NHH.WRMP!M42</f>
        <v>502.06688705044417</v>
      </c>
      <c r="P42" s="48">
        <f>NHH.WRMP!N42</f>
        <v>499.42170719258894</v>
      </c>
    </row>
    <row r="43" spans="5:16" ht="13.15" hidden="1" outlineLevel="1" x14ac:dyDescent="0.35">
      <c r="E43" s="1" t="s">
        <v>74</v>
      </c>
      <c r="F43" s="1" t="s">
        <v>85</v>
      </c>
      <c r="G43" s="1" t="s">
        <v>97</v>
      </c>
      <c r="H43" s="1" t="s">
        <v>45</v>
      </c>
      <c r="I43" s="8"/>
      <c r="J43" s="48"/>
      <c r="K43" s="48"/>
      <c r="L43" s="48"/>
      <c r="M43" s="48"/>
      <c r="N43" s="48">
        <f>NHH.WRMP!L43</f>
        <v>348.7814025129623</v>
      </c>
      <c r="O43" s="48">
        <f>NHH.WRMP!M43</f>
        <v>346.51794921675599</v>
      </c>
      <c r="P43" s="48">
        <f>NHH.WRMP!N43</f>
        <v>344.27734603104665</v>
      </c>
    </row>
    <row r="44" spans="5:16" ht="13.15" hidden="1" outlineLevel="1" x14ac:dyDescent="0.35">
      <c r="E44" s="1" t="s">
        <v>54</v>
      </c>
      <c r="F44" s="1" t="s">
        <v>85</v>
      </c>
      <c r="G44" s="1" t="s">
        <v>97</v>
      </c>
      <c r="H44" s="1" t="s">
        <v>45</v>
      </c>
      <c r="I44" s="8"/>
      <c r="J44" s="48"/>
      <c r="K44" s="48"/>
      <c r="L44" s="48"/>
      <c r="M44" s="48"/>
      <c r="N44" s="48">
        <f>NHH.WRMP!L44</f>
        <v>92.409964188690992</v>
      </c>
      <c r="O44" s="48">
        <f>NHH.WRMP!M44</f>
        <v>91.297157675864</v>
      </c>
      <c r="P44" s="48">
        <f>NHH.WRMP!N44</f>
        <v>90.217377546189425</v>
      </c>
    </row>
    <row r="45" spans="5:16" ht="13.15" hidden="1" outlineLevel="1" x14ac:dyDescent="0.35">
      <c r="E45" s="1" t="s">
        <v>55</v>
      </c>
      <c r="F45" s="1" t="s">
        <v>85</v>
      </c>
      <c r="G45" s="1" t="s">
        <v>97</v>
      </c>
      <c r="H45" s="1" t="s">
        <v>45</v>
      </c>
      <c r="I45" s="8"/>
      <c r="J45" s="48"/>
      <c r="K45" s="48"/>
      <c r="L45" s="48"/>
      <c r="M45" s="48"/>
      <c r="N45" s="48">
        <f>NHH.WRMP!L45</f>
        <v>269.73792288863973</v>
      </c>
      <c r="O45" s="48">
        <f>NHH.WRMP!M45</f>
        <v>268.48848415582938</v>
      </c>
      <c r="P45" s="48">
        <f>NHH.WRMP!N45</f>
        <v>267.19344308000763</v>
      </c>
    </row>
    <row r="46" spans="5:16" ht="13.15" hidden="1" outlineLevel="1" x14ac:dyDescent="0.35">
      <c r="E46" s="1" t="s">
        <v>56</v>
      </c>
      <c r="F46" s="1" t="s">
        <v>85</v>
      </c>
      <c r="G46" s="1" t="s">
        <v>97</v>
      </c>
      <c r="H46" s="1" t="s">
        <v>45</v>
      </c>
      <c r="I46" s="8"/>
      <c r="J46" s="48"/>
      <c r="K46" s="48"/>
      <c r="L46" s="48"/>
      <c r="M46" s="48"/>
      <c r="N46" s="48">
        <f>NHH.WRMP!L46</f>
        <v>186.28139161680232</v>
      </c>
      <c r="O46" s="48">
        <f>NHH.WRMP!M46</f>
        <v>185.89903941409696</v>
      </c>
      <c r="P46" s="48">
        <f>NHH.WRMP!N46</f>
        <v>185.47709994239781</v>
      </c>
    </row>
    <row r="47" spans="5:16" ht="13.15" hidden="1" outlineLevel="1" x14ac:dyDescent="0.35">
      <c r="E47" s="1" t="s">
        <v>57</v>
      </c>
      <c r="F47" s="1" t="s">
        <v>85</v>
      </c>
      <c r="G47" s="1" t="s">
        <v>97</v>
      </c>
      <c r="H47" s="1" t="s">
        <v>45</v>
      </c>
      <c r="I47" s="8"/>
      <c r="J47" s="48"/>
      <c r="K47" s="48"/>
      <c r="L47" s="48"/>
      <c r="M47" s="48"/>
      <c r="N47" s="48">
        <f>NHH.WRMP!L47</f>
        <v>54.53</v>
      </c>
      <c r="O47" s="48">
        <f>NHH.WRMP!M47</f>
        <v>54</v>
      </c>
      <c r="P47" s="48">
        <f>NHH.WRMP!N47</f>
        <v>53.606666666666676</v>
      </c>
    </row>
    <row r="48" spans="5:16" ht="13.15" hidden="1" outlineLevel="1" x14ac:dyDescent="0.35">
      <c r="E48" s="1" t="s">
        <v>58</v>
      </c>
      <c r="F48" s="1" t="s">
        <v>85</v>
      </c>
      <c r="G48" s="1" t="s">
        <v>97</v>
      </c>
      <c r="H48" s="1" t="s">
        <v>45</v>
      </c>
      <c r="I48" s="8"/>
      <c r="J48" s="48"/>
      <c r="K48" s="48"/>
      <c r="L48" s="48"/>
      <c r="M48" s="48"/>
      <c r="N48" s="48">
        <f>NHH.WRMP!L48</f>
        <v>77.209510309039317</v>
      </c>
      <c r="O48" s="48">
        <f>NHH.WRMP!M48</f>
        <v>77.082415810466955</v>
      </c>
      <c r="P48" s="48">
        <f>NHH.WRMP!N48</f>
        <v>76.911943084602811</v>
      </c>
    </row>
    <row r="49" spans="1:16" ht="13.15" hidden="1" outlineLevel="1" x14ac:dyDescent="0.35">
      <c r="E49" s="1" t="s">
        <v>75</v>
      </c>
      <c r="F49" s="1" t="s">
        <v>85</v>
      </c>
      <c r="G49" s="1" t="s">
        <v>97</v>
      </c>
      <c r="H49" s="1" t="s">
        <v>45</v>
      </c>
      <c r="I49" s="8"/>
      <c r="J49" s="48"/>
      <c r="K49" s="48"/>
      <c r="L49" s="48"/>
      <c r="M49" s="48"/>
      <c r="N49" s="48">
        <f>NHH.WRMP!L49</f>
        <v>55.036444728899191</v>
      </c>
      <c r="O49" s="48">
        <f>NHH.WRMP!M49</f>
        <v>54.907726924281313</v>
      </c>
      <c r="P49" s="48">
        <f>NHH.WRMP!N49</f>
        <v>54.735067647594803</v>
      </c>
    </row>
    <row r="50" spans="1:16" ht="13.15" hidden="1" outlineLevel="1" x14ac:dyDescent="0.35">
      <c r="E50" s="1" t="s">
        <v>76</v>
      </c>
      <c r="F50" s="1" t="s">
        <v>85</v>
      </c>
      <c r="G50" s="1" t="s">
        <v>97</v>
      </c>
      <c r="H50" s="1" t="s">
        <v>45</v>
      </c>
      <c r="I50" s="8"/>
      <c r="J50" s="48"/>
      <c r="K50" s="48"/>
      <c r="L50" s="48"/>
      <c r="M50" s="48"/>
      <c r="N50" s="48">
        <f>NHH.WRMP!L50</f>
        <v>22.173065580140129</v>
      </c>
      <c r="O50" s="48">
        <f>NHH.WRMP!M50</f>
        <v>22.174688886185645</v>
      </c>
      <c r="P50" s="48">
        <f>NHH.WRMP!N50</f>
        <v>22.176875437008004</v>
      </c>
    </row>
    <row r="51" spans="1:16" ht="13.15" hidden="1" outlineLevel="1" x14ac:dyDescent="0.35">
      <c r="E51" s="1" t="s">
        <v>59</v>
      </c>
      <c r="F51" s="1" t="s">
        <v>85</v>
      </c>
      <c r="G51" s="1" t="s">
        <v>97</v>
      </c>
      <c r="H51" s="1" t="s">
        <v>45</v>
      </c>
      <c r="I51" s="8"/>
      <c r="J51" s="48"/>
      <c r="K51" s="48"/>
      <c r="L51" s="48"/>
      <c r="M51" s="48"/>
      <c r="N51" s="48">
        <f>NHH.WRMP!L51</f>
        <v>35.896375680800816</v>
      </c>
      <c r="O51" s="48">
        <f>NHH.WRMP!M51</f>
        <v>35.411494035423537</v>
      </c>
      <c r="P51" s="48">
        <f>NHH.WRMP!N51</f>
        <v>34.939670842385681</v>
      </c>
    </row>
    <row r="52" spans="1:16" ht="13.15" hidden="1" outlineLevel="1" x14ac:dyDescent="0.35">
      <c r="E52" s="1" t="s">
        <v>60</v>
      </c>
      <c r="F52" s="1" t="s">
        <v>85</v>
      </c>
      <c r="G52" s="1" t="s">
        <v>97</v>
      </c>
      <c r="H52" s="1" t="s">
        <v>45</v>
      </c>
      <c r="I52" s="8"/>
      <c r="J52" s="48"/>
      <c r="K52" s="48"/>
      <c r="L52" s="48"/>
      <c r="M52" s="48"/>
      <c r="N52" s="48">
        <f>NHH.WRMP!L52</f>
        <v>130.41893268908936</v>
      </c>
      <c r="O52" s="48">
        <f>NHH.WRMP!M52</f>
        <v>130.75969697776031</v>
      </c>
      <c r="P52" s="48">
        <f>NHH.WRMP!N52</f>
        <v>131.11890009924082</v>
      </c>
    </row>
    <row r="53" spans="1:16" ht="13.15" hidden="1" outlineLevel="1" x14ac:dyDescent="0.35">
      <c r="E53" s="1" t="s">
        <v>61</v>
      </c>
      <c r="F53" s="1" t="s">
        <v>85</v>
      </c>
      <c r="G53" s="1" t="s">
        <v>97</v>
      </c>
      <c r="H53" s="1" t="s">
        <v>45</v>
      </c>
      <c r="I53" s="8"/>
      <c r="J53" s="48"/>
      <c r="K53" s="48"/>
      <c r="L53" s="48"/>
      <c r="M53" s="48"/>
      <c r="N53" s="48">
        <f>NHH.WRMP!L53</f>
        <v>25.558444546653192</v>
      </c>
      <c r="O53" s="48">
        <f>NHH.WRMP!M53</f>
        <v>25.505873806471712</v>
      </c>
      <c r="P53" s="48">
        <f>NHH.WRMP!N53</f>
        <v>25.446617468314898</v>
      </c>
    </row>
    <row r="54" spans="1:16" ht="13.15" collapsed="1" x14ac:dyDescent="0.35">
      <c r="E54" s="1"/>
      <c r="J54" s="50"/>
      <c r="K54" s="50"/>
      <c r="L54" s="50"/>
      <c r="M54" s="50"/>
      <c r="N54" s="50"/>
      <c r="O54" s="50"/>
      <c r="P54" s="50"/>
    </row>
    <row r="55" spans="1:16" s="90" customFormat="1" ht="13.15" x14ac:dyDescent="0.35">
      <c r="A55" s="90" t="s">
        <v>100</v>
      </c>
      <c r="J55" s="91"/>
      <c r="K55" s="91"/>
      <c r="L55" s="91"/>
      <c r="M55" s="91"/>
      <c r="N55" s="91"/>
      <c r="O55" s="91"/>
      <c r="P55" s="91"/>
    </row>
    <row r="56" spans="1:16" ht="13.15" x14ac:dyDescent="0.35">
      <c r="E56" s="1"/>
      <c r="J56" s="50"/>
      <c r="K56" s="50"/>
      <c r="L56" s="50"/>
      <c r="M56" s="50"/>
      <c r="N56" s="50"/>
      <c r="O56" s="50"/>
      <c r="P56" s="50"/>
    </row>
    <row r="57" spans="1:16" ht="13.15" x14ac:dyDescent="0.35">
      <c r="E57" s="1" t="s">
        <v>36</v>
      </c>
      <c r="F57" s="1" t="s">
        <v>85</v>
      </c>
      <c r="G57" s="1" t="s">
        <v>100</v>
      </c>
      <c r="H57" s="1" t="s">
        <v>45</v>
      </c>
      <c r="I57" s="11"/>
      <c r="J57" s="50"/>
      <c r="K57" s="50"/>
      <c r="L57" s="50"/>
      <c r="M57" s="50"/>
      <c r="N57" s="50">
        <f>IF(N33="","",N33-N9)</f>
        <v>4.3543383830959215</v>
      </c>
      <c r="O57" s="50">
        <f t="shared" ref="O57" si="0">IF(O33="","",O33-O9)</f>
        <v>-4.808071224310595</v>
      </c>
      <c r="P57" s="50">
        <f>IF(P33="","",P33-P9)</f>
        <v>-11.562856332532306</v>
      </c>
    </row>
    <row r="58" spans="1:16" ht="13.15" hidden="1" outlineLevel="1" x14ac:dyDescent="0.35">
      <c r="E58" s="1" t="s">
        <v>46</v>
      </c>
      <c r="F58" s="1" t="s">
        <v>85</v>
      </c>
      <c r="G58" s="1" t="s">
        <v>100</v>
      </c>
      <c r="H58" s="1" t="s">
        <v>45</v>
      </c>
      <c r="I58" s="8"/>
      <c r="J58" s="50"/>
      <c r="K58" s="50"/>
      <c r="L58" s="50"/>
      <c r="M58" s="50"/>
      <c r="N58" s="50" t="str">
        <f t="shared" ref="N58:P58" si="1">IF(N34="","",N34-N10)</f>
        <v/>
      </c>
      <c r="O58" s="50" t="str">
        <f t="shared" si="1"/>
        <v/>
      </c>
      <c r="P58" s="50" t="str">
        <f t="shared" si="1"/>
        <v/>
      </c>
    </row>
    <row r="59" spans="1:16" ht="13.15" hidden="1" outlineLevel="1" x14ac:dyDescent="0.35">
      <c r="E59" s="1" t="s">
        <v>47</v>
      </c>
      <c r="F59" s="1" t="s">
        <v>85</v>
      </c>
      <c r="G59" s="1" t="s">
        <v>100</v>
      </c>
      <c r="H59" s="1" t="s">
        <v>45</v>
      </c>
      <c r="I59" s="8"/>
      <c r="J59" s="50"/>
      <c r="K59" s="50"/>
      <c r="L59" s="50"/>
      <c r="M59" s="50"/>
      <c r="N59" s="50" t="str">
        <f t="shared" ref="N59:P59" si="2">IF(N35="","",N35-N11)</f>
        <v/>
      </c>
      <c r="O59" s="50" t="str">
        <f t="shared" si="2"/>
        <v/>
      </c>
      <c r="P59" s="50" t="str">
        <f t="shared" si="2"/>
        <v/>
      </c>
    </row>
    <row r="60" spans="1:16" ht="13.15" hidden="1" outlineLevel="1" x14ac:dyDescent="0.35">
      <c r="E60" s="1" t="s">
        <v>48</v>
      </c>
      <c r="F60" s="1" t="s">
        <v>85</v>
      </c>
      <c r="G60" s="1" t="s">
        <v>100</v>
      </c>
      <c r="H60" s="1" t="s">
        <v>45</v>
      </c>
      <c r="I60" s="8"/>
      <c r="J60" s="50"/>
      <c r="K60" s="50"/>
      <c r="L60" s="50"/>
      <c r="M60" s="50"/>
      <c r="N60" s="50">
        <f t="shared" ref="N60:P60" si="3">IF(N36="","",N36-N12)</f>
        <v>3.9549305777818518</v>
      </c>
      <c r="O60" s="50">
        <f t="shared" si="3"/>
        <v>5.2312034761975497</v>
      </c>
      <c r="P60" s="50">
        <f t="shared" si="3"/>
        <v>10.583628792968454</v>
      </c>
    </row>
    <row r="61" spans="1:16" ht="13.15" hidden="1" outlineLevel="1" x14ac:dyDescent="0.35">
      <c r="E61" s="9" t="s">
        <v>70</v>
      </c>
      <c r="F61" s="1" t="s">
        <v>85</v>
      </c>
      <c r="G61" s="1" t="s">
        <v>100</v>
      </c>
      <c r="H61" s="1" t="s">
        <v>45</v>
      </c>
      <c r="I61" s="8"/>
      <c r="J61" s="50"/>
      <c r="K61" s="50"/>
      <c r="L61" s="50"/>
      <c r="M61" s="50"/>
      <c r="N61" s="50">
        <f t="shared" ref="N61:P61" si="4">IF(N37="","",N37-N13)</f>
        <v>7.2709553407629244</v>
      </c>
      <c r="O61" s="50">
        <f t="shared" si="4"/>
        <v>8.0004826941092801</v>
      </c>
      <c r="P61" s="50">
        <f t="shared" si="4"/>
        <v>10.854666267633434</v>
      </c>
    </row>
    <row r="62" spans="1:16" ht="13.15" hidden="1" outlineLevel="1" x14ac:dyDescent="0.35">
      <c r="E62" s="9" t="s">
        <v>72</v>
      </c>
      <c r="F62" s="1" t="s">
        <v>85</v>
      </c>
      <c r="G62" s="1" t="s">
        <v>100</v>
      </c>
      <c r="H62" s="1" t="s">
        <v>45</v>
      </c>
      <c r="I62" s="8"/>
      <c r="J62" s="50"/>
      <c r="K62" s="50"/>
      <c r="L62" s="50"/>
      <c r="M62" s="50"/>
      <c r="N62" s="50">
        <f t="shared" ref="N62:P62" si="5">IF(N38="","",N38-N14)</f>
        <v>-3.3126914296477707</v>
      </c>
      <c r="O62" s="50">
        <f t="shared" si="5"/>
        <v>-2.7626125512450699</v>
      </c>
      <c r="P62" s="50">
        <f t="shared" si="5"/>
        <v>-0.2643708079983611</v>
      </c>
    </row>
    <row r="63" spans="1:16" ht="13.15" hidden="1" outlineLevel="1" x14ac:dyDescent="0.35">
      <c r="E63" s="1" t="s">
        <v>49</v>
      </c>
      <c r="F63" s="1" t="s">
        <v>85</v>
      </c>
      <c r="G63" s="1" t="s">
        <v>100</v>
      </c>
      <c r="H63" s="1" t="s">
        <v>45</v>
      </c>
      <c r="I63" s="8"/>
      <c r="J63" s="50"/>
      <c r="K63" s="50"/>
      <c r="L63" s="50"/>
      <c r="M63" s="50"/>
      <c r="N63" s="50">
        <f t="shared" ref="N63:P63" si="6">IF(N39="","",N39-N15)</f>
        <v>-26.576945216051172</v>
      </c>
      <c r="O63" s="50">
        <f t="shared" si="6"/>
        <v>-29.858860614800676</v>
      </c>
      <c r="P63" s="50">
        <f t="shared" si="6"/>
        <v>-36.957305735189266</v>
      </c>
    </row>
    <row r="64" spans="1:16" ht="13.15" hidden="1" outlineLevel="1" x14ac:dyDescent="0.35">
      <c r="E64" s="1" t="s">
        <v>50</v>
      </c>
      <c r="F64" s="1" t="s">
        <v>85</v>
      </c>
      <c r="G64" s="1" t="s">
        <v>100</v>
      </c>
      <c r="H64" s="1" t="s">
        <v>45</v>
      </c>
      <c r="I64" s="8"/>
      <c r="J64" s="50"/>
      <c r="K64" s="50"/>
      <c r="L64" s="50"/>
      <c r="M64" s="50"/>
      <c r="N64" s="50">
        <f t="shared" ref="N64:P64" si="7">IF(N40="","",N40-N16)</f>
        <v>4.0555781019102994</v>
      </c>
      <c r="O64" s="50">
        <f t="shared" si="7"/>
        <v>1.7561784039457393</v>
      </c>
      <c r="P64" s="50">
        <f t="shared" si="7"/>
        <v>2.1893799392933886</v>
      </c>
    </row>
    <row r="65" spans="1:16" ht="13.15" hidden="1" outlineLevel="1" x14ac:dyDescent="0.35">
      <c r="E65" s="1" t="s">
        <v>51</v>
      </c>
      <c r="F65" s="1" t="s">
        <v>85</v>
      </c>
      <c r="G65" s="1" t="s">
        <v>100</v>
      </c>
      <c r="H65" s="1" t="s">
        <v>45</v>
      </c>
      <c r="I65" s="8"/>
      <c r="J65" s="50"/>
      <c r="K65" s="50"/>
      <c r="L65" s="50"/>
      <c r="M65" s="50"/>
      <c r="N65" s="50">
        <f t="shared" ref="N65:P65" si="8">IF(N41="","",N41-N17)</f>
        <v>-10.826129170345169</v>
      </c>
      <c r="O65" s="50">
        <f t="shared" si="8"/>
        <v>-14.350615899086975</v>
      </c>
      <c r="P65" s="50">
        <f t="shared" si="8"/>
        <v>-15.605855038161735</v>
      </c>
    </row>
    <row r="66" spans="1:16" ht="13.15" hidden="1" outlineLevel="1" x14ac:dyDescent="0.35">
      <c r="E66" s="1" t="s">
        <v>52</v>
      </c>
      <c r="F66" s="1" t="s">
        <v>85</v>
      </c>
      <c r="G66" s="1" t="s">
        <v>100</v>
      </c>
      <c r="H66" s="1" t="s">
        <v>45</v>
      </c>
      <c r="I66" s="8"/>
      <c r="J66" s="50"/>
      <c r="K66" s="50"/>
      <c r="L66" s="50"/>
      <c r="M66" s="50"/>
      <c r="N66" s="50">
        <f t="shared" ref="N66:P66" si="9">IF(N42="","",N42-N18)</f>
        <v>14.112188415211961</v>
      </c>
      <c r="O66" s="50">
        <f t="shared" si="9"/>
        <v>18.97022038377753</v>
      </c>
      <c r="P66" s="50">
        <f t="shared" si="9"/>
        <v>22.400152545742969</v>
      </c>
    </row>
    <row r="67" spans="1:16" ht="13.15" hidden="1" outlineLevel="1" x14ac:dyDescent="0.35">
      <c r="E67" s="1" t="s">
        <v>74</v>
      </c>
      <c r="F67" s="1" t="s">
        <v>85</v>
      </c>
      <c r="G67" s="1" t="s">
        <v>100</v>
      </c>
      <c r="H67" s="1" t="s">
        <v>45</v>
      </c>
      <c r="I67" s="8"/>
      <c r="J67" s="50"/>
      <c r="K67" s="50"/>
      <c r="L67" s="50"/>
      <c r="M67" s="50"/>
      <c r="N67" s="50">
        <f t="shared" ref="N67:P67" si="10">IF(N43="","",N43-N19)</f>
        <v>-19.404716431255224</v>
      </c>
      <c r="O67" s="50">
        <f t="shared" si="10"/>
        <v>-23.912590330966509</v>
      </c>
      <c r="P67" s="50">
        <f t="shared" si="10"/>
        <v>-29.051940173082016</v>
      </c>
    </row>
    <row r="68" spans="1:16" ht="13.15" hidden="1" outlineLevel="1" x14ac:dyDescent="0.35">
      <c r="E68" s="1" t="s">
        <v>54</v>
      </c>
      <c r="F68" s="1" t="s">
        <v>85</v>
      </c>
      <c r="G68" s="1" t="s">
        <v>100</v>
      </c>
      <c r="H68" s="1" t="s">
        <v>45</v>
      </c>
      <c r="I68" s="8"/>
      <c r="J68" s="50"/>
      <c r="K68" s="50"/>
      <c r="L68" s="50"/>
      <c r="M68" s="50"/>
      <c r="N68" s="50">
        <f t="shared" ref="N68:P68" si="11">IF(N44="","",N44-N20)</f>
        <v>-5.6867024779756576</v>
      </c>
      <c r="O68" s="50">
        <f t="shared" si="11"/>
        <v>-7.4295089908026739</v>
      </c>
      <c r="P68" s="50">
        <f t="shared" si="11"/>
        <v>-7.7192891204772422</v>
      </c>
    </row>
    <row r="69" spans="1:16" ht="13.15" hidden="1" outlineLevel="1" x14ac:dyDescent="0.35">
      <c r="E69" s="1" t="s">
        <v>55</v>
      </c>
      <c r="F69" s="1" t="s">
        <v>85</v>
      </c>
      <c r="G69" s="1" t="s">
        <v>100</v>
      </c>
      <c r="H69" s="1" t="s">
        <v>45</v>
      </c>
      <c r="I69" s="8"/>
      <c r="J69" s="50"/>
      <c r="K69" s="50"/>
      <c r="L69" s="50"/>
      <c r="M69" s="50"/>
      <c r="N69" s="50">
        <f t="shared" ref="N69:P69" si="12">IF(N45="","",N45-N21)</f>
        <v>-0.96207711136025864</v>
      </c>
      <c r="O69" s="50">
        <f t="shared" si="12"/>
        <v>-9.6048491775039224</v>
      </c>
      <c r="P69" s="50">
        <f t="shared" si="12"/>
        <v>-13.859890253325716</v>
      </c>
    </row>
    <row r="70" spans="1:16" ht="13.15" hidden="1" outlineLevel="1" x14ac:dyDescent="0.35">
      <c r="E70" s="1" t="s">
        <v>56</v>
      </c>
      <c r="F70" s="1" t="s">
        <v>85</v>
      </c>
      <c r="G70" s="1" t="s">
        <v>100</v>
      </c>
      <c r="H70" s="1" t="s">
        <v>45</v>
      </c>
      <c r="I70" s="8"/>
      <c r="J70" s="50"/>
      <c r="K70" s="50"/>
      <c r="L70" s="50"/>
      <c r="M70" s="50"/>
      <c r="N70" s="50">
        <f t="shared" ref="N70:P70" si="13">IF(N46="","",N46-N22)</f>
        <v>12.879085329505955</v>
      </c>
      <c r="O70" s="50">
        <f t="shared" si="13"/>
        <v>7.9650589570392469</v>
      </c>
      <c r="P70" s="50">
        <f t="shared" si="13"/>
        <v>6.0495517960233087</v>
      </c>
    </row>
    <row r="71" spans="1:16" ht="13.15" hidden="1" outlineLevel="1" x14ac:dyDescent="0.35">
      <c r="E71" s="1" t="s">
        <v>57</v>
      </c>
      <c r="F71" s="1" t="s">
        <v>85</v>
      </c>
      <c r="G71" s="1" t="s">
        <v>100</v>
      </c>
      <c r="H71" s="1" t="s">
        <v>45</v>
      </c>
      <c r="I71" s="8"/>
      <c r="J71" s="50"/>
      <c r="K71" s="50"/>
      <c r="L71" s="50"/>
      <c r="M71" s="50"/>
      <c r="N71" s="50">
        <f t="shared" ref="N71:P71" si="14">IF(N47="","",N47-N23)</f>
        <v>-5.2526049508333372</v>
      </c>
      <c r="O71" s="50">
        <f t="shared" si="14"/>
        <v>-5.9791443059225458</v>
      </c>
      <c r="P71" s="50">
        <f t="shared" si="14"/>
        <v>-5.9731072909544167</v>
      </c>
    </row>
    <row r="72" spans="1:16" ht="13.15" hidden="1" outlineLevel="1" x14ac:dyDescent="0.35">
      <c r="E72" s="1" t="s">
        <v>58</v>
      </c>
      <c r="F72" s="1" t="s">
        <v>85</v>
      </c>
      <c r="G72" s="1" t="s">
        <v>100</v>
      </c>
      <c r="H72" s="1" t="s">
        <v>45</v>
      </c>
      <c r="I72" s="8"/>
      <c r="J72" s="50"/>
      <c r="K72" s="50"/>
      <c r="L72" s="50"/>
      <c r="M72" s="50"/>
      <c r="N72" s="50">
        <f t="shared" ref="N72:P72" si="15">IF(N48="","",N48-N24)</f>
        <v>1.1795103090393155</v>
      </c>
      <c r="O72" s="50">
        <f t="shared" si="15"/>
        <v>-0.94758418953303192</v>
      </c>
      <c r="P72" s="50">
        <f t="shared" si="15"/>
        <v>-4.8613902487305154</v>
      </c>
    </row>
    <row r="73" spans="1:16" ht="13.15" hidden="1" outlineLevel="1" x14ac:dyDescent="0.35">
      <c r="E73" s="1" t="s">
        <v>75</v>
      </c>
      <c r="F73" s="1" t="s">
        <v>85</v>
      </c>
      <c r="G73" s="1" t="s">
        <v>100</v>
      </c>
      <c r="H73" s="1" t="s">
        <v>45</v>
      </c>
      <c r="I73" s="8"/>
      <c r="J73" s="50"/>
      <c r="K73" s="50"/>
      <c r="L73" s="50"/>
      <c r="M73" s="50"/>
      <c r="N73" s="50">
        <f t="shared" ref="N73:P73" si="16">IF(N49="","",N49-N25)</f>
        <v>0.33644472889919541</v>
      </c>
      <c r="O73" s="50">
        <f t="shared" si="16"/>
        <v>-1.1789397423853529</v>
      </c>
      <c r="P73" s="50">
        <f t="shared" si="16"/>
        <v>-3.384932352405194</v>
      </c>
    </row>
    <row r="74" spans="1:16" ht="13.15" hidden="1" outlineLevel="1" x14ac:dyDescent="0.35">
      <c r="E74" s="1" t="s">
        <v>76</v>
      </c>
      <c r="F74" s="1" t="s">
        <v>85</v>
      </c>
      <c r="G74" s="1" t="s">
        <v>100</v>
      </c>
      <c r="H74" s="1" t="s">
        <v>45</v>
      </c>
      <c r="I74" s="8"/>
      <c r="J74" s="50"/>
      <c r="K74" s="50"/>
      <c r="L74" s="50"/>
      <c r="M74" s="50"/>
      <c r="N74" s="50">
        <f t="shared" ref="N74:P74" si="17">IF(N50="","",N50-N26)</f>
        <v>0.84306558014012722</v>
      </c>
      <c r="O74" s="50">
        <f t="shared" si="17"/>
        <v>0.23135555285231391</v>
      </c>
      <c r="P74" s="50">
        <f t="shared" si="17"/>
        <v>-1.4764578963253285</v>
      </c>
    </row>
    <row r="75" spans="1:16" ht="13.15" hidden="1" outlineLevel="1" x14ac:dyDescent="0.35">
      <c r="E75" s="1" t="s">
        <v>59</v>
      </c>
      <c r="F75" s="1" t="s">
        <v>85</v>
      </c>
      <c r="G75" s="1" t="s">
        <v>100</v>
      </c>
      <c r="H75" s="1" t="s">
        <v>45</v>
      </c>
      <c r="I75" s="8"/>
      <c r="J75" s="50"/>
      <c r="K75" s="50"/>
      <c r="L75" s="50"/>
      <c r="M75" s="50"/>
      <c r="N75" s="50">
        <f t="shared" ref="N75:P75" si="18">IF(N51="","",N51-N27)</f>
        <v>1.3797090141341499</v>
      </c>
      <c r="O75" s="50">
        <f t="shared" si="18"/>
        <v>1.1714940354235353</v>
      </c>
      <c r="P75" s="50">
        <f t="shared" si="18"/>
        <v>1.2963375090523428</v>
      </c>
    </row>
    <row r="76" spans="1:16" ht="13.15" hidden="1" outlineLevel="1" x14ac:dyDescent="0.35">
      <c r="E76" s="1" t="s">
        <v>60</v>
      </c>
      <c r="F76" s="1" t="s">
        <v>85</v>
      </c>
      <c r="G76" s="1" t="s">
        <v>100</v>
      </c>
      <c r="H76" s="1" t="s">
        <v>45</v>
      </c>
      <c r="I76" s="8"/>
      <c r="J76" s="50"/>
      <c r="K76" s="50"/>
      <c r="L76" s="50"/>
      <c r="M76" s="50"/>
      <c r="N76" s="50">
        <f t="shared" ref="N76:P76" si="19">IF(N52="","",N52-N28)</f>
        <v>33.326331012087934</v>
      </c>
      <c r="O76" s="50">
        <f t="shared" si="19"/>
        <v>34.681252581203523</v>
      </c>
      <c r="P76" s="50">
        <f t="shared" si="19"/>
        <v>36.059300369689637</v>
      </c>
    </row>
    <row r="77" spans="1:16" ht="13.15" hidden="1" outlineLevel="1" x14ac:dyDescent="0.35">
      <c r="E77" s="1" t="s">
        <v>61</v>
      </c>
      <c r="F77" s="1" t="s">
        <v>85</v>
      </c>
      <c r="G77" s="1" t="s">
        <v>100</v>
      </c>
      <c r="H77" s="1" t="s">
        <v>45</v>
      </c>
      <c r="I77" s="8"/>
      <c r="J77" s="50"/>
      <c r="K77" s="50"/>
      <c r="L77" s="50"/>
      <c r="M77" s="50"/>
      <c r="N77" s="50">
        <f t="shared" ref="N77:P77" si="20">IF(N53="","",N53-N29)</f>
        <v>-0.42488878668013896</v>
      </c>
      <c r="O77" s="50">
        <f t="shared" si="20"/>
        <v>-3.079286019495342E-2</v>
      </c>
      <c r="P77" s="50">
        <f t="shared" si="20"/>
        <v>0.73328413498156308</v>
      </c>
    </row>
    <row r="78" spans="1:16" ht="13.15" collapsed="1" x14ac:dyDescent="0.35">
      <c r="E78" s="1"/>
    </row>
    <row r="79" spans="1:16" s="90" customFormat="1" ht="13.15" x14ac:dyDescent="0.35">
      <c r="A79" s="90" t="s">
        <v>101</v>
      </c>
      <c r="J79" s="91"/>
      <c r="K79" s="91"/>
      <c r="L79" s="91"/>
      <c r="M79" s="91"/>
      <c r="N79" s="91"/>
      <c r="O79" s="91"/>
      <c r="P79" s="91"/>
    </row>
    <row r="80" spans="1:16" ht="13.15" x14ac:dyDescent="0.35">
      <c r="E80" s="1"/>
    </row>
    <row r="81" spans="5:20" ht="13.15" x14ac:dyDescent="0.35">
      <c r="E81" s="1" t="s">
        <v>36</v>
      </c>
      <c r="F81" s="1" t="s">
        <v>85</v>
      </c>
      <c r="G81" s="1" t="s">
        <v>101</v>
      </c>
      <c r="H81" s="1" t="s">
        <v>102</v>
      </c>
      <c r="I81" s="11"/>
      <c r="J81" s="109"/>
      <c r="K81" s="109"/>
      <c r="L81" s="109"/>
      <c r="M81" s="109"/>
      <c r="N81" s="109">
        <f>IF(N57="","",N57/N33)</f>
        <v>1.5864992285026188E-2</v>
      </c>
      <c r="O81" s="109">
        <f t="shared" ref="O81:P81" si="21">IF(O57="","",O57/O33)</f>
        <v>-1.7605319655147503E-2</v>
      </c>
      <c r="P81" s="109">
        <f t="shared" si="21"/>
        <v>-4.2517477344956485E-2</v>
      </c>
      <c r="Q81" s="13"/>
      <c r="R81" s="13"/>
      <c r="S81" s="13"/>
      <c r="T81" s="13"/>
    </row>
    <row r="82" spans="5:20" ht="13.15" hidden="1" outlineLevel="1" x14ac:dyDescent="0.35">
      <c r="E82" s="1" t="s">
        <v>46</v>
      </c>
      <c r="F82" s="1" t="s">
        <v>85</v>
      </c>
      <c r="G82" s="1" t="s">
        <v>101</v>
      </c>
      <c r="H82" s="1" t="s">
        <v>102</v>
      </c>
      <c r="I82" s="8"/>
      <c r="J82" s="109"/>
      <c r="K82" s="109"/>
      <c r="L82" s="109"/>
      <c r="M82" s="109"/>
      <c r="N82" s="109" t="str">
        <f t="shared" ref="N82:P82" si="22">IF(N58="","",N58/N34)</f>
        <v/>
      </c>
      <c r="O82" s="109" t="str">
        <f t="shared" si="22"/>
        <v/>
      </c>
      <c r="P82" s="109" t="str">
        <f t="shared" si="22"/>
        <v/>
      </c>
      <c r="Q82" s="13"/>
      <c r="R82" s="13"/>
      <c r="S82" s="13"/>
      <c r="T82" s="13"/>
    </row>
    <row r="83" spans="5:20" ht="13.15" hidden="1" outlineLevel="1" x14ac:dyDescent="0.35">
      <c r="E83" s="1" t="s">
        <v>47</v>
      </c>
      <c r="F83" s="1" t="s">
        <v>85</v>
      </c>
      <c r="G83" s="1" t="s">
        <v>101</v>
      </c>
      <c r="H83" s="1" t="s">
        <v>102</v>
      </c>
      <c r="I83" s="8"/>
      <c r="J83" s="109"/>
      <c r="K83" s="109"/>
      <c r="L83" s="109"/>
      <c r="M83" s="109"/>
      <c r="N83" s="109" t="str">
        <f t="shared" ref="N83:P83" si="23">IF(N59="","",N59/N35)</f>
        <v/>
      </c>
      <c r="O83" s="109" t="str">
        <f t="shared" si="23"/>
        <v/>
      </c>
      <c r="P83" s="109" t="str">
        <f t="shared" si="23"/>
        <v/>
      </c>
      <c r="Q83" s="13"/>
      <c r="R83" s="13"/>
      <c r="S83" s="13"/>
      <c r="T83" s="13"/>
    </row>
    <row r="84" spans="5:20" ht="13.15" hidden="1" outlineLevel="1" x14ac:dyDescent="0.35">
      <c r="E84" s="1" t="s">
        <v>48</v>
      </c>
      <c r="F84" s="1" t="s">
        <v>85</v>
      </c>
      <c r="G84" s="1" t="s">
        <v>101</v>
      </c>
      <c r="H84" s="1" t="s">
        <v>102</v>
      </c>
      <c r="I84" s="8"/>
      <c r="J84" s="109"/>
      <c r="K84" s="109"/>
      <c r="L84" s="109"/>
      <c r="M84" s="109"/>
      <c r="N84" s="109">
        <f t="shared" ref="N84:P84" si="24">IF(N60="","",N60/N36)</f>
        <v>1.7240455574303155E-2</v>
      </c>
      <c r="O84" s="109">
        <f t="shared" si="24"/>
        <v>2.2831267000208714E-2</v>
      </c>
      <c r="P84" s="109">
        <f t="shared" si="24"/>
        <v>4.6315087852187319E-2</v>
      </c>
      <c r="Q84" s="13"/>
      <c r="R84" s="13"/>
      <c r="S84" s="13"/>
      <c r="T84" s="13"/>
    </row>
    <row r="85" spans="5:20" ht="13.15" hidden="1" outlineLevel="1" x14ac:dyDescent="0.35">
      <c r="E85" s="9" t="s">
        <v>70</v>
      </c>
      <c r="F85" s="1" t="s">
        <v>85</v>
      </c>
      <c r="G85" s="1" t="s">
        <v>101</v>
      </c>
      <c r="H85" s="1" t="s">
        <v>102</v>
      </c>
      <c r="I85" s="8"/>
      <c r="J85" s="109"/>
      <c r="K85" s="109"/>
      <c r="L85" s="109"/>
      <c r="M85" s="109"/>
      <c r="N85" s="109">
        <f t="shared" ref="N85:P85" si="25">IF(N61="","",N61/N37)</f>
        <v>4.6984881771826338E-2</v>
      </c>
      <c r="O85" s="109">
        <f t="shared" si="25"/>
        <v>5.1776195327755591E-2</v>
      </c>
      <c r="P85" s="109">
        <f t="shared" si="25"/>
        <v>7.0458309829730614E-2</v>
      </c>
      <c r="Q85" s="13"/>
      <c r="R85" s="13"/>
      <c r="S85" s="13"/>
      <c r="T85" s="13"/>
    </row>
    <row r="86" spans="5:20" ht="13.15" hidden="1" outlineLevel="1" x14ac:dyDescent="0.35">
      <c r="E86" s="9" t="s">
        <v>72</v>
      </c>
      <c r="F86" s="1" t="s">
        <v>85</v>
      </c>
      <c r="G86" s="1" t="s">
        <v>101</v>
      </c>
      <c r="H86" s="1" t="s">
        <v>102</v>
      </c>
      <c r="I86" s="8"/>
      <c r="J86" s="109"/>
      <c r="K86" s="109"/>
      <c r="L86" s="109"/>
      <c r="M86" s="109"/>
      <c r="N86" s="109">
        <f t="shared" ref="N86:P86" si="26">IF(N62="","",N62/N38)</f>
        <v>-4.4377908501894429E-2</v>
      </c>
      <c r="O86" s="109">
        <f t="shared" si="26"/>
        <v>-3.7030327426589578E-2</v>
      </c>
      <c r="P86" s="109">
        <f t="shared" si="26"/>
        <v>-3.5507161898614505E-3</v>
      </c>
      <c r="Q86" s="13"/>
      <c r="R86" s="13"/>
      <c r="S86" s="13"/>
      <c r="T86" s="13"/>
    </row>
    <row r="87" spans="5:20" ht="13.15" hidden="1" outlineLevel="1" x14ac:dyDescent="0.35">
      <c r="E87" s="1" t="s">
        <v>49</v>
      </c>
      <c r="F87" s="1" t="s">
        <v>85</v>
      </c>
      <c r="G87" s="1" t="s">
        <v>101</v>
      </c>
      <c r="H87" s="1" t="s">
        <v>102</v>
      </c>
      <c r="I87" s="8"/>
      <c r="J87" s="109"/>
      <c r="K87" s="109"/>
      <c r="L87" s="109"/>
      <c r="M87" s="109"/>
      <c r="N87" s="109">
        <f t="shared" ref="N87:P87" si="27">IF(N63="","",N63/N39)</f>
        <v>-7.7980104122955918E-2</v>
      </c>
      <c r="O87" s="109">
        <f t="shared" si="27"/>
        <v>-8.8825655574528539E-2</v>
      </c>
      <c r="P87" s="109">
        <f t="shared" si="27"/>
        <v>-0.11158491056358705</v>
      </c>
      <c r="Q87" s="13"/>
      <c r="R87" s="13"/>
      <c r="S87" s="13"/>
      <c r="T87" s="13"/>
    </row>
    <row r="88" spans="5:20" ht="13.15" hidden="1" outlineLevel="1" x14ac:dyDescent="0.35">
      <c r="E88" s="1" t="s">
        <v>50</v>
      </c>
      <c r="F88" s="1" t="s">
        <v>85</v>
      </c>
      <c r="G88" s="1" t="s">
        <v>101</v>
      </c>
      <c r="H88" s="1" t="s">
        <v>102</v>
      </c>
      <c r="I88" s="8"/>
      <c r="J88" s="109"/>
      <c r="K88" s="109"/>
      <c r="L88" s="109"/>
      <c r="M88" s="109"/>
      <c r="N88" s="109">
        <f t="shared" ref="N88:P88" si="28">IF(N64="","",N64/N40)</f>
        <v>2.6761808139959702E-2</v>
      </c>
      <c r="O88" s="109">
        <f t="shared" si="28"/>
        <v>1.1713989332178626E-2</v>
      </c>
      <c r="P88" s="109">
        <f t="shared" si="28"/>
        <v>1.4757571460417762E-2</v>
      </c>
      <c r="Q88" s="13"/>
      <c r="R88" s="13"/>
      <c r="S88" s="13"/>
      <c r="T88" s="13"/>
    </row>
    <row r="89" spans="5:20" ht="13.15" hidden="1" outlineLevel="1" x14ac:dyDescent="0.35">
      <c r="E89" s="1" t="s">
        <v>51</v>
      </c>
      <c r="F89" s="1" t="s">
        <v>85</v>
      </c>
      <c r="G89" s="1" t="s">
        <v>101</v>
      </c>
      <c r="H89" s="1" t="s">
        <v>102</v>
      </c>
      <c r="I89" s="8"/>
      <c r="J89" s="109"/>
      <c r="K89" s="109"/>
      <c r="L89" s="109"/>
      <c r="M89" s="109"/>
      <c r="N89" s="109">
        <f t="shared" ref="N89:P89" si="29">IF(N65="","",N65/N41)</f>
        <v>-0.10638124489610787</v>
      </c>
      <c r="O89" s="109">
        <f t="shared" si="29"/>
        <v>-0.14134150838200593</v>
      </c>
      <c r="P89" s="109">
        <f t="shared" si="29"/>
        <v>-0.15398145214203954</v>
      </c>
      <c r="Q89" s="13"/>
      <c r="R89" s="13"/>
      <c r="S89" s="13"/>
      <c r="T89" s="13"/>
    </row>
    <row r="90" spans="5:20" ht="13.15" hidden="1" outlineLevel="1" x14ac:dyDescent="0.35">
      <c r="E90" s="1" t="s">
        <v>52</v>
      </c>
      <c r="F90" s="1" t="s">
        <v>85</v>
      </c>
      <c r="G90" s="1" t="s">
        <v>101</v>
      </c>
      <c r="H90" s="1" t="s">
        <v>102</v>
      </c>
      <c r="I90" s="8"/>
      <c r="J90" s="109"/>
      <c r="K90" s="109"/>
      <c r="L90" s="109"/>
      <c r="M90" s="109"/>
      <c r="N90" s="109">
        <f t="shared" ref="N90:P90" si="30">IF(N66="","",N66/N42)</f>
        <v>2.7993772248252585E-2</v>
      </c>
      <c r="O90" s="109">
        <f t="shared" si="30"/>
        <v>3.7784249216721466E-2</v>
      </c>
      <c r="P90" s="109">
        <f t="shared" si="30"/>
        <v>4.4852180478220455E-2</v>
      </c>
      <c r="Q90" s="13"/>
      <c r="R90" s="13"/>
      <c r="S90" s="13"/>
      <c r="T90" s="13"/>
    </row>
    <row r="91" spans="5:20" ht="13.15" hidden="1" outlineLevel="1" x14ac:dyDescent="0.35">
      <c r="E91" s="1" t="s">
        <v>74</v>
      </c>
      <c r="F91" s="1" t="s">
        <v>85</v>
      </c>
      <c r="G91" s="1" t="s">
        <v>101</v>
      </c>
      <c r="H91" s="1" t="s">
        <v>102</v>
      </c>
      <c r="I91" s="8"/>
      <c r="J91" s="109"/>
      <c r="K91" s="109"/>
      <c r="L91" s="109"/>
      <c r="M91" s="109"/>
      <c r="N91" s="109">
        <f t="shared" ref="N91:P91" si="31">IF(N67="","",N67/N43)</f>
        <v>-5.5635754347693626E-2</v>
      </c>
      <c r="O91" s="109">
        <f t="shared" si="31"/>
        <v>-6.9008229977745139E-2</v>
      </c>
      <c r="P91" s="109">
        <f t="shared" si="31"/>
        <v>-8.4385279798404558E-2</v>
      </c>
      <c r="Q91" s="13"/>
      <c r="R91" s="13"/>
      <c r="S91" s="13"/>
      <c r="T91" s="13"/>
    </row>
    <row r="92" spans="5:20" ht="13.15" hidden="1" outlineLevel="1" x14ac:dyDescent="0.35">
      <c r="E92" s="1" t="s">
        <v>54</v>
      </c>
      <c r="F92" s="1" t="s">
        <v>85</v>
      </c>
      <c r="G92" s="1" t="s">
        <v>101</v>
      </c>
      <c r="H92" s="1" t="s">
        <v>102</v>
      </c>
      <c r="I92" s="8"/>
      <c r="J92" s="109"/>
      <c r="K92" s="109"/>
      <c r="L92" s="109"/>
      <c r="M92" s="109"/>
      <c r="N92" s="109">
        <f t="shared" ref="N92:P92" si="32">IF(N68="","",N68/N44)</f>
        <v>-6.1537763031311601E-2</v>
      </c>
      <c r="O92" s="109">
        <f t="shared" si="32"/>
        <v>-8.1377221152710594E-2</v>
      </c>
      <c r="P92" s="109">
        <f t="shared" si="32"/>
        <v>-8.5563217757300983E-2</v>
      </c>
      <c r="Q92" s="13"/>
      <c r="R92" s="13"/>
      <c r="S92" s="13"/>
      <c r="T92" s="13"/>
    </row>
    <row r="93" spans="5:20" ht="13.15" hidden="1" outlineLevel="1" x14ac:dyDescent="0.35">
      <c r="E93" s="1" t="s">
        <v>55</v>
      </c>
      <c r="F93" s="1" t="s">
        <v>85</v>
      </c>
      <c r="G93" s="1" t="s">
        <v>101</v>
      </c>
      <c r="H93" s="1" t="s">
        <v>102</v>
      </c>
      <c r="I93" s="8"/>
      <c r="J93" s="109"/>
      <c r="K93" s="109"/>
      <c r="L93" s="109"/>
      <c r="M93" s="109"/>
      <c r="N93" s="109">
        <f t="shared" ref="N93:P93" si="33">IF(N69="","",N69/N45)</f>
        <v>-3.566710609532826E-3</v>
      </c>
      <c r="O93" s="109">
        <f t="shared" si="33"/>
        <v>-3.5773784517064484E-2</v>
      </c>
      <c r="P93" s="109">
        <f t="shared" si="33"/>
        <v>-5.1872119665659425E-2</v>
      </c>
      <c r="Q93" s="13"/>
      <c r="R93" s="13"/>
      <c r="S93" s="13"/>
      <c r="T93" s="13"/>
    </row>
    <row r="94" spans="5:20" ht="13.15" hidden="1" outlineLevel="1" x14ac:dyDescent="0.35">
      <c r="E94" s="1" t="s">
        <v>56</v>
      </c>
      <c r="F94" s="1" t="s">
        <v>85</v>
      </c>
      <c r="G94" s="1" t="s">
        <v>101</v>
      </c>
      <c r="H94" s="1" t="s">
        <v>102</v>
      </c>
      <c r="I94" s="8"/>
      <c r="J94" s="109"/>
      <c r="K94" s="109"/>
      <c r="L94" s="109"/>
      <c r="M94" s="109"/>
      <c r="N94" s="109">
        <f t="shared" ref="N94:P94" si="34">IF(N70="","",N70/N46)</f>
        <v>6.9137798562292241E-2</v>
      </c>
      <c r="O94" s="109">
        <f t="shared" si="34"/>
        <v>4.2846154461814001E-2</v>
      </c>
      <c r="P94" s="109">
        <f t="shared" si="34"/>
        <v>3.2616165542280265E-2</v>
      </c>
      <c r="Q94" s="13"/>
      <c r="R94" s="13"/>
      <c r="S94" s="13"/>
      <c r="T94" s="13"/>
    </row>
    <row r="95" spans="5:20" ht="13.15" hidden="1" outlineLevel="1" x14ac:dyDescent="0.35">
      <c r="E95" s="1" t="s">
        <v>57</v>
      </c>
      <c r="F95" s="1" t="s">
        <v>85</v>
      </c>
      <c r="G95" s="1" t="s">
        <v>101</v>
      </c>
      <c r="H95" s="1" t="s">
        <v>102</v>
      </c>
      <c r="I95" s="8"/>
      <c r="J95" s="109"/>
      <c r="K95" s="109"/>
      <c r="L95" s="109"/>
      <c r="M95" s="109"/>
      <c r="N95" s="109">
        <f t="shared" ref="N95:P95" si="35">IF(N71="","",N71/N47)</f>
        <v>-9.6325049529311146E-2</v>
      </c>
      <c r="O95" s="109">
        <f t="shared" si="35"/>
        <v>-0.11072489455412121</v>
      </c>
      <c r="P95" s="109">
        <f t="shared" si="35"/>
        <v>-0.11142471006630547</v>
      </c>
      <c r="Q95" s="13"/>
      <c r="R95" s="13"/>
      <c r="S95" s="13"/>
      <c r="T95" s="13"/>
    </row>
    <row r="96" spans="5:20" ht="13.15" hidden="1" outlineLevel="1" x14ac:dyDescent="0.35">
      <c r="E96" s="1" t="s">
        <v>58</v>
      </c>
      <c r="F96" s="1" t="s">
        <v>85</v>
      </c>
      <c r="G96" s="1" t="s">
        <v>101</v>
      </c>
      <c r="H96" s="1" t="s">
        <v>102</v>
      </c>
      <c r="I96" s="8"/>
      <c r="J96" s="109"/>
      <c r="K96" s="109"/>
      <c r="L96" s="109"/>
      <c r="M96" s="109"/>
      <c r="N96" s="109">
        <f t="shared" ref="N96:P96" si="36">IF(N72="","",N72/N48)</f>
        <v>1.5276748995275317E-2</v>
      </c>
      <c r="O96" s="109">
        <f t="shared" si="36"/>
        <v>-1.229313040555172E-2</v>
      </c>
      <c r="P96" s="109">
        <f t="shared" si="36"/>
        <v>-6.3207221840475503E-2</v>
      </c>
      <c r="Q96" s="13"/>
      <c r="R96" s="13"/>
      <c r="S96" s="13"/>
      <c r="T96" s="13"/>
    </row>
    <row r="97" spans="1:20" ht="13.15" hidden="1" outlineLevel="1" x14ac:dyDescent="0.35">
      <c r="E97" s="1" t="s">
        <v>75</v>
      </c>
      <c r="F97" s="1" t="s">
        <v>85</v>
      </c>
      <c r="G97" s="1" t="s">
        <v>101</v>
      </c>
      <c r="H97" s="1" t="s">
        <v>102</v>
      </c>
      <c r="I97" s="8"/>
      <c r="J97" s="109"/>
      <c r="K97" s="109"/>
      <c r="L97" s="109"/>
      <c r="M97" s="109"/>
      <c r="N97" s="109">
        <f t="shared" ref="N97:P97" si="37">IF(N73="","",N73/N49)</f>
        <v>6.1131261395329737E-3</v>
      </c>
      <c r="O97" s="109">
        <f t="shared" si="37"/>
        <v>-2.1471290261407667E-2</v>
      </c>
      <c r="P97" s="109">
        <f t="shared" si="37"/>
        <v>-6.1842115080567299E-2</v>
      </c>
      <c r="Q97" s="13"/>
      <c r="R97" s="13"/>
      <c r="S97" s="13"/>
      <c r="T97" s="13"/>
    </row>
    <row r="98" spans="1:20" ht="13.15" hidden="1" outlineLevel="1" x14ac:dyDescent="0.35">
      <c r="E98" s="1" t="s">
        <v>76</v>
      </c>
      <c r="F98" s="1" t="s">
        <v>85</v>
      </c>
      <c r="G98" s="1" t="s">
        <v>101</v>
      </c>
      <c r="H98" s="1" t="s">
        <v>102</v>
      </c>
      <c r="I98" s="8"/>
      <c r="J98" s="109"/>
      <c r="K98" s="109"/>
      <c r="L98" s="109"/>
      <c r="M98" s="109"/>
      <c r="N98" s="109">
        <f t="shared" ref="N98:P98" si="38">IF(N74="","",N74/N50)</f>
        <v>3.8022057757103302E-2</v>
      </c>
      <c r="O98" s="109">
        <f t="shared" si="38"/>
        <v>1.0433316744139011E-2</v>
      </c>
      <c r="P98" s="109">
        <f t="shared" si="38"/>
        <v>-6.6576461617377652E-2</v>
      </c>
      <c r="Q98" s="13"/>
      <c r="R98" s="13"/>
      <c r="S98" s="13"/>
      <c r="T98" s="13"/>
    </row>
    <row r="99" spans="1:20" ht="13.15" hidden="1" outlineLevel="1" x14ac:dyDescent="0.35">
      <c r="E99" s="1" t="s">
        <v>59</v>
      </c>
      <c r="F99" s="1" t="s">
        <v>85</v>
      </c>
      <c r="G99" s="1" t="s">
        <v>101</v>
      </c>
      <c r="H99" s="1" t="s">
        <v>102</v>
      </c>
      <c r="I99" s="8"/>
      <c r="J99" s="109"/>
      <c r="K99" s="109"/>
      <c r="L99" s="109"/>
      <c r="M99" s="109"/>
      <c r="N99" s="109">
        <f t="shared" ref="N99:P99" si="39">IF(N75="","",N75/N51)</f>
        <v>3.8435886296790893E-2</v>
      </c>
      <c r="O99" s="109">
        <f t="shared" si="39"/>
        <v>3.3082310343970314E-2</v>
      </c>
      <c r="P99" s="109">
        <f t="shared" si="39"/>
        <v>3.710216718698283E-2</v>
      </c>
      <c r="Q99" s="13"/>
      <c r="R99" s="13"/>
      <c r="S99" s="13"/>
      <c r="T99" s="13"/>
    </row>
    <row r="100" spans="1:20" ht="13.15" hidden="1" outlineLevel="1" x14ac:dyDescent="0.35">
      <c r="E100" s="1" t="s">
        <v>60</v>
      </c>
      <c r="F100" s="1" t="s">
        <v>85</v>
      </c>
      <c r="G100" s="1" t="s">
        <v>101</v>
      </c>
      <c r="H100" s="1" t="s">
        <v>102</v>
      </c>
      <c r="I100" s="8"/>
      <c r="J100" s="109"/>
      <c r="K100" s="109"/>
      <c r="L100" s="109"/>
      <c r="M100" s="109"/>
      <c r="N100" s="109">
        <f t="shared" ref="N100:P100" si="40">IF(N76="","",N76/N52)</f>
        <v>0.255532922444135</v>
      </c>
      <c r="O100" s="109">
        <f t="shared" si="40"/>
        <v>0.26522891519932268</v>
      </c>
      <c r="P100" s="109">
        <f t="shared" si="40"/>
        <v>0.27501222434292233</v>
      </c>
      <c r="Q100" s="13"/>
      <c r="R100" s="13"/>
      <c r="S100" s="13"/>
      <c r="T100" s="13"/>
    </row>
    <row r="101" spans="1:20" ht="13.15" hidden="1" outlineLevel="1" x14ac:dyDescent="0.35">
      <c r="E101" s="1" t="s">
        <v>61</v>
      </c>
      <c r="F101" s="1" t="s">
        <v>85</v>
      </c>
      <c r="G101" s="1" t="s">
        <v>101</v>
      </c>
      <c r="H101" s="1" t="s">
        <v>102</v>
      </c>
      <c r="I101" s="8"/>
      <c r="J101" s="109"/>
      <c r="K101" s="109"/>
      <c r="L101" s="109"/>
      <c r="M101" s="109"/>
      <c r="N101" s="109">
        <f t="shared" ref="N101:P101" si="41">IF(N77="","",N77/N53)</f>
        <v>-1.6624203632758901E-2</v>
      </c>
      <c r="O101" s="109">
        <f t="shared" si="41"/>
        <v>-1.2072850523999778E-3</v>
      </c>
      <c r="P101" s="109">
        <f t="shared" si="41"/>
        <v>2.8816566126897571E-2</v>
      </c>
      <c r="Q101" s="13"/>
      <c r="R101" s="13"/>
      <c r="S101" s="13"/>
      <c r="T101" s="13"/>
    </row>
    <row r="102" spans="1:20" ht="13.15" collapsed="1" x14ac:dyDescent="0.35">
      <c r="E102" s="1"/>
    </row>
    <row r="103" spans="1:20" s="100" customFormat="1" ht="13.15" x14ac:dyDescent="0.4">
      <c r="A103" s="100" t="s">
        <v>83</v>
      </c>
      <c r="J103" s="101"/>
      <c r="K103" s="101"/>
      <c r="L103" s="101"/>
      <c r="M103" s="101"/>
      <c r="N103" s="101"/>
      <c r="O103" s="101"/>
      <c r="P103" s="101"/>
    </row>
  </sheetData>
  <phoneticPr fontId="7"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52EA-5B1C-4705-9E1A-AE349E20E394}">
  <sheetPr codeName="Sheet9">
    <tabColor rgb="FFCCCCCE"/>
  </sheetPr>
  <dimension ref="A1:P91"/>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1" bestFit="1" customWidth="1"/>
    <col min="7" max="7" width="37" style="1" bestFit="1" customWidth="1"/>
    <col min="8" max="8" width="12.125" style="1" bestFit="1" customWidth="1"/>
    <col min="9" max="9" width="8.875" style="1" bestFit="1" customWidth="1"/>
    <col min="10" max="10" width="9.25" style="1" bestFit="1" customWidth="1"/>
    <col min="11" max="11" width="9" style="1" customWidth="1"/>
    <col min="12" max="12" width="4.625" style="1" bestFit="1" customWidth="1"/>
    <col min="13" max="16" width="9" style="38" customWidth="1"/>
    <col min="17" max="16384" width="9" style="38" hidden="1"/>
  </cols>
  <sheetData>
    <row r="1" spans="1:15" s="37" customFormat="1" ht="30.75" x14ac:dyDescent="0.35">
      <c r="A1" s="4" t="str">
        <f ca="1">RIGHT(CELL("filename", A1), LEN(CELL("filename", A1)) - SEARCH("]", CELL("filename", A1)))</f>
        <v>NHH.Percentiles</v>
      </c>
      <c r="B1" s="4"/>
      <c r="C1" s="4"/>
      <c r="D1" s="5"/>
      <c r="E1" s="4"/>
      <c r="F1" s="4"/>
      <c r="G1" s="4"/>
      <c r="H1" s="4"/>
      <c r="I1" s="4"/>
      <c r="J1" s="4"/>
      <c r="K1" s="4"/>
      <c r="L1" s="4"/>
    </row>
    <row r="2" spans="1:15" ht="13.15" x14ac:dyDescent="0.35">
      <c r="E2" s="1"/>
      <c r="M2" s="43" t="s">
        <v>21</v>
      </c>
      <c r="N2" s="43" t="s">
        <v>22</v>
      </c>
      <c r="O2" s="43" t="s">
        <v>23</v>
      </c>
    </row>
    <row r="3" spans="1:15" ht="13.15" x14ac:dyDescent="0.35">
      <c r="E3" s="7" t="s">
        <v>62</v>
      </c>
      <c r="F3" s="7" t="s">
        <v>63</v>
      </c>
      <c r="G3" s="7" t="s">
        <v>64</v>
      </c>
      <c r="H3" s="7" t="s">
        <v>103</v>
      </c>
      <c r="I3" s="25" t="s">
        <v>65</v>
      </c>
      <c r="J3" s="25" t="s">
        <v>66</v>
      </c>
      <c r="K3" s="7" t="s">
        <v>104</v>
      </c>
    </row>
    <row r="4" spans="1:15" ht="13.15" x14ac:dyDescent="0.35">
      <c r="E4" s="1"/>
    </row>
    <row r="5" spans="1:15" ht="13.15" x14ac:dyDescent="0.35">
      <c r="E5" s="1"/>
      <c r="L5" s="3"/>
    </row>
    <row r="6" spans="1:15" ht="13.15" x14ac:dyDescent="0.35">
      <c r="E6" s="1"/>
    </row>
    <row r="7" spans="1:15" s="91" customFormat="1" ht="13.15" x14ac:dyDescent="0.35">
      <c r="A7" s="90" t="s">
        <v>105</v>
      </c>
      <c r="B7" s="90"/>
      <c r="C7" s="90"/>
      <c r="D7" s="90"/>
      <c r="E7" s="90"/>
      <c r="F7" s="90"/>
      <c r="G7" s="90"/>
      <c r="H7" s="90"/>
      <c r="I7" s="90"/>
      <c r="J7" s="90"/>
      <c r="K7" s="90"/>
      <c r="L7" s="90"/>
    </row>
    <row r="8" spans="1:15" ht="13.15" x14ac:dyDescent="0.35">
      <c r="E8" s="1"/>
    </row>
    <row r="9" spans="1:15" ht="13.15" x14ac:dyDescent="0.35">
      <c r="E9" s="1" t="s">
        <v>36</v>
      </c>
      <c r="F9" s="1" t="s">
        <v>85</v>
      </c>
      <c r="G9" s="1" t="s">
        <v>101</v>
      </c>
      <c r="H9" s="29"/>
      <c r="I9" s="29"/>
      <c r="J9" s="29"/>
      <c r="K9" s="29"/>
      <c r="L9" s="8"/>
      <c r="M9" s="51">
        <f>'NHH.P.Range'!N81</f>
        <v>1.5864992285026188E-2</v>
      </c>
      <c r="N9" s="51">
        <f>'NHH.P.Range'!O81</f>
        <v>-1.7605319655147503E-2</v>
      </c>
      <c r="O9" s="51">
        <f>'NHH.P.Range'!P81</f>
        <v>-4.2517477344956485E-2</v>
      </c>
    </row>
    <row r="10" spans="1:15" ht="13.15" hidden="1" outlineLevel="1" x14ac:dyDescent="0.35">
      <c r="E10" s="1" t="s">
        <v>46</v>
      </c>
      <c r="F10" s="1" t="s">
        <v>85</v>
      </c>
      <c r="G10" s="1" t="s">
        <v>101</v>
      </c>
      <c r="H10" s="29"/>
      <c r="I10" s="29"/>
      <c r="J10" s="29"/>
      <c r="K10" s="29"/>
      <c r="L10" s="8"/>
      <c r="M10" s="51" t="str">
        <f>'NHH.P.Range'!N82</f>
        <v/>
      </c>
      <c r="N10" s="51" t="str">
        <f>'NHH.P.Range'!O82</f>
        <v/>
      </c>
      <c r="O10" s="51" t="str">
        <f>'NHH.P.Range'!P82</f>
        <v/>
      </c>
    </row>
    <row r="11" spans="1:15" ht="13.15" hidden="1" outlineLevel="1" x14ac:dyDescent="0.35">
      <c r="E11" s="1" t="s">
        <v>47</v>
      </c>
      <c r="F11" s="1" t="s">
        <v>85</v>
      </c>
      <c r="G11" s="1" t="s">
        <v>101</v>
      </c>
      <c r="H11" s="29"/>
      <c r="I11" s="29"/>
      <c r="J11" s="29"/>
      <c r="K11" s="29"/>
      <c r="L11" s="8"/>
      <c r="M11" s="51" t="str">
        <f>'NHH.P.Range'!N83</f>
        <v/>
      </c>
      <c r="N11" s="51" t="str">
        <f>'NHH.P.Range'!O83</f>
        <v/>
      </c>
      <c r="O11" s="51" t="str">
        <f>'NHH.P.Range'!P83</f>
        <v/>
      </c>
    </row>
    <row r="12" spans="1:15" ht="13.15" hidden="1" outlineLevel="1" x14ac:dyDescent="0.35">
      <c r="E12" s="1" t="s">
        <v>48</v>
      </c>
      <c r="F12" s="1" t="s">
        <v>85</v>
      </c>
      <c r="G12" s="1" t="s">
        <v>101</v>
      </c>
      <c r="H12" s="29"/>
      <c r="I12" s="29"/>
      <c r="J12" s="29"/>
      <c r="K12" s="29"/>
      <c r="L12" s="8"/>
      <c r="M12" s="51">
        <f>'NHH.P.Range'!N84</f>
        <v>1.7240455574303155E-2</v>
      </c>
      <c r="N12" s="51">
        <f>'NHH.P.Range'!O84</f>
        <v>2.2831267000208714E-2</v>
      </c>
      <c r="O12" s="51">
        <f>'NHH.P.Range'!P84</f>
        <v>4.6315087852187319E-2</v>
      </c>
    </row>
    <row r="13" spans="1:15" ht="13.15" hidden="1" outlineLevel="1" x14ac:dyDescent="0.35">
      <c r="E13" s="9" t="s">
        <v>70</v>
      </c>
      <c r="F13" s="1" t="s">
        <v>85</v>
      </c>
      <c r="G13" s="1" t="s">
        <v>101</v>
      </c>
      <c r="H13" s="29"/>
      <c r="I13" s="29"/>
      <c r="J13" s="29"/>
      <c r="K13" s="29"/>
      <c r="L13" s="8"/>
      <c r="M13" s="51">
        <f>'NHH.P.Range'!N85</f>
        <v>4.6984881771826338E-2</v>
      </c>
      <c r="N13" s="52">
        <f>'NHH.P.Range'!O85</f>
        <v>5.1776195327755591E-2</v>
      </c>
      <c r="O13" s="52">
        <f>'NHH.P.Range'!P85</f>
        <v>7.0458309829730614E-2</v>
      </c>
    </row>
    <row r="14" spans="1:15" ht="13.15" hidden="1" outlineLevel="1" x14ac:dyDescent="0.35">
      <c r="E14" s="9" t="s">
        <v>72</v>
      </c>
      <c r="F14" s="1" t="s">
        <v>85</v>
      </c>
      <c r="G14" s="1" t="s">
        <v>101</v>
      </c>
      <c r="H14" s="29"/>
      <c r="I14" s="29"/>
      <c r="J14" s="29"/>
      <c r="K14" s="29"/>
      <c r="L14" s="8"/>
      <c r="M14" s="51">
        <f>'NHH.P.Range'!N86</f>
        <v>-4.4377908501894429E-2</v>
      </c>
      <c r="N14" s="52">
        <f>'NHH.P.Range'!O86</f>
        <v>-3.7030327426589578E-2</v>
      </c>
      <c r="O14" s="52">
        <f>'NHH.P.Range'!P86</f>
        <v>-3.5507161898614505E-3</v>
      </c>
    </row>
    <row r="15" spans="1:15" ht="13.15" hidden="1" outlineLevel="1" x14ac:dyDescent="0.35">
      <c r="E15" s="1" t="s">
        <v>49</v>
      </c>
      <c r="F15" s="1" t="s">
        <v>85</v>
      </c>
      <c r="G15" s="1" t="s">
        <v>101</v>
      </c>
      <c r="H15" s="29"/>
      <c r="I15" s="29"/>
      <c r="J15" s="29"/>
      <c r="K15" s="29"/>
      <c r="L15" s="8"/>
      <c r="M15" s="51">
        <f>'NHH.P.Range'!N87</f>
        <v>-7.7980104122955918E-2</v>
      </c>
      <c r="N15" s="52">
        <f>'NHH.P.Range'!O87</f>
        <v>-8.8825655574528539E-2</v>
      </c>
      <c r="O15" s="52">
        <f>'NHH.P.Range'!P87</f>
        <v>-0.11158491056358705</v>
      </c>
    </row>
    <row r="16" spans="1:15" ht="13.15" hidden="1" outlineLevel="1" x14ac:dyDescent="0.35">
      <c r="E16" s="1" t="s">
        <v>50</v>
      </c>
      <c r="F16" s="1" t="s">
        <v>85</v>
      </c>
      <c r="G16" s="1" t="s">
        <v>101</v>
      </c>
      <c r="H16" s="29"/>
      <c r="I16" s="29"/>
      <c r="J16" s="29"/>
      <c r="K16" s="29"/>
      <c r="L16" s="8"/>
      <c r="M16" s="51">
        <f>'NHH.P.Range'!N88</f>
        <v>2.6761808139959702E-2</v>
      </c>
      <c r="N16" s="52">
        <f>'NHH.P.Range'!O88</f>
        <v>1.1713989332178626E-2</v>
      </c>
      <c r="O16" s="52">
        <f>'NHH.P.Range'!P88</f>
        <v>1.4757571460417762E-2</v>
      </c>
    </row>
    <row r="17" spans="1:15" ht="13.15" hidden="1" outlineLevel="1" x14ac:dyDescent="0.35">
      <c r="E17" s="1" t="s">
        <v>51</v>
      </c>
      <c r="F17" s="1" t="s">
        <v>85</v>
      </c>
      <c r="G17" s="1" t="s">
        <v>101</v>
      </c>
      <c r="H17" s="29"/>
      <c r="I17" s="29"/>
      <c r="J17" s="29"/>
      <c r="K17" s="29"/>
      <c r="L17" s="8"/>
      <c r="M17" s="51">
        <f>'NHH.P.Range'!N89</f>
        <v>-0.10638124489610787</v>
      </c>
      <c r="N17" s="52">
        <f>'NHH.P.Range'!O89</f>
        <v>-0.14134150838200593</v>
      </c>
      <c r="O17" s="52">
        <f>'NHH.P.Range'!P89</f>
        <v>-0.15398145214203954</v>
      </c>
    </row>
    <row r="18" spans="1:15" ht="13.15" hidden="1" outlineLevel="1" x14ac:dyDescent="0.35">
      <c r="E18" s="1" t="s">
        <v>52</v>
      </c>
      <c r="F18" s="1" t="s">
        <v>85</v>
      </c>
      <c r="G18" s="1" t="s">
        <v>101</v>
      </c>
      <c r="H18" s="29"/>
      <c r="I18" s="29"/>
      <c r="J18" s="29"/>
      <c r="K18" s="29"/>
      <c r="L18" s="8"/>
      <c r="M18" s="51">
        <f>'NHH.P.Range'!N90</f>
        <v>2.7993772248252585E-2</v>
      </c>
      <c r="N18" s="52">
        <f>'NHH.P.Range'!O90</f>
        <v>3.7784249216721466E-2</v>
      </c>
      <c r="O18" s="52">
        <f>'NHH.P.Range'!P90</f>
        <v>4.4852180478220455E-2</v>
      </c>
    </row>
    <row r="19" spans="1:15" ht="13.15" hidden="1" outlineLevel="1" x14ac:dyDescent="0.35">
      <c r="E19" s="1" t="s">
        <v>74</v>
      </c>
      <c r="F19" s="1" t="s">
        <v>85</v>
      </c>
      <c r="G19" s="1" t="s">
        <v>101</v>
      </c>
      <c r="H19" s="29"/>
      <c r="I19" s="29"/>
      <c r="J19" s="29"/>
      <c r="K19" s="29"/>
      <c r="L19" s="8"/>
      <c r="M19" s="51">
        <f>'NHH.P.Range'!N91</f>
        <v>-5.5635754347693626E-2</v>
      </c>
      <c r="N19" s="52">
        <f>'NHH.P.Range'!O91</f>
        <v>-6.9008229977745139E-2</v>
      </c>
      <c r="O19" s="52">
        <f>'NHH.P.Range'!P91</f>
        <v>-8.4385279798404558E-2</v>
      </c>
    </row>
    <row r="20" spans="1:15" ht="13.15" hidden="1" outlineLevel="1" x14ac:dyDescent="0.35">
      <c r="E20" s="1" t="s">
        <v>54</v>
      </c>
      <c r="F20" s="1" t="s">
        <v>85</v>
      </c>
      <c r="G20" s="1" t="s">
        <v>101</v>
      </c>
      <c r="H20" s="29"/>
      <c r="I20" s="29"/>
      <c r="J20" s="29"/>
      <c r="K20" s="29"/>
      <c r="L20" s="8"/>
      <c r="M20" s="51">
        <f>'NHH.P.Range'!N92</f>
        <v>-6.1537763031311601E-2</v>
      </c>
      <c r="N20" s="52">
        <f>'NHH.P.Range'!O92</f>
        <v>-8.1377221152710594E-2</v>
      </c>
      <c r="O20" s="52">
        <f>'NHH.P.Range'!P92</f>
        <v>-8.5563217757300983E-2</v>
      </c>
    </row>
    <row r="21" spans="1:15" ht="13.15" hidden="1" outlineLevel="1" x14ac:dyDescent="0.35">
      <c r="E21" s="1" t="s">
        <v>55</v>
      </c>
      <c r="F21" s="1" t="s">
        <v>85</v>
      </c>
      <c r="G21" s="1" t="s">
        <v>101</v>
      </c>
      <c r="H21" s="29"/>
      <c r="I21" s="29"/>
      <c r="J21" s="29"/>
      <c r="K21" s="29"/>
      <c r="L21" s="8"/>
      <c r="M21" s="51">
        <f>'NHH.P.Range'!N93</f>
        <v>-3.566710609532826E-3</v>
      </c>
      <c r="N21" s="51">
        <f>'NHH.P.Range'!O93</f>
        <v>-3.5773784517064484E-2</v>
      </c>
      <c r="O21" s="51">
        <f>'NHH.P.Range'!P93</f>
        <v>-5.1872119665659425E-2</v>
      </c>
    </row>
    <row r="22" spans="1:15" ht="13.15" hidden="1" outlineLevel="1" x14ac:dyDescent="0.35">
      <c r="E22" s="1" t="s">
        <v>56</v>
      </c>
      <c r="F22" s="1" t="s">
        <v>85</v>
      </c>
      <c r="G22" s="1" t="s">
        <v>101</v>
      </c>
      <c r="H22" s="29"/>
      <c r="I22" s="29"/>
      <c r="J22" s="29"/>
      <c r="K22" s="29"/>
      <c r="L22" s="8"/>
      <c r="M22" s="51">
        <f>'NHH.P.Range'!N94</f>
        <v>6.9137798562292241E-2</v>
      </c>
      <c r="N22" s="51">
        <f>'NHH.P.Range'!O94</f>
        <v>4.2846154461814001E-2</v>
      </c>
      <c r="O22" s="51">
        <f>'NHH.P.Range'!P94</f>
        <v>3.2616165542280265E-2</v>
      </c>
    </row>
    <row r="23" spans="1:15" ht="13.15" hidden="1" outlineLevel="1" x14ac:dyDescent="0.35">
      <c r="E23" s="1" t="s">
        <v>57</v>
      </c>
      <c r="F23" s="1" t="s">
        <v>85</v>
      </c>
      <c r="G23" s="1" t="s">
        <v>101</v>
      </c>
      <c r="H23" s="29"/>
      <c r="I23" s="29"/>
      <c r="J23" s="29"/>
      <c r="K23" s="29"/>
      <c r="L23" s="8"/>
      <c r="M23" s="51">
        <f>'NHH.P.Range'!N95</f>
        <v>-9.6325049529311146E-2</v>
      </c>
      <c r="N23" s="51">
        <f>'NHH.P.Range'!O95</f>
        <v>-0.11072489455412121</v>
      </c>
      <c r="O23" s="51">
        <f>'NHH.P.Range'!P95</f>
        <v>-0.11142471006630547</v>
      </c>
    </row>
    <row r="24" spans="1:15" ht="13.15" hidden="1" outlineLevel="1" x14ac:dyDescent="0.35">
      <c r="E24" s="1" t="s">
        <v>58</v>
      </c>
      <c r="F24" s="1" t="s">
        <v>85</v>
      </c>
      <c r="G24" s="1" t="s">
        <v>101</v>
      </c>
      <c r="H24" s="29"/>
      <c r="I24" s="29"/>
      <c r="J24" s="29"/>
      <c r="K24" s="29"/>
      <c r="L24" s="8"/>
      <c r="M24" s="51">
        <f>'NHH.P.Range'!N96</f>
        <v>1.5276748995275317E-2</v>
      </c>
      <c r="N24" s="51">
        <f>'NHH.P.Range'!O96</f>
        <v>-1.229313040555172E-2</v>
      </c>
      <c r="O24" s="51">
        <f>'NHH.P.Range'!P96</f>
        <v>-6.3207221840475503E-2</v>
      </c>
    </row>
    <row r="25" spans="1:15" ht="13.15" hidden="1" outlineLevel="1" x14ac:dyDescent="0.35">
      <c r="E25" s="1" t="s">
        <v>75</v>
      </c>
      <c r="F25" s="1" t="s">
        <v>85</v>
      </c>
      <c r="G25" s="1" t="s">
        <v>101</v>
      </c>
      <c r="H25" s="29"/>
      <c r="I25" s="29"/>
      <c r="J25" s="29"/>
      <c r="K25" s="29"/>
      <c r="L25" s="8"/>
      <c r="M25" s="51">
        <f>'NHH.P.Range'!N97</f>
        <v>6.1131261395329737E-3</v>
      </c>
      <c r="N25" s="51">
        <f>'NHH.P.Range'!O97</f>
        <v>-2.1471290261407667E-2</v>
      </c>
      <c r="O25" s="51">
        <f>'NHH.P.Range'!P97</f>
        <v>-6.1842115080567299E-2</v>
      </c>
    </row>
    <row r="26" spans="1:15" ht="13.15" hidden="1" outlineLevel="1" x14ac:dyDescent="0.35">
      <c r="E26" s="1" t="s">
        <v>76</v>
      </c>
      <c r="F26" s="1" t="s">
        <v>85</v>
      </c>
      <c r="G26" s="1" t="s">
        <v>101</v>
      </c>
      <c r="H26" s="29"/>
      <c r="I26" s="29"/>
      <c r="J26" s="29"/>
      <c r="K26" s="29"/>
      <c r="L26" s="8"/>
      <c r="M26" s="51">
        <f>'NHH.P.Range'!N98</f>
        <v>3.8022057757103302E-2</v>
      </c>
      <c r="N26" s="51">
        <f>'NHH.P.Range'!O98</f>
        <v>1.0433316744139011E-2</v>
      </c>
      <c r="O26" s="51">
        <f>'NHH.P.Range'!P98</f>
        <v>-6.6576461617377652E-2</v>
      </c>
    </row>
    <row r="27" spans="1:15" ht="13.15" hidden="1" outlineLevel="1" x14ac:dyDescent="0.35">
      <c r="E27" s="1" t="s">
        <v>59</v>
      </c>
      <c r="F27" s="1" t="s">
        <v>85</v>
      </c>
      <c r="G27" s="1" t="s">
        <v>101</v>
      </c>
      <c r="H27" s="29"/>
      <c r="I27" s="29"/>
      <c r="J27" s="29"/>
      <c r="K27" s="29"/>
      <c r="L27" s="8"/>
      <c r="M27" s="51">
        <f>'NHH.P.Range'!N99</f>
        <v>3.8435886296790893E-2</v>
      </c>
      <c r="N27" s="51">
        <f>'NHH.P.Range'!O99</f>
        <v>3.3082310343970314E-2</v>
      </c>
      <c r="O27" s="51">
        <f>'NHH.P.Range'!P99</f>
        <v>3.710216718698283E-2</v>
      </c>
    </row>
    <row r="28" spans="1:15" ht="13.15" hidden="1" outlineLevel="1" x14ac:dyDescent="0.35">
      <c r="E28" s="1" t="s">
        <v>60</v>
      </c>
      <c r="F28" s="1" t="s">
        <v>85</v>
      </c>
      <c r="G28" s="1" t="s">
        <v>101</v>
      </c>
      <c r="H28" s="29"/>
      <c r="I28" s="29"/>
      <c r="J28" s="29"/>
      <c r="K28" s="29"/>
      <c r="L28" s="8"/>
      <c r="M28" s="51">
        <f>'NHH.P.Range'!N100</f>
        <v>0.255532922444135</v>
      </c>
      <c r="N28" s="51">
        <f>'NHH.P.Range'!O100</f>
        <v>0.26522891519932268</v>
      </c>
      <c r="O28" s="51">
        <f>'NHH.P.Range'!P100</f>
        <v>0.27501222434292233</v>
      </c>
    </row>
    <row r="29" spans="1:15" ht="13.15" hidden="1" outlineLevel="1" x14ac:dyDescent="0.35">
      <c r="E29" s="1" t="s">
        <v>61</v>
      </c>
      <c r="F29" s="1" t="s">
        <v>85</v>
      </c>
      <c r="G29" s="1" t="s">
        <v>101</v>
      </c>
      <c r="H29" s="29"/>
      <c r="I29" s="29"/>
      <c r="J29" s="29"/>
      <c r="K29" s="29"/>
      <c r="L29" s="8"/>
      <c r="M29" s="51">
        <f>'NHH.P.Range'!N101</f>
        <v>-1.6624203632758901E-2</v>
      </c>
      <c r="N29" s="51">
        <f>'NHH.P.Range'!O101</f>
        <v>-1.2072850523999778E-3</v>
      </c>
      <c r="O29" s="51">
        <f>'NHH.P.Range'!P101</f>
        <v>2.8816566126897571E-2</v>
      </c>
    </row>
    <row r="30" spans="1:15" ht="13.15" collapsed="1" x14ac:dyDescent="0.35">
      <c r="E30" s="1"/>
    </row>
    <row r="31" spans="1:15" s="91" customFormat="1" ht="13.15" x14ac:dyDescent="0.35">
      <c r="A31" s="90" t="s">
        <v>106</v>
      </c>
      <c r="B31" s="90"/>
      <c r="C31" s="90"/>
      <c r="D31" s="90"/>
      <c r="E31" s="90"/>
      <c r="F31" s="90"/>
      <c r="G31" s="90"/>
      <c r="H31" s="90"/>
      <c r="I31" s="90"/>
      <c r="J31" s="90"/>
      <c r="K31" s="90"/>
      <c r="L31" s="90"/>
    </row>
    <row r="32" spans="1:15" ht="13.15" x14ac:dyDescent="0.35">
      <c r="E32" s="1"/>
    </row>
    <row r="33" spans="5:12" ht="13.15" x14ac:dyDescent="0.35">
      <c r="E33" s="10"/>
      <c r="F33" s="1" t="s">
        <v>85</v>
      </c>
      <c r="G33" s="1" t="s">
        <v>101</v>
      </c>
      <c r="H33" s="1" t="s">
        <v>107</v>
      </c>
      <c r="I33" s="23">
        <v>0.1</v>
      </c>
      <c r="J33" s="36"/>
      <c r="K33" s="26">
        <f t="shared" ref="K33:K49" si="0">_xlfn.PERCENTILE.INC($M$9:$O$29,I33)</f>
        <v>-0.10034752767602984</v>
      </c>
      <c r="L33" s="11"/>
    </row>
    <row r="34" spans="5:12" ht="13.15" hidden="1" outlineLevel="1" x14ac:dyDescent="0.35">
      <c r="E34" s="10"/>
      <c r="F34" s="1" t="s">
        <v>85</v>
      </c>
      <c r="G34" s="1" t="s">
        <v>101</v>
      </c>
      <c r="H34" s="1" t="s">
        <v>108</v>
      </c>
      <c r="I34" s="23">
        <v>0.15</v>
      </c>
      <c r="J34" s="36"/>
      <c r="K34" s="26">
        <f t="shared" si="0"/>
        <v>-8.5092042573742407E-2</v>
      </c>
      <c r="L34" s="8"/>
    </row>
    <row r="35" spans="5:12" ht="13.15" hidden="1" outlineLevel="1" x14ac:dyDescent="0.35">
      <c r="E35" s="10"/>
      <c r="F35" s="1" t="s">
        <v>85</v>
      </c>
      <c r="G35" s="1" t="s">
        <v>101</v>
      </c>
      <c r="H35" s="1" t="s">
        <v>109</v>
      </c>
      <c r="I35" s="23">
        <v>0.2</v>
      </c>
      <c r="J35" s="36"/>
      <c r="K35" s="26">
        <f t="shared" si="0"/>
        <v>-7.6185729293913748E-2</v>
      </c>
      <c r="L35" s="8"/>
    </row>
    <row r="36" spans="5:12" ht="13.15" hidden="1" outlineLevel="1" x14ac:dyDescent="0.35">
      <c r="E36" s="10"/>
      <c r="F36" s="1" t="s">
        <v>85</v>
      </c>
      <c r="G36" s="1" t="s">
        <v>101</v>
      </c>
      <c r="H36" s="1" t="s">
        <v>110</v>
      </c>
      <c r="I36" s="23">
        <v>0.25</v>
      </c>
      <c r="J36" s="36"/>
      <c r="K36" s="26">
        <f t="shared" si="0"/>
        <v>-6.3207221840475503E-2</v>
      </c>
      <c r="L36" s="8"/>
    </row>
    <row r="37" spans="5:12" ht="13.15" hidden="1" outlineLevel="1" x14ac:dyDescent="0.35">
      <c r="E37" s="12"/>
      <c r="F37" s="1" t="s">
        <v>85</v>
      </c>
      <c r="G37" s="1" t="s">
        <v>101</v>
      </c>
      <c r="H37" s="1" t="s">
        <v>111</v>
      </c>
      <c r="I37" s="23">
        <v>0.3</v>
      </c>
      <c r="J37" s="36"/>
      <c r="K37" s="26">
        <f t="shared" si="0"/>
        <v>-5.6816156084417216E-2</v>
      </c>
      <c r="L37" s="8"/>
    </row>
    <row r="38" spans="5:12" ht="13.15" hidden="1" outlineLevel="1" x14ac:dyDescent="0.35">
      <c r="E38" s="12"/>
      <c r="F38" s="1" t="s">
        <v>85</v>
      </c>
      <c r="G38" s="1" t="s">
        <v>101</v>
      </c>
      <c r="H38" s="1" t="s">
        <v>112</v>
      </c>
      <c r="I38" s="23">
        <v>0.35</v>
      </c>
      <c r="J38" s="36"/>
      <c r="K38" s="26">
        <f t="shared" si="0"/>
        <v>-4.3261649807731666E-2</v>
      </c>
      <c r="L38" s="8"/>
    </row>
    <row r="39" spans="5:12" ht="13.15" hidden="1" outlineLevel="1" x14ac:dyDescent="0.35">
      <c r="E39" s="10"/>
      <c r="F39" s="1" t="s">
        <v>85</v>
      </c>
      <c r="G39" s="1" t="s">
        <v>101</v>
      </c>
      <c r="H39" s="1" t="s">
        <v>113</v>
      </c>
      <c r="I39" s="23">
        <v>0.4</v>
      </c>
      <c r="J39" s="36"/>
      <c r="K39" s="26">
        <f t="shared" si="0"/>
        <v>-3.0052786814801728E-2</v>
      </c>
      <c r="L39" s="8"/>
    </row>
    <row r="40" spans="5:12" ht="13.15" hidden="1" outlineLevel="1" x14ac:dyDescent="0.35">
      <c r="E40" s="10"/>
      <c r="F40" s="1" t="s">
        <v>85</v>
      </c>
      <c r="G40" s="1" t="s">
        <v>101</v>
      </c>
      <c r="H40" s="1" t="s">
        <v>114</v>
      </c>
      <c r="I40" s="23">
        <v>0.45</v>
      </c>
      <c r="J40" s="36"/>
      <c r="K40" s="26">
        <f t="shared" si="0"/>
        <v>-1.5757988987317468E-2</v>
      </c>
      <c r="L40" s="8"/>
    </row>
    <row r="41" spans="5:12" ht="13.15" hidden="1" outlineLevel="1" x14ac:dyDescent="0.35">
      <c r="E41" s="10"/>
      <c r="F41" s="1" t="s">
        <v>85</v>
      </c>
      <c r="G41" s="1" t="s">
        <v>101</v>
      </c>
      <c r="H41" s="1" t="s">
        <v>115</v>
      </c>
      <c r="I41" s="23">
        <v>0.5</v>
      </c>
      <c r="J41" s="36"/>
      <c r="K41" s="26">
        <f t="shared" si="0"/>
        <v>-3.5507161898614505E-3</v>
      </c>
      <c r="L41" s="8"/>
    </row>
    <row r="42" spans="5:12" ht="13.15" hidden="1" outlineLevel="1" x14ac:dyDescent="0.35">
      <c r="E42" s="10"/>
      <c r="F42" s="1" t="s">
        <v>85</v>
      </c>
      <c r="G42" s="1" t="s">
        <v>101</v>
      </c>
      <c r="H42" s="1" t="s">
        <v>116</v>
      </c>
      <c r="I42" s="23">
        <v>0.55000000000000004</v>
      </c>
      <c r="J42" s="36"/>
      <c r="K42" s="26">
        <f t="shared" si="0"/>
        <v>9.5692786232178216E-3</v>
      </c>
      <c r="L42" s="8"/>
    </row>
    <row r="43" spans="5:12" ht="13.15" hidden="1" outlineLevel="1" x14ac:dyDescent="0.35">
      <c r="E43" s="10"/>
      <c r="F43" s="1" t="s">
        <v>85</v>
      </c>
      <c r="G43" s="1" t="s">
        <v>101</v>
      </c>
      <c r="H43" s="1" t="s">
        <v>117</v>
      </c>
      <c r="I43" s="23">
        <v>0.6</v>
      </c>
      <c r="J43" s="36"/>
      <c r="K43" s="26">
        <f t="shared" si="0"/>
        <v>1.5069077981332295E-2</v>
      </c>
      <c r="L43" s="8"/>
    </row>
    <row r="44" spans="5:12" ht="13.15" hidden="1" outlineLevel="1" x14ac:dyDescent="0.35">
      <c r="E44" s="10"/>
      <c r="F44" s="1" t="s">
        <v>85</v>
      </c>
      <c r="G44" s="1" t="s">
        <v>101</v>
      </c>
      <c r="H44" s="1" t="s">
        <v>118</v>
      </c>
      <c r="I44" s="23">
        <v>0.65</v>
      </c>
      <c r="J44" s="36"/>
      <c r="K44" s="26">
        <f t="shared" si="0"/>
        <v>1.9476780144665369E-2</v>
      </c>
      <c r="L44" s="8"/>
    </row>
    <row r="45" spans="5:12" ht="13.15" hidden="1" outlineLevel="1" x14ac:dyDescent="0.35">
      <c r="E45" s="10"/>
      <c r="F45" s="1" t="s">
        <v>85</v>
      </c>
      <c r="G45" s="1" t="s">
        <v>101</v>
      </c>
      <c r="H45" s="1" t="s">
        <v>119</v>
      </c>
      <c r="I45" s="23">
        <v>0.7</v>
      </c>
      <c r="J45" s="36"/>
      <c r="K45" s="26">
        <f t="shared" si="0"/>
        <v>2.8158331023981579E-2</v>
      </c>
      <c r="L45" s="8"/>
    </row>
    <row r="46" spans="5:12" ht="13.15" hidden="1" outlineLevel="1" x14ac:dyDescent="0.35">
      <c r="E46" s="10"/>
      <c r="F46" s="1" t="s">
        <v>85</v>
      </c>
      <c r="G46" s="1" t="s">
        <v>101</v>
      </c>
      <c r="H46" s="1" t="s">
        <v>120</v>
      </c>
      <c r="I46" s="23">
        <v>0.75</v>
      </c>
      <c r="J46" s="36"/>
      <c r="K46" s="26">
        <f t="shared" si="0"/>
        <v>3.3082310343970314E-2</v>
      </c>
      <c r="L46" s="8"/>
    </row>
    <row r="47" spans="5:12" ht="13.15" hidden="1" outlineLevel="1" x14ac:dyDescent="0.35">
      <c r="E47" s="10"/>
      <c r="F47" s="1" t="s">
        <v>85</v>
      </c>
      <c r="G47" s="1" t="s">
        <v>101</v>
      </c>
      <c r="H47" s="1" t="s">
        <v>121</v>
      </c>
      <c r="I47" s="23">
        <v>0.8</v>
      </c>
      <c r="J47" s="36"/>
      <c r="K47" s="26">
        <f t="shared" si="0"/>
        <v>3.7974496049026939E-2</v>
      </c>
      <c r="L47" s="8"/>
    </row>
    <row r="48" spans="5:12" ht="13.15" hidden="1" outlineLevel="1" x14ac:dyDescent="0.35">
      <c r="E48" s="10"/>
      <c r="F48" s="1" t="s">
        <v>85</v>
      </c>
      <c r="G48" s="1" t="s">
        <v>101</v>
      </c>
      <c r="H48" s="1" t="s">
        <v>122</v>
      </c>
      <c r="I48" s="23">
        <v>0.85</v>
      </c>
      <c r="J48" s="36"/>
      <c r="K48" s="26">
        <f t="shared" si="0"/>
        <v>4.4049770071657876E-2</v>
      </c>
      <c r="L48" s="8"/>
    </row>
    <row r="49" spans="1:15" ht="13.15" hidden="1" outlineLevel="1" x14ac:dyDescent="0.35">
      <c r="E49" s="10"/>
      <c r="F49" s="1" t="s">
        <v>85</v>
      </c>
      <c r="G49" s="1" t="s">
        <v>101</v>
      </c>
      <c r="H49" s="1" t="s">
        <v>123</v>
      </c>
      <c r="I49" s="23">
        <v>0.9</v>
      </c>
      <c r="J49" s="36"/>
      <c r="K49" s="26">
        <f t="shared" si="0"/>
        <v>4.8901407194198034E-2</v>
      </c>
      <c r="L49" s="8"/>
    </row>
    <row r="50" spans="1:15" ht="13.15" collapsed="1" x14ac:dyDescent="0.35">
      <c r="E50" s="1"/>
      <c r="K50" s="27"/>
    </row>
    <row r="51" spans="1:15" s="91" customFormat="1" ht="13.15" x14ac:dyDescent="0.35">
      <c r="A51" s="90" t="s">
        <v>124</v>
      </c>
      <c r="B51" s="90"/>
      <c r="C51" s="90"/>
      <c r="D51" s="90"/>
      <c r="E51" s="90"/>
      <c r="F51" s="90"/>
      <c r="G51" s="90"/>
      <c r="H51" s="90"/>
      <c r="I51" s="90"/>
      <c r="J51" s="90"/>
      <c r="K51" s="90"/>
      <c r="L51" s="90"/>
    </row>
    <row r="52" spans="1:15" ht="13.15" x14ac:dyDescent="0.35">
      <c r="E52" s="1"/>
      <c r="M52" s="53">
        <f>K41</f>
        <v>-3.5507161898614505E-3</v>
      </c>
      <c r="N52" s="115" t="s">
        <v>125</v>
      </c>
      <c r="O52" s="115"/>
    </row>
    <row r="53" spans="1:15" ht="13.15" x14ac:dyDescent="0.35">
      <c r="E53" s="10"/>
      <c r="F53" s="1" t="s">
        <v>85</v>
      </c>
      <c r="G53" s="1" t="s">
        <v>101</v>
      </c>
      <c r="H53" s="1" t="s">
        <v>107</v>
      </c>
      <c r="I53" s="23">
        <v>0.1</v>
      </c>
      <c r="J53" s="36"/>
      <c r="K53" s="26">
        <f t="shared" ref="K53:K69" si="1">K33-$M$52</f>
        <v>-9.679681148616838E-2</v>
      </c>
      <c r="L53" s="11"/>
    </row>
    <row r="54" spans="1:15" ht="13.15" hidden="1" outlineLevel="1" x14ac:dyDescent="0.35">
      <c r="E54" s="10"/>
      <c r="F54" s="1" t="s">
        <v>85</v>
      </c>
      <c r="G54" s="1" t="s">
        <v>101</v>
      </c>
      <c r="H54" s="1" t="s">
        <v>108</v>
      </c>
      <c r="I54" s="23">
        <v>0.15</v>
      </c>
      <c r="J54" s="36"/>
      <c r="K54" s="26">
        <f t="shared" si="1"/>
        <v>-8.1541326383880952E-2</v>
      </c>
      <c r="L54" s="8"/>
    </row>
    <row r="55" spans="1:15" ht="13.15" hidden="1" outlineLevel="1" x14ac:dyDescent="0.35">
      <c r="E55" s="10"/>
      <c r="F55" s="1" t="s">
        <v>85</v>
      </c>
      <c r="G55" s="1" t="s">
        <v>101</v>
      </c>
      <c r="H55" s="1" t="s">
        <v>109</v>
      </c>
      <c r="I55" s="23">
        <v>0.2</v>
      </c>
      <c r="J55" s="36"/>
      <c r="K55" s="26">
        <f t="shared" si="1"/>
        <v>-7.2635013104052293E-2</v>
      </c>
      <c r="L55" s="8"/>
    </row>
    <row r="56" spans="1:15" ht="13.15" hidden="1" outlineLevel="1" x14ac:dyDescent="0.35">
      <c r="E56" s="10"/>
      <c r="F56" s="1" t="s">
        <v>85</v>
      </c>
      <c r="G56" s="1" t="s">
        <v>101</v>
      </c>
      <c r="H56" s="1" t="s">
        <v>110</v>
      </c>
      <c r="I56" s="23">
        <v>0.25</v>
      </c>
      <c r="J56" s="36"/>
      <c r="K56" s="26">
        <f t="shared" si="1"/>
        <v>-5.9656505650614054E-2</v>
      </c>
      <c r="L56" s="8"/>
    </row>
    <row r="57" spans="1:15" ht="13.15" hidden="1" outlineLevel="1" x14ac:dyDescent="0.35">
      <c r="E57" s="12"/>
      <c r="F57" s="1" t="s">
        <v>85</v>
      </c>
      <c r="G57" s="1" t="s">
        <v>101</v>
      </c>
      <c r="H57" s="1" t="s">
        <v>111</v>
      </c>
      <c r="I57" s="23">
        <v>0.3</v>
      </c>
      <c r="J57" s="36"/>
      <c r="K57" s="26">
        <f t="shared" si="1"/>
        <v>-5.3265439894555767E-2</v>
      </c>
      <c r="L57" s="8"/>
    </row>
    <row r="58" spans="1:15" ht="13.15" hidden="1" outlineLevel="1" x14ac:dyDescent="0.35">
      <c r="E58" s="12"/>
      <c r="F58" s="1" t="s">
        <v>85</v>
      </c>
      <c r="G58" s="1" t="s">
        <v>101</v>
      </c>
      <c r="H58" s="1" t="s">
        <v>112</v>
      </c>
      <c r="I58" s="23">
        <v>0.35</v>
      </c>
      <c r="J58" s="36"/>
      <c r="K58" s="26">
        <f t="shared" si="1"/>
        <v>-3.9710933617870217E-2</v>
      </c>
      <c r="L58" s="8"/>
    </row>
    <row r="59" spans="1:15" ht="13.15" hidden="1" outlineLevel="1" x14ac:dyDescent="0.35">
      <c r="E59" s="10"/>
      <c r="F59" s="1" t="s">
        <v>85</v>
      </c>
      <c r="G59" s="1" t="s">
        <v>101</v>
      </c>
      <c r="H59" s="1" t="s">
        <v>113</v>
      </c>
      <c r="I59" s="23">
        <v>0.4</v>
      </c>
      <c r="J59" s="36"/>
      <c r="K59" s="26">
        <f t="shared" si="1"/>
        <v>-2.6502070624940276E-2</v>
      </c>
      <c r="L59" s="8"/>
    </row>
    <row r="60" spans="1:15" ht="13.15" hidden="1" outlineLevel="1" x14ac:dyDescent="0.35">
      <c r="E60" s="10"/>
      <c r="F60" s="1" t="s">
        <v>85</v>
      </c>
      <c r="G60" s="1" t="s">
        <v>101</v>
      </c>
      <c r="H60" s="1" t="s">
        <v>114</v>
      </c>
      <c r="I60" s="23">
        <v>0.45</v>
      </c>
      <c r="J60" s="36"/>
      <c r="K60" s="26">
        <f t="shared" si="1"/>
        <v>-1.2207272797456018E-2</v>
      </c>
      <c r="L60" s="8"/>
    </row>
    <row r="61" spans="1:15" ht="13.15" hidden="1" outlineLevel="1" x14ac:dyDescent="0.35">
      <c r="E61" s="10"/>
      <c r="F61" s="1" t="s">
        <v>85</v>
      </c>
      <c r="G61" s="1" t="s">
        <v>101</v>
      </c>
      <c r="H61" s="1" t="s">
        <v>115</v>
      </c>
      <c r="I61" s="23">
        <v>0.5</v>
      </c>
      <c r="J61" s="36"/>
      <c r="K61" s="26">
        <f t="shared" si="1"/>
        <v>0</v>
      </c>
      <c r="L61" s="8"/>
    </row>
    <row r="62" spans="1:15" ht="13.15" hidden="1" outlineLevel="1" x14ac:dyDescent="0.35">
      <c r="E62" s="10"/>
      <c r="F62" s="1" t="s">
        <v>85</v>
      </c>
      <c r="G62" s="1" t="s">
        <v>101</v>
      </c>
      <c r="H62" s="1" t="s">
        <v>116</v>
      </c>
      <c r="I62" s="23">
        <v>0.55000000000000004</v>
      </c>
      <c r="J62" s="36"/>
      <c r="K62" s="26">
        <f t="shared" si="1"/>
        <v>1.3119994813079272E-2</v>
      </c>
      <c r="L62" s="8"/>
    </row>
    <row r="63" spans="1:15" ht="13.15" hidden="1" outlineLevel="1" x14ac:dyDescent="0.35">
      <c r="E63" s="10"/>
      <c r="F63" s="1" t="s">
        <v>85</v>
      </c>
      <c r="G63" s="1" t="s">
        <v>101</v>
      </c>
      <c r="H63" s="1" t="s">
        <v>117</v>
      </c>
      <c r="I63" s="23">
        <v>0.6</v>
      </c>
      <c r="J63" s="36"/>
      <c r="K63" s="26">
        <f t="shared" si="1"/>
        <v>1.8619794171193745E-2</v>
      </c>
      <c r="L63" s="8"/>
    </row>
    <row r="64" spans="1:15" ht="13.15" hidden="1" outlineLevel="1" x14ac:dyDescent="0.35">
      <c r="E64" s="10"/>
      <c r="F64" s="1" t="s">
        <v>85</v>
      </c>
      <c r="G64" s="1" t="s">
        <v>101</v>
      </c>
      <c r="H64" s="1" t="s">
        <v>118</v>
      </c>
      <c r="I64" s="23">
        <v>0.65</v>
      </c>
      <c r="J64" s="36"/>
      <c r="K64" s="26">
        <f t="shared" si="1"/>
        <v>2.3027496334526821E-2</v>
      </c>
      <c r="L64" s="8"/>
    </row>
    <row r="65" spans="1:12" ht="13.15" hidden="1" outlineLevel="1" x14ac:dyDescent="0.35">
      <c r="E65" s="10"/>
      <c r="F65" s="1" t="s">
        <v>85</v>
      </c>
      <c r="G65" s="1" t="s">
        <v>101</v>
      </c>
      <c r="H65" s="1" t="s">
        <v>119</v>
      </c>
      <c r="I65" s="23">
        <v>0.7</v>
      </c>
      <c r="J65" s="36"/>
      <c r="K65" s="26">
        <f t="shared" si="1"/>
        <v>3.1709047213843031E-2</v>
      </c>
      <c r="L65" s="8"/>
    </row>
    <row r="66" spans="1:12" ht="13.15" hidden="1" outlineLevel="1" x14ac:dyDescent="0.35">
      <c r="E66" s="10"/>
      <c r="F66" s="1" t="s">
        <v>85</v>
      </c>
      <c r="G66" s="1" t="s">
        <v>101</v>
      </c>
      <c r="H66" s="1" t="s">
        <v>120</v>
      </c>
      <c r="I66" s="23">
        <v>0.75</v>
      </c>
      <c r="J66" s="36"/>
      <c r="K66" s="26">
        <f t="shared" si="1"/>
        <v>3.6633026533831763E-2</v>
      </c>
      <c r="L66" s="8"/>
    </row>
    <row r="67" spans="1:12" ht="13.15" hidden="1" outlineLevel="1" x14ac:dyDescent="0.35">
      <c r="E67" s="10"/>
      <c r="F67" s="1" t="s">
        <v>85</v>
      </c>
      <c r="G67" s="1" t="s">
        <v>101</v>
      </c>
      <c r="H67" s="1" t="s">
        <v>121</v>
      </c>
      <c r="I67" s="23">
        <v>0.8</v>
      </c>
      <c r="J67" s="36"/>
      <c r="K67" s="26">
        <f t="shared" si="1"/>
        <v>4.1525212238888387E-2</v>
      </c>
      <c r="L67" s="8"/>
    </row>
    <row r="68" spans="1:12" ht="13.15" hidden="1" outlineLevel="1" x14ac:dyDescent="0.35">
      <c r="E68" s="10"/>
      <c r="F68" s="1" t="s">
        <v>85</v>
      </c>
      <c r="G68" s="1" t="s">
        <v>101</v>
      </c>
      <c r="H68" s="1" t="s">
        <v>122</v>
      </c>
      <c r="I68" s="23">
        <v>0.85</v>
      </c>
      <c r="J68" s="36"/>
      <c r="K68" s="26">
        <f t="shared" si="1"/>
        <v>4.7600486261519324E-2</v>
      </c>
      <c r="L68" s="8"/>
    </row>
    <row r="69" spans="1:12" ht="13.15" hidden="1" outlineLevel="1" x14ac:dyDescent="0.35">
      <c r="E69" s="10"/>
      <c r="F69" s="1" t="s">
        <v>85</v>
      </c>
      <c r="G69" s="1" t="s">
        <v>101</v>
      </c>
      <c r="H69" s="1" t="s">
        <v>123</v>
      </c>
      <c r="I69" s="23">
        <v>0.9</v>
      </c>
      <c r="J69" s="36"/>
      <c r="K69" s="26">
        <f t="shared" si="1"/>
        <v>5.2452123384059482E-2</v>
      </c>
      <c r="L69" s="8"/>
    </row>
    <row r="70" spans="1:12" collapsed="1" x14ac:dyDescent="0.45">
      <c r="K70" s="27"/>
    </row>
    <row r="71" spans="1:12" s="91" customFormat="1" ht="13.15" x14ac:dyDescent="0.35">
      <c r="A71" s="90" t="s">
        <v>126</v>
      </c>
      <c r="B71" s="90"/>
      <c r="C71" s="90"/>
      <c r="D71" s="90"/>
      <c r="E71" s="90"/>
      <c r="F71" s="90"/>
      <c r="G71" s="90"/>
      <c r="H71" s="90"/>
      <c r="I71" s="90"/>
      <c r="J71" s="90"/>
      <c r="K71" s="90"/>
      <c r="L71" s="90"/>
    </row>
    <row r="72" spans="1:12" ht="13.15" x14ac:dyDescent="0.35">
      <c r="E72" s="1"/>
    </row>
    <row r="73" spans="1:12" ht="13.15" x14ac:dyDescent="0.35">
      <c r="E73" s="10"/>
      <c r="F73" s="1" t="s">
        <v>85</v>
      </c>
      <c r="G73" s="1" t="s">
        <v>101</v>
      </c>
      <c r="H73" s="1" t="s">
        <v>107</v>
      </c>
      <c r="I73" s="23">
        <v>0.1</v>
      </c>
      <c r="J73" s="24">
        <v>1</v>
      </c>
      <c r="K73" s="110">
        <f t="shared" ref="K73:K89" si="2">INDEX($K$53:$K$69,MATCH(I73,$I$53:$I$69,0))*J73</f>
        <v>-9.679681148616838E-2</v>
      </c>
    </row>
    <row r="74" spans="1:12" ht="13.15" hidden="1" outlineLevel="1" x14ac:dyDescent="0.35">
      <c r="E74" s="10"/>
      <c r="F74" s="1" t="s">
        <v>85</v>
      </c>
      <c r="G74" s="1" t="s">
        <v>101</v>
      </c>
      <c r="H74" s="1" t="s">
        <v>108</v>
      </c>
      <c r="I74" s="23">
        <v>0.15</v>
      </c>
      <c r="J74" s="24">
        <v>1</v>
      </c>
      <c r="K74" s="110">
        <f t="shared" si="2"/>
        <v>-8.1541326383880952E-2</v>
      </c>
    </row>
    <row r="75" spans="1:12" ht="13.15" hidden="1" outlineLevel="1" x14ac:dyDescent="0.35">
      <c r="E75" s="10"/>
      <c r="F75" s="1" t="s">
        <v>85</v>
      </c>
      <c r="G75" s="1" t="s">
        <v>101</v>
      </c>
      <c r="H75" s="1" t="s">
        <v>109</v>
      </c>
      <c r="I75" s="23">
        <v>0.2</v>
      </c>
      <c r="J75" s="24">
        <v>1</v>
      </c>
      <c r="K75" s="110">
        <f t="shared" si="2"/>
        <v>-7.2635013104052293E-2</v>
      </c>
    </row>
    <row r="76" spans="1:12" ht="13.15" hidden="1" outlineLevel="1" x14ac:dyDescent="0.35">
      <c r="E76" s="10"/>
      <c r="F76" s="1" t="s">
        <v>85</v>
      </c>
      <c r="G76" s="1" t="s">
        <v>101</v>
      </c>
      <c r="H76" s="1" t="s">
        <v>110</v>
      </c>
      <c r="I76" s="23">
        <v>0.25</v>
      </c>
      <c r="J76" s="24">
        <v>1</v>
      </c>
      <c r="K76" s="110">
        <f t="shared" si="2"/>
        <v>-5.9656505650614054E-2</v>
      </c>
    </row>
    <row r="77" spans="1:12" ht="13.15" hidden="1" outlineLevel="1" x14ac:dyDescent="0.35">
      <c r="E77" s="12"/>
      <c r="F77" s="1" t="s">
        <v>85</v>
      </c>
      <c r="G77" s="1" t="s">
        <v>101</v>
      </c>
      <c r="H77" s="1" t="s">
        <v>111</v>
      </c>
      <c r="I77" s="23">
        <v>0.3</v>
      </c>
      <c r="J77" s="24">
        <v>1</v>
      </c>
      <c r="K77" s="110">
        <f t="shared" si="2"/>
        <v>-5.3265439894555767E-2</v>
      </c>
    </row>
    <row r="78" spans="1:12" ht="13.15" hidden="1" outlineLevel="1" x14ac:dyDescent="0.35">
      <c r="E78" s="12"/>
      <c r="F78" s="1" t="s">
        <v>85</v>
      </c>
      <c r="G78" s="1" t="s">
        <v>101</v>
      </c>
      <c r="H78" s="1" t="s">
        <v>112</v>
      </c>
      <c r="I78" s="23">
        <v>0.35</v>
      </c>
      <c r="J78" s="24">
        <v>1</v>
      </c>
      <c r="K78" s="110">
        <f t="shared" si="2"/>
        <v>-3.9710933617870217E-2</v>
      </c>
    </row>
    <row r="79" spans="1:12" ht="13.15" hidden="1" outlineLevel="1" x14ac:dyDescent="0.35">
      <c r="E79" s="10"/>
      <c r="F79" s="1" t="s">
        <v>85</v>
      </c>
      <c r="G79" s="1" t="s">
        <v>101</v>
      </c>
      <c r="H79" s="1" t="s">
        <v>113</v>
      </c>
      <c r="I79" s="23">
        <v>0.4</v>
      </c>
      <c r="J79" s="24">
        <v>1</v>
      </c>
      <c r="K79" s="110">
        <f t="shared" si="2"/>
        <v>-2.6502070624940276E-2</v>
      </c>
    </row>
    <row r="80" spans="1:12" ht="13.15" hidden="1" outlineLevel="1" x14ac:dyDescent="0.35">
      <c r="E80" s="10"/>
      <c r="F80" s="1" t="s">
        <v>85</v>
      </c>
      <c r="G80" s="1" t="s">
        <v>101</v>
      </c>
      <c r="H80" s="1" t="s">
        <v>114</v>
      </c>
      <c r="I80" s="23">
        <v>0.45</v>
      </c>
      <c r="J80" s="24">
        <v>1</v>
      </c>
      <c r="K80" s="110">
        <f t="shared" si="2"/>
        <v>-1.2207272797456018E-2</v>
      </c>
    </row>
    <row r="81" spans="1:12" ht="13.15" hidden="1" outlineLevel="1" x14ac:dyDescent="0.35">
      <c r="E81" s="10"/>
      <c r="F81" s="1" t="s">
        <v>85</v>
      </c>
      <c r="G81" s="1" t="s">
        <v>101</v>
      </c>
      <c r="H81" s="1" t="s">
        <v>115</v>
      </c>
      <c r="I81" s="23">
        <v>0.5</v>
      </c>
      <c r="J81" s="24">
        <v>1</v>
      </c>
      <c r="K81" s="110">
        <f t="shared" si="2"/>
        <v>0</v>
      </c>
    </row>
    <row r="82" spans="1:12" ht="13.15" hidden="1" outlineLevel="1" x14ac:dyDescent="0.35">
      <c r="E82" s="10"/>
      <c r="F82" s="1" t="s">
        <v>85</v>
      </c>
      <c r="G82" s="1" t="s">
        <v>101</v>
      </c>
      <c r="H82" s="1" t="s">
        <v>116</v>
      </c>
      <c r="I82" s="23">
        <v>0.45</v>
      </c>
      <c r="J82" s="24">
        <v>-1</v>
      </c>
      <c r="K82" s="110">
        <f t="shared" si="2"/>
        <v>1.2207272797456018E-2</v>
      </c>
    </row>
    <row r="83" spans="1:12" ht="13.15" hidden="1" outlineLevel="1" x14ac:dyDescent="0.35">
      <c r="E83" s="10"/>
      <c r="F83" s="1" t="s">
        <v>85</v>
      </c>
      <c r="G83" s="1" t="s">
        <v>101</v>
      </c>
      <c r="H83" s="1" t="s">
        <v>117</v>
      </c>
      <c r="I83" s="23">
        <v>0.4</v>
      </c>
      <c r="J83" s="24">
        <v>-1</v>
      </c>
      <c r="K83" s="110">
        <f t="shared" si="2"/>
        <v>2.6502070624940276E-2</v>
      </c>
    </row>
    <row r="84" spans="1:12" ht="13.15" hidden="1" outlineLevel="1" x14ac:dyDescent="0.35">
      <c r="E84" s="10"/>
      <c r="F84" s="1" t="s">
        <v>85</v>
      </c>
      <c r="G84" s="1" t="s">
        <v>101</v>
      </c>
      <c r="H84" s="1" t="s">
        <v>118</v>
      </c>
      <c r="I84" s="23">
        <v>0.35</v>
      </c>
      <c r="J84" s="24">
        <v>-1</v>
      </c>
      <c r="K84" s="110">
        <f t="shared" si="2"/>
        <v>3.9710933617870217E-2</v>
      </c>
    </row>
    <row r="85" spans="1:12" ht="13.15" hidden="1" outlineLevel="1" x14ac:dyDescent="0.35">
      <c r="E85" s="10"/>
      <c r="F85" s="1" t="s">
        <v>85</v>
      </c>
      <c r="G85" s="1" t="s">
        <v>101</v>
      </c>
      <c r="H85" s="1" t="s">
        <v>119</v>
      </c>
      <c r="I85" s="23">
        <v>0.3</v>
      </c>
      <c r="J85" s="24">
        <v>-1</v>
      </c>
      <c r="K85" s="110">
        <f t="shared" si="2"/>
        <v>5.3265439894555767E-2</v>
      </c>
    </row>
    <row r="86" spans="1:12" ht="13.15" hidden="1" outlineLevel="1" x14ac:dyDescent="0.35">
      <c r="E86" s="10"/>
      <c r="F86" s="1" t="s">
        <v>85</v>
      </c>
      <c r="G86" s="1" t="s">
        <v>101</v>
      </c>
      <c r="H86" s="1" t="s">
        <v>120</v>
      </c>
      <c r="I86" s="23">
        <v>0.25</v>
      </c>
      <c r="J86" s="24">
        <v>-1</v>
      </c>
      <c r="K86" s="110">
        <f t="shared" si="2"/>
        <v>5.9656505650614054E-2</v>
      </c>
    </row>
    <row r="87" spans="1:12" ht="13.15" hidden="1" outlineLevel="1" x14ac:dyDescent="0.35">
      <c r="E87" s="10"/>
      <c r="F87" s="1" t="s">
        <v>85</v>
      </c>
      <c r="G87" s="1" t="s">
        <v>101</v>
      </c>
      <c r="H87" s="1" t="s">
        <v>121</v>
      </c>
      <c r="I87" s="23">
        <v>0.2</v>
      </c>
      <c r="J87" s="24">
        <v>-1</v>
      </c>
      <c r="K87" s="110">
        <f t="shared" si="2"/>
        <v>7.2635013104052293E-2</v>
      </c>
    </row>
    <row r="88" spans="1:12" ht="13.15" hidden="1" outlineLevel="1" x14ac:dyDescent="0.35">
      <c r="E88" s="10"/>
      <c r="F88" s="1" t="s">
        <v>85</v>
      </c>
      <c r="G88" s="1" t="s">
        <v>101</v>
      </c>
      <c r="H88" s="1" t="s">
        <v>122</v>
      </c>
      <c r="I88" s="23">
        <v>0.15</v>
      </c>
      <c r="J88" s="24">
        <v>-1</v>
      </c>
      <c r="K88" s="110">
        <f t="shared" si="2"/>
        <v>8.1541326383880952E-2</v>
      </c>
    </row>
    <row r="89" spans="1:12" ht="13.15" hidden="1" outlineLevel="1" x14ac:dyDescent="0.35">
      <c r="E89" s="10"/>
      <c r="F89" s="1" t="s">
        <v>85</v>
      </c>
      <c r="G89" s="1" t="s">
        <v>101</v>
      </c>
      <c r="H89" s="1" t="s">
        <v>123</v>
      </c>
      <c r="I89" s="23">
        <v>0.1</v>
      </c>
      <c r="J89" s="24">
        <v>-1</v>
      </c>
      <c r="K89" s="110">
        <f t="shared" si="2"/>
        <v>9.679681148616838E-2</v>
      </c>
    </row>
    <row r="90" spans="1:12" collapsed="1" x14ac:dyDescent="0.45">
      <c r="I90" s="22"/>
      <c r="J90" s="22"/>
      <c r="L90" s="22"/>
    </row>
    <row r="91" spans="1:12" s="101" customFormat="1" ht="13.15" x14ac:dyDescent="0.4">
      <c r="A91" s="100" t="s">
        <v>83</v>
      </c>
      <c r="B91" s="100"/>
      <c r="C91" s="100"/>
      <c r="D91" s="100"/>
      <c r="E91" s="100"/>
      <c r="F91" s="100"/>
      <c r="G91" s="100"/>
      <c r="H91" s="100"/>
      <c r="I91" s="100"/>
      <c r="J91" s="100"/>
      <c r="K91" s="100"/>
      <c r="L91" s="100"/>
    </row>
  </sheetData>
  <mergeCells count="1">
    <mergeCell ref="N52:O52"/>
  </mergeCells>
  <phoneticPr fontId="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191F-FE6B-43F5-9BFA-EB4B731AE51D}">
  <sheetPr codeName="Sheet10">
    <tabColor rgb="FFCCCCCE"/>
  </sheetPr>
  <dimension ref="A1:T79"/>
  <sheetViews>
    <sheetView showGridLines="0" zoomScale="80" zoomScaleNormal="80" workbookViewId="0">
      <pane ySplit="5" topLeftCell="A6"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86" bestFit="1" customWidth="1"/>
    <col min="7" max="7" width="37.375" style="86" bestFit="1" customWidth="1"/>
    <col min="8" max="8" width="7.875" style="86" customWidth="1"/>
    <col min="9" max="9" width="2.75" style="86" customWidth="1"/>
    <col min="10" max="20" width="9" style="99" customWidth="1"/>
    <col min="21" max="16384" width="9" style="99" hidden="1"/>
  </cols>
  <sheetData>
    <row r="1" spans="1:19" s="37" customFormat="1" ht="30.75" x14ac:dyDescent="0.35">
      <c r="A1" s="4" t="str">
        <f ca="1">RIGHT(CELL("filename", A1), LEN(CELL("filename", A1)) - SEARCH("]", CELL("filename", A1)))</f>
        <v>PCC.Performance</v>
      </c>
      <c r="B1" s="4"/>
      <c r="C1" s="4"/>
      <c r="D1" s="5"/>
      <c r="E1" s="4"/>
      <c r="F1" s="4"/>
      <c r="G1" s="4"/>
      <c r="H1" s="4"/>
      <c r="I1" s="4"/>
    </row>
    <row r="2" spans="1:19" s="38" customFormat="1" ht="13.15" x14ac:dyDescent="0.35">
      <c r="A2" s="6"/>
      <c r="B2" s="1"/>
      <c r="C2" s="1"/>
      <c r="D2" s="1"/>
      <c r="E2" s="1"/>
      <c r="F2" s="1"/>
      <c r="G2" s="1"/>
      <c r="H2" s="1"/>
      <c r="I2" s="1"/>
      <c r="J2" s="43" t="s">
        <v>18</v>
      </c>
      <c r="K2" s="43" t="s">
        <v>19</v>
      </c>
      <c r="L2" s="43" t="s">
        <v>20</v>
      </c>
      <c r="M2" s="43" t="s">
        <v>21</v>
      </c>
      <c r="N2" s="43" t="s">
        <v>22</v>
      </c>
      <c r="O2" s="43" t="s">
        <v>23</v>
      </c>
      <c r="P2" s="43" t="s">
        <v>24</v>
      </c>
      <c r="Q2" s="43" t="s">
        <v>25</v>
      </c>
      <c r="R2" s="43" t="s">
        <v>26</v>
      </c>
      <c r="S2" s="43" t="s">
        <v>27</v>
      </c>
    </row>
    <row r="3" spans="1:19" s="38" customFormat="1" ht="13.15" x14ac:dyDescent="0.35">
      <c r="A3" s="6"/>
      <c r="B3" s="1"/>
      <c r="C3" s="1"/>
      <c r="D3" s="1"/>
      <c r="E3" s="7" t="s">
        <v>62</v>
      </c>
      <c r="F3" s="7" t="s">
        <v>63</v>
      </c>
      <c r="G3" s="7" t="s">
        <v>64</v>
      </c>
      <c r="H3" s="7" t="s">
        <v>13</v>
      </c>
      <c r="I3" s="1"/>
    </row>
    <row r="4" spans="1:19" s="38" customFormat="1" ht="13.15" x14ac:dyDescent="0.35">
      <c r="A4" s="6"/>
      <c r="B4" s="1"/>
      <c r="C4" s="1"/>
      <c r="D4" s="1"/>
      <c r="E4" s="1"/>
      <c r="F4" s="6"/>
      <c r="G4" s="1"/>
      <c r="H4" s="1"/>
      <c r="I4" s="1"/>
    </row>
    <row r="5" spans="1:19" s="38" customFormat="1" ht="13.15" x14ac:dyDescent="0.35">
      <c r="A5" s="6"/>
      <c r="B5" s="1"/>
      <c r="C5" s="1"/>
      <c r="D5" s="1"/>
      <c r="E5" s="1"/>
      <c r="F5" s="1"/>
      <c r="G5" s="1"/>
      <c r="H5" s="1"/>
      <c r="I5" s="3"/>
    </row>
    <row r="6" spans="1:19" s="38" customFormat="1" ht="13.15" x14ac:dyDescent="0.35">
      <c r="A6" s="6"/>
      <c r="B6" s="1"/>
      <c r="C6" s="1"/>
      <c r="D6" s="1"/>
      <c r="E6" s="1"/>
      <c r="F6" s="1"/>
      <c r="G6" s="1"/>
      <c r="H6" s="1"/>
      <c r="I6" s="3"/>
    </row>
    <row r="7" spans="1:19" s="91" customFormat="1" ht="13.15" x14ac:dyDescent="0.35">
      <c r="A7" s="90" t="s">
        <v>127</v>
      </c>
      <c r="B7" s="90"/>
      <c r="C7" s="90"/>
      <c r="D7" s="90"/>
      <c r="E7" s="90"/>
      <c r="F7" s="90"/>
      <c r="G7" s="90"/>
      <c r="H7" s="90"/>
      <c r="I7" s="90"/>
    </row>
    <row r="8" spans="1:19" s="38" customFormat="1" ht="13.15" x14ac:dyDescent="0.35">
      <c r="A8" s="6"/>
      <c r="B8" s="1"/>
      <c r="C8" s="1"/>
      <c r="D8" s="1"/>
      <c r="E8" s="1"/>
      <c r="F8" s="1"/>
      <c r="G8" s="1"/>
      <c r="H8" s="1"/>
      <c r="I8" s="1"/>
    </row>
    <row r="9" spans="1:19" s="38" customFormat="1" ht="13.15" x14ac:dyDescent="0.35">
      <c r="A9" s="6"/>
      <c r="B9" s="1"/>
      <c r="C9" s="1"/>
      <c r="D9" s="1"/>
      <c r="E9" s="1" t="s">
        <v>36</v>
      </c>
      <c r="F9" s="1" t="s">
        <v>68</v>
      </c>
      <c r="G9" s="1" t="s">
        <v>128</v>
      </c>
      <c r="H9" s="1" t="s">
        <v>39</v>
      </c>
      <c r="I9" s="8"/>
      <c r="J9" s="54"/>
      <c r="K9" s="54"/>
      <c r="L9" s="54"/>
      <c r="M9" s="54"/>
      <c r="N9" s="54"/>
      <c r="O9" s="48">
        <f>PCC.Inputs!Q9</f>
        <v>134.99390587025869</v>
      </c>
      <c r="P9" s="48">
        <f>PCC.Inputs!R9</f>
        <v>139.03659133118819</v>
      </c>
      <c r="Q9" s="48">
        <f>PCC.Inputs!S9</f>
        <v>138.72994372307599</v>
      </c>
      <c r="R9" s="48">
        <f>PCC.Inputs!T9</f>
        <v>138.40088832477699</v>
      </c>
      <c r="S9" s="48">
        <f>PCC.Inputs!U9</f>
        <v>131.947990588941</v>
      </c>
    </row>
    <row r="10" spans="1:19" s="38" customFormat="1" ht="13.15" hidden="1" outlineLevel="1" x14ac:dyDescent="0.35">
      <c r="A10" s="6"/>
      <c r="B10" s="1"/>
      <c r="C10" s="1"/>
      <c r="D10" s="1"/>
      <c r="E10" s="1" t="s">
        <v>46</v>
      </c>
      <c r="F10" s="1" t="s">
        <v>68</v>
      </c>
      <c r="G10" s="1" t="s">
        <v>128</v>
      </c>
      <c r="H10" s="1" t="s">
        <v>39</v>
      </c>
      <c r="I10" s="8"/>
      <c r="J10" s="54"/>
      <c r="K10" s="54"/>
      <c r="L10" s="54"/>
      <c r="M10" s="54"/>
      <c r="N10" s="54"/>
      <c r="O10" s="48">
        <f>PCC.Inputs!Q10</f>
        <v>145.70440654750919</v>
      </c>
      <c r="P10" s="48">
        <f>PCC.Inputs!R10</f>
        <v>151.45371379689391</v>
      </c>
      <c r="Q10" s="48">
        <f>PCC.Inputs!S10</f>
        <v>153.85332306630539</v>
      </c>
      <c r="R10" s="48">
        <f>PCC.Inputs!T10</f>
        <v>154.7990234225025</v>
      </c>
      <c r="S10" s="48">
        <f>PCC.Inputs!U10</f>
        <v>150.6851666194087</v>
      </c>
    </row>
    <row r="11" spans="1:19" s="38" customFormat="1" ht="13.15" hidden="1" outlineLevel="1" x14ac:dyDescent="0.35">
      <c r="A11" s="6"/>
      <c r="B11" s="1"/>
      <c r="C11" s="1"/>
      <c r="D11" s="1"/>
      <c r="E11" s="1" t="s">
        <v>47</v>
      </c>
      <c r="F11" s="1" t="s">
        <v>68</v>
      </c>
      <c r="G11" s="1" t="s">
        <v>128</v>
      </c>
      <c r="H11" s="1" t="s">
        <v>39</v>
      </c>
      <c r="I11" s="8"/>
      <c r="J11" s="54"/>
      <c r="K11" s="54"/>
      <c r="L11" s="54"/>
      <c r="M11" s="54"/>
      <c r="N11" s="54"/>
      <c r="O11" s="48">
        <f>PCC.Inputs!Q11</f>
        <v>128.94098993391259</v>
      </c>
      <c r="P11" s="48">
        <f>PCC.Inputs!R11</f>
        <v>131.379775224658</v>
      </c>
      <c r="Q11" s="48">
        <f>PCC.Inputs!S11</f>
        <v>133.6536725840005</v>
      </c>
      <c r="R11" s="48">
        <f>PCC.Inputs!T11</f>
        <v>135.07889163186209</v>
      </c>
      <c r="S11" s="48">
        <f>PCC.Inputs!U11</f>
        <v>130.59066086119751</v>
      </c>
    </row>
    <row r="12" spans="1:19" s="38" customFormat="1" ht="13.15" hidden="1" outlineLevel="1" x14ac:dyDescent="0.35">
      <c r="A12" s="6"/>
      <c r="B12" s="1"/>
      <c r="C12" s="1"/>
      <c r="D12" s="1"/>
      <c r="E12" s="1" t="s">
        <v>48</v>
      </c>
      <c r="F12" s="1" t="s">
        <v>68</v>
      </c>
      <c r="G12" s="1" t="s">
        <v>128</v>
      </c>
      <c r="H12" s="1" t="s">
        <v>39</v>
      </c>
      <c r="I12" s="8"/>
      <c r="J12" s="54"/>
      <c r="K12" s="54"/>
      <c r="L12" s="54"/>
      <c r="M12" s="54"/>
      <c r="N12" s="54"/>
      <c r="O12" s="48">
        <f>PCC.Inputs!Q12</f>
        <v>150.65616974618641</v>
      </c>
      <c r="P12" s="48">
        <f>PCC.Inputs!R12</f>
        <v>156.2989600039657</v>
      </c>
      <c r="Q12" s="48">
        <f>PCC.Inputs!S12</f>
        <v>157.7171412984892</v>
      </c>
      <c r="R12" s="48">
        <f>PCC.Inputs!T12</f>
        <v>159.10007510952079</v>
      </c>
      <c r="S12" s="48">
        <f>PCC.Inputs!U12</f>
        <v>154.7120945772464</v>
      </c>
    </row>
    <row r="13" spans="1:19" s="38" customFormat="1" ht="13.15" hidden="1" outlineLevel="1" x14ac:dyDescent="0.35">
      <c r="A13" s="6"/>
      <c r="B13" s="1"/>
      <c r="C13" s="1"/>
      <c r="D13" s="1"/>
      <c r="E13" s="9" t="s">
        <v>70</v>
      </c>
      <c r="F13" s="1" t="s">
        <v>68</v>
      </c>
      <c r="G13" s="1" t="s">
        <v>129</v>
      </c>
      <c r="H13" s="1" t="s">
        <v>39</v>
      </c>
      <c r="I13" s="8"/>
      <c r="J13" s="54"/>
      <c r="K13" s="54"/>
      <c r="L13" s="54"/>
      <c r="M13" s="54"/>
      <c r="N13" s="54"/>
      <c r="O13" s="48">
        <f>PCC.Inputs!Q13</f>
        <v>145.9475528734543</v>
      </c>
      <c r="P13" s="48">
        <f>PCC.Inputs!R13</f>
        <v>152.26499754166099</v>
      </c>
      <c r="Q13" s="48">
        <f>PCC.Inputs!S13</f>
        <v>155.2811726516158</v>
      </c>
      <c r="R13" s="48">
        <f>PCC.Inputs!T13</f>
        <v>157.89836784371749</v>
      </c>
      <c r="S13" s="48">
        <f>PCC.Inputs!U13</f>
        <v>154.40186264115709</v>
      </c>
    </row>
    <row r="14" spans="1:19" s="38" customFormat="1" ht="13.15" hidden="1" outlineLevel="1" x14ac:dyDescent="0.35">
      <c r="A14" s="6"/>
      <c r="B14" s="1"/>
      <c r="C14" s="1"/>
      <c r="D14" s="1"/>
      <c r="E14" s="9" t="s">
        <v>72</v>
      </c>
      <c r="F14" s="1" t="s">
        <v>68</v>
      </c>
      <c r="G14" s="1" t="s">
        <v>130</v>
      </c>
      <c r="H14" s="1" t="s">
        <v>39</v>
      </c>
      <c r="I14" s="8"/>
      <c r="J14" s="54"/>
      <c r="K14" s="54"/>
      <c r="L14" s="54"/>
      <c r="M14" s="54"/>
      <c r="N14" s="54"/>
      <c r="O14" s="48">
        <f>PCC.Inputs!Q14</f>
        <v>156.8240933940771</v>
      </c>
      <c r="P14" s="48">
        <f>PCC.Inputs!R14</f>
        <v>161.572438942611</v>
      </c>
      <c r="Q14" s="48">
        <f>PCC.Inputs!S14</f>
        <v>160.90771502175591</v>
      </c>
      <c r="R14" s="48">
        <f>PCC.Inputs!T14</f>
        <v>160.69273081957789</v>
      </c>
      <c r="S14" s="48">
        <f>PCC.Inputs!U14</f>
        <v>155.13371669948111</v>
      </c>
    </row>
    <row r="15" spans="1:19" s="38" customFormat="1" ht="13.15" hidden="1" outlineLevel="1" x14ac:dyDescent="0.35">
      <c r="A15" s="6"/>
      <c r="B15" s="1"/>
      <c r="C15" s="1"/>
      <c r="D15" s="1"/>
      <c r="E15" s="1" t="s">
        <v>49</v>
      </c>
      <c r="F15" s="1" t="s">
        <v>68</v>
      </c>
      <c r="G15" s="1" t="s">
        <v>128</v>
      </c>
      <c r="H15" s="1" t="s">
        <v>39</v>
      </c>
      <c r="I15" s="8"/>
      <c r="J15" s="54"/>
      <c r="K15" s="54"/>
      <c r="L15" s="54"/>
      <c r="M15" s="54"/>
      <c r="N15" s="54"/>
      <c r="O15" s="48">
        <f>PCC.Inputs!Q15</f>
        <v>133.69999999999999</v>
      </c>
      <c r="P15" s="48">
        <f>PCC.Inputs!R15</f>
        <v>137.13333333333341</v>
      </c>
      <c r="Q15" s="48">
        <f>PCC.Inputs!S15</f>
        <v>138.4</v>
      </c>
      <c r="R15" s="48">
        <f>PCC.Inputs!T15</f>
        <v>137.53195546546641</v>
      </c>
      <c r="S15" s="48">
        <f>PCC.Inputs!U15</f>
        <v>131.25653047625369</v>
      </c>
    </row>
    <row r="16" spans="1:19" s="38" customFormat="1" ht="13.15" hidden="1" outlineLevel="1" x14ac:dyDescent="0.35">
      <c r="A16" s="6"/>
      <c r="B16" s="1"/>
      <c r="C16" s="1"/>
      <c r="D16" s="1"/>
      <c r="E16" s="1" t="s">
        <v>50</v>
      </c>
      <c r="F16" s="1" t="s">
        <v>68</v>
      </c>
      <c r="G16" s="1" t="s">
        <v>128</v>
      </c>
      <c r="H16" s="1" t="s">
        <v>39</v>
      </c>
      <c r="I16" s="8"/>
      <c r="J16" s="54"/>
      <c r="K16" s="54"/>
      <c r="L16" s="54"/>
      <c r="M16" s="54"/>
      <c r="N16" s="54"/>
      <c r="O16" s="48">
        <f>PCC.Inputs!Q16</f>
        <v>146.01339378702161</v>
      </c>
      <c r="P16" s="48">
        <f>PCC.Inputs!R16</f>
        <v>144.91414120469369</v>
      </c>
      <c r="Q16" s="48">
        <f>PCC.Inputs!S16</f>
        <v>142.08015103660441</v>
      </c>
      <c r="R16" s="48">
        <f>PCC.Inputs!T16</f>
        <v>144.936321285498</v>
      </c>
      <c r="S16" s="48">
        <f>PCC.Inputs!U16</f>
        <v>147.7929715049807</v>
      </c>
    </row>
    <row r="17" spans="1:19" s="38" customFormat="1" ht="13.15" hidden="1" outlineLevel="1" x14ac:dyDescent="0.35">
      <c r="A17" s="6"/>
      <c r="B17" s="1"/>
      <c r="C17" s="1"/>
      <c r="D17" s="1"/>
      <c r="E17" s="1" t="s">
        <v>51</v>
      </c>
      <c r="F17" s="1" t="s">
        <v>68</v>
      </c>
      <c r="G17" s="1" t="s">
        <v>128</v>
      </c>
      <c r="H17" s="1" t="s">
        <v>39</v>
      </c>
      <c r="I17" s="8"/>
      <c r="J17" s="54"/>
      <c r="K17" s="54"/>
      <c r="L17" s="54"/>
      <c r="M17" s="54"/>
      <c r="N17" s="54"/>
      <c r="O17" s="48">
        <f>PCC.Inputs!Q17</f>
        <v>127.9631162358079</v>
      </c>
      <c r="P17" s="48">
        <f>PCC.Inputs!R17</f>
        <v>131.7457647018056</v>
      </c>
      <c r="Q17" s="48">
        <f>PCC.Inputs!S17</f>
        <v>132.77548172827159</v>
      </c>
      <c r="R17" s="48">
        <f>PCC.Inputs!T17</f>
        <v>133.42671993334321</v>
      </c>
      <c r="S17" s="48">
        <f>PCC.Inputs!U17</f>
        <v>130.32223917674881</v>
      </c>
    </row>
    <row r="18" spans="1:19" s="38" customFormat="1" ht="13.15" hidden="1" outlineLevel="1" x14ac:dyDescent="0.35">
      <c r="A18" s="6"/>
      <c r="B18" s="1"/>
      <c r="C18" s="1"/>
      <c r="D18" s="1"/>
      <c r="E18" s="1" t="s">
        <v>52</v>
      </c>
      <c r="F18" s="1" t="s">
        <v>68</v>
      </c>
      <c r="G18" s="1" t="s">
        <v>128</v>
      </c>
      <c r="H18" s="1" t="s">
        <v>39</v>
      </c>
      <c r="I18" s="8"/>
      <c r="J18" s="54"/>
      <c r="K18" s="54"/>
      <c r="L18" s="54"/>
      <c r="M18" s="54"/>
      <c r="N18" s="54"/>
      <c r="O18" s="48">
        <f>PCC.Inputs!Q18</f>
        <v>145.22165489487699</v>
      </c>
      <c r="P18" s="48">
        <f>PCC.Inputs!R18</f>
        <v>147.55805721942619</v>
      </c>
      <c r="Q18" s="48">
        <f>PCC.Inputs!S18</f>
        <v>146.71431168046271</v>
      </c>
      <c r="R18" s="48">
        <f>PCC.Inputs!T18</f>
        <v>145.3398957698729</v>
      </c>
      <c r="S18" s="48">
        <f>PCC.Inputs!U18</f>
        <v>140.6556373438732</v>
      </c>
    </row>
    <row r="19" spans="1:19" s="38" customFormat="1" ht="13.15" hidden="1" outlineLevel="1" x14ac:dyDescent="0.35">
      <c r="A19" s="6"/>
      <c r="B19" s="1"/>
      <c r="C19" s="1"/>
      <c r="D19" s="1"/>
      <c r="E19" s="1" t="s">
        <v>74</v>
      </c>
      <c r="F19" s="1" t="s">
        <v>68</v>
      </c>
      <c r="G19" s="1" t="s">
        <v>128</v>
      </c>
      <c r="H19" s="1" t="s">
        <v>39</v>
      </c>
      <c r="I19" s="8"/>
      <c r="J19" s="54"/>
      <c r="K19" s="54"/>
      <c r="L19" s="54"/>
      <c r="M19" s="54"/>
      <c r="N19" s="54"/>
      <c r="O19" s="48">
        <f>PCC.Inputs!Q19</f>
        <v>144.03056906781549</v>
      </c>
      <c r="P19" s="48">
        <f>PCC.Inputs!R19</f>
        <v>146.5416068249944</v>
      </c>
      <c r="Q19" s="48">
        <f>PCC.Inputs!S19</f>
        <v>146.06053419056519</v>
      </c>
      <c r="R19" s="48">
        <f>PCC.Inputs!T19</f>
        <v>144.7307355096014</v>
      </c>
      <c r="S19" s="48">
        <f>PCC.Inputs!U19</f>
        <v>140.40208034614179</v>
      </c>
    </row>
    <row r="20" spans="1:19" s="38" customFormat="1" ht="13.15" hidden="1" outlineLevel="1" x14ac:dyDescent="0.35">
      <c r="A20" s="6"/>
      <c r="B20" s="1"/>
      <c r="C20" s="1"/>
      <c r="D20" s="1"/>
      <c r="E20" s="1" t="s">
        <v>54</v>
      </c>
      <c r="F20" s="1" t="s">
        <v>68</v>
      </c>
      <c r="G20" s="1" t="s">
        <v>128</v>
      </c>
      <c r="H20" s="1" t="s">
        <v>39</v>
      </c>
      <c r="I20" s="8"/>
      <c r="J20" s="54"/>
      <c r="K20" s="54"/>
      <c r="L20" s="54"/>
      <c r="M20" s="54"/>
      <c r="N20" s="54"/>
      <c r="O20" s="48">
        <f>PCC.Inputs!Q20</f>
        <v>137.82381389780221</v>
      </c>
      <c r="P20" s="48">
        <f>PCC.Inputs!R20</f>
        <v>143.13762841867421</v>
      </c>
      <c r="Q20" s="48">
        <f>PCC.Inputs!S20</f>
        <v>144.99667473492761</v>
      </c>
      <c r="R20" s="48">
        <f>PCC.Inputs!T20</f>
        <v>145.1548143710981</v>
      </c>
      <c r="S20" s="48">
        <f>PCC.Inputs!U20</f>
        <v>138.83639122945709</v>
      </c>
    </row>
    <row r="21" spans="1:19" s="38" customFormat="1" ht="13.15" hidden="1" outlineLevel="1" x14ac:dyDescent="0.35">
      <c r="A21" s="6"/>
      <c r="B21" s="1"/>
      <c r="C21" s="1"/>
      <c r="D21" s="1"/>
      <c r="E21" s="1" t="s">
        <v>55</v>
      </c>
      <c r="F21" s="1" t="s">
        <v>68</v>
      </c>
      <c r="G21" s="1" t="s">
        <v>128</v>
      </c>
      <c r="H21" s="1" t="s">
        <v>39</v>
      </c>
      <c r="I21" s="8"/>
      <c r="J21" s="54"/>
      <c r="K21" s="54"/>
      <c r="L21" s="54"/>
      <c r="M21" s="54"/>
      <c r="N21" s="54"/>
      <c r="O21" s="48">
        <f>PCC.Inputs!Q21</f>
        <v>128.20208574358841</v>
      </c>
      <c r="P21" s="48">
        <f>PCC.Inputs!R21</f>
        <v>132.49049098929541</v>
      </c>
      <c r="Q21" s="48">
        <f>PCC.Inputs!S21</f>
        <v>133.46147287983121</v>
      </c>
      <c r="R21" s="48">
        <f>PCC.Inputs!T21</f>
        <v>132.1814179255116</v>
      </c>
      <c r="S21" s="48">
        <f>PCC.Inputs!U21</f>
        <v>126.9082926509095</v>
      </c>
    </row>
    <row r="22" spans="1:19" s="38" customFormat="1" ht="13.15" hidden="1" outlineLevel="1" x14ac:dyDescent="0.35">
      <c r="A22" s="6"/>
      <c r="B22" s="1"/>
      <c r="C22" s="1"/>
      <c r="D22" s="1"/>
      <c r="E22" s="1" t="s">
        <v>56</v>
      </c>
      <c r="F22" s="1" t="s">
        <v>68</v>
      </c>
      <c r="G22" s="1" t="s">
        <v>128</v>
      </c>
      <c r="H22" s="1" t="s">
        <v>39</v>
      </c>
      <c r="I22" s="8"/>
      <c r="J22" s="54"/>
      <c r="K22" s="54"/>
      <c r="L22" s="54"/>
      <c r="M22" s="54"/>
      <c r="N22" s="54"/>
      <c r="O22" s="48">
        <f>PCC.Inputs!Q22</f>
        <v>154.01455507962689</v>
      </c>
      <c r="P22" s="48">
        <f>PCC.Inputs!R22</f>
        <v>159.36159031758331</v>
      </c>
      <c r="Q22" s="48">
        <f>PCC.Inputs!S22</f>
        <v>159.2332053149338</v>
      </c>
      <c r="R22" s="48">
        <f>PCC.Inputs!T22</f>
        <v>160.6303898514916</v>
      </c>
      <c r="S22" s="48">
        <f>PCC.Inputs!U22</f>
        <v>156.29511447989461</v>
      </c>
    </row>
    <row r="23" spans="1:19" s="38" customFormat="1" ht="13.15" hidden="1" outlineLevel="1" x14ac:dyDescent="0.35">
      <c r="A23" s="6"/>
      <c r="B23" s="1"/>
      <c r="C23" s="1"/>
      <c r="D23" s="1"/>
      <c r="E23" s="1" t="s">
        <v>57</v>
      </c>
      <c r="F23" s="1" t="s">
        <v>68</v>
      </c>
      <c r="G23" s="1" t="s">
        <v>128</v>
      </c>
      <c r="H23" s="1" t="s">
        <v>39</v>
      </c>
      <c r="I23" s="8"/>
      <c r="J23" s="54"/>
      <c r="K23" s="54"/>
      <c r="L23" s="54"/>
      <c r="M23" s="54"/>
      <c r="N23" s="54"/>
      <c r="O23" s="48">
        <f>PCC.Inputs!Q23</f>
        <v>148.88289379242769</v>
      </c>
      <c r="P23" s="48">
        <f>PCC.Inputs!R23</f>
        <v>152.94592790599219</v>
      </c>
      <c r="Q23" s="48">
        <f>PCC.Inputs!S23</f>
        <v>154.0740846106381</v>
      </c>
      <c r="R23" s="48">
        <f>PCC.Inputs!T23</f>
        <v>154.85451184012129</v>
      </c>
      <c r="S23" s="48">
        <f>PCC.Inputs!U23</f>
        <v>149.38899390318679</v>
      </c>
    </row>
    <row r="24" spans="1:19" s="38" customFormat="1" ht="13.15" hidden="1" outlineLevel="1" x14ac:dyDescent="0.35">
      <c r="A24" s="6"/>
      <c r="B24" s="1"/>
      <c r="C24" s="1"/>
      <c r="D24" s="1"/>
      <c r="E24" s="1" t="s">
        <v>58</v>
      </c>
      <c r="F24" s="1" t="s">
        <v>68</v>
      </c>
      <c r="G24" s="1" t="s">
        <v>128</v>
      </c>
      <c r="H24" s="1" t="s">
        <v>39</v>
      </c>
      <c r="I24" s="8"/>
      <c r="J24" s="54"/>
      <c r="K24" s="54"/>
      <c r="L24" s="54"/>
      <c r="M24" s="54"/>
      <c r="N24" s="54"/>
      <c r="O24" s="48">
        <f>PCC.Inputs!Q24</f>
        <v>129.74004821842789</v>
      </c>
      <c r="P24" s="48">
        <f>PCC.Inputs!R24</f>
        <v>136.85243125716389</v>
      </c>
      <c r="Q24" s="48">
        <f>PCC.Inputs!S24</f>
        <v>141.58970141812679</v>
      </c>
      <c r="R24" s="48">
        <f>PCC.Inputs!T24</f>
        <v>146.55958411526279</v>
      </c>
      <c r="S24" s="48">
        <f>PCC.Inputs!U24</f>
        <v>140.93014721666631</v>
      </c>
    </row>
    <row r="25" spans="1:19" s="38" customFormat="1" ht="13.15" hidden="1" outlineLevel="1" x14ac:dyDescent="0.35">
      <c r="A25" s="6"/>
      <c r="B25" s="1"/>
      <c r="C25" s="1"/>
      <c r="D25" s="1"/>
      <c r="E25" s="1" t="s">
        <v>75</v>
      </c>
      <c r="F25" s="1" t="s">
        <v>68</v>
      </c>
      <c r="G25" s="1" t="s">
        <v>129</v>
      </c>
      <c r="H25" s="1" t="s">
        <v>39</v>
      </c>
      <c r="I25" s="8"/>
      <c r="J25" s="54"/>
      <c r="K25" s="54"/>
      <c r="L25" s="54"/>
      <c r="M25" s="54"/>
      <c r="N25" s="54"/>
      <c r="O25" s="48">
        <f>PCC.Inputs!Q25</f>
        <v>128.5377877776524</v>
      </c>
      <c r="P25" s="48">
        <f>PCC.Inputs!R25</f>
        <v>136.31171411721371</v>
      </c>
      <c r="Q25" s="48">
        <f>PCC.Inputs!S25</f>
        <v>142.1135840589765</v>
      </c>
      <c r="R25" s="48">
        <f>PCC.Inputs!T25</f>
        <v>147.5869496891269</v>
      </c>
      <c r="S25" s="48">
        <f>PCC.Inputs!U25</f>
        <v>142.9218200348659</v>
      </c>
    </row>
    <row r="26" spans="1:19" s="38" customFormat="1" ht="13.15" hidden="1" outlineLevel="1" x14ac:dyDescent="0.35">
      <c r="A26" s="6"/>
      <c r="B26" s="1"/>
      <c r="C26" s="1"/>
      <c r="D26" s="1"/>
      <c r="E26" s="1" t="s">
        <v>76</v>
      </c>
      <c r="F26" s="1" t="s">
        <v>68</v>
      </c>
      <c r="G26" s="1" t="s">
        <v>130</v>
      </c>
      <c r="H26" s="1" t="s">
        <v>39</v>
      </c>
      <c r="I26" s="8"/>
      <c r="J26" s="54"/>
      <c r="K26" s="54"/>
      <c r="L26" s="54"/>
      <c r="M26" s="54"/>
      <c r="N26" s="54"/>
      <c r="O26" s="48">
        <f>PCC.Inputs!Q26</f>
        <v>134.78262275502851</v>
      </c>
      <c r="P26" s="48">
        <f>PCC.Inputs!R26</f>
        <v>139.11524333404461</v>
      </c>
      <c r="Q26" s="48">
        <f>PCC.Inputs!S26</f>
        <v>139.47421040293759</v>
      </c>
      <c r="R26" s="48">
        <f>PCC.Inputs!T26</f>
        <v>142.44239130346941</v>
      </c>
      <c r="S26" s="48">
        <f>PCC.Inputs!U26</f>
        <v>132.0992457027464</v>
      </c>
    </row>
    <row r="27" spans="1:19" s="38" customFormat="1" ht="13.15" hidden="1" outlineLevel="1" x14ac:dyDescent="0.35">
      <c r="A27" s="6"/>
      <c r="B27" s="1"/>
      <c r="C27" s="1"/>
      <c r="D27" s="1"/>
      <c r="E27" s="1" t="s">
        <v>59</v>
      </c>
      <c r="F27" s="1" t="s">
        <v>68</v>
      </c>
      <c r="G27" s="1" t="s">
        <v>128</v>
      </c>
      <c r="H27" s="1" t="s">
        <v>39</v>
      </c>
      <c r="I27" s="8"/>
      <c r="J27" s="54"/>
      <c r="K27" s="54"/>
      <c r="L27" s="54"/>
      <c r="M27" s="54"/>
      <c r="N27" s="54"/>
      <c r="O27" s="48">
        <f>PCC.Inputs!Q27</f>
        <v>149.3103214050137</v>
      </c>
      <c r="P27" s="48">
        <f>PCC.Inputs!R27</f>
        <v>157.22386959647179</v>
      </c>
      <c r="Q27" s="48">
        <f>PCC.Inputs!S27</f>
        <v>160.26419983725469</v>
      </c>
      <c r="R27" s="48">
        <f>PCC.Inputs!T27</f>
        <v>161.13101132291749</v>
      </c>
      <c r="S27" s="48">
        <f>PCC.Inputs!U27</f>
        <v>155.73755199240171</v>
      </c>
    </row>
    <row r="28" spans="1:19" s="38" customFormat="1" ht="13.15" hidden="1" outlineLevel="1" x14ac:dyDescent="0.35">
      <c r="A28" s="6"/>
      <c r="B28" s="1"/>
      <c r="C28" s="1"/>
      <c r="D28" s="1"/>
      <c r="E28" s="1" t="s">
        <v>60</v>
      </c>
      <c r="F28" s="1" t="s">
        <v>68</v>
      </c>
      <c r="G28" s="1" t="s">
        <v>128</v>
      </c>
      <c r="H28" s="1" t="s">
        <v>39</v>
      </c>
      <c r="I28" s="8"/>
      <c r="J28" s="54"/>
      <c r="K28" s="54"/>
      <c r="L28" s="54"/>
      <c r="M28" s="54"/>
      <c r="N28" s="54"/>
      <c r="O28" s="48">
        <f>PCC.Inputs!Q28</f>
        <v>147.05025085934551</v>
      </c>
      <c r="P28" s="48">
        <f>PCC.Inputs!R28</f>
        <v>153.4429442867023</v>
      </c>
      <c r="Q28" s="48">
        <f>PCC.Inputs!S28</f>
        <v>156.90978245573879</v>
      </c>
      <c r="R28" s="48">
        <f>PCC.Inputs!T28</f>
        <v>158.25798785054019</v>
      </c>
      <c r="S28" s="48">
        <f>PCC.Inputs!U28</f>
        <v>150.76235262077941</v>
      </c>
    </row>
    <row r="29" spans="1:19" s="38" customFormat="1" ht="13.15" hidden="1" outlineLevel="1" x14ac:dyDescent="0.35">
      <c r="A29" s="6"/>
      <c r="B29" s="1"/>
      <c r="C29" s="1"/>
      <c r="D29" s="1"/>
      <c r="E29" s="1" t="s">
        <v>61</v>
      </c>
      <c r="F29" s="1" t="s">
        <v>68</v>
      </c>
      <c r="G29" s="1" t="s">
        <v>128</v>
      </c>
      <c r="H29" s="1" t="s">
        <v>39</v>
      </c>
      <c r="I29" s="8"/>
      <c r="J29" s="54"/>
      <c r="K29" s="54"/>
      <c r="L29" s="54"/>
      <c r="M29" s="54"/>
      <c r="N29" s="54"/>
      <c r="O29" s="48">
        <f>PCC.Inputs!Q29</f>
        <v>149.00575281485101</v>
      </c>
      <c r="P29" s="48">
        <f>PCC.Inputs!R29</f>
        <v>154.59016679237169</v>
      </c>
      <c r="Q29" s="48">
        <f>PCC.Inputs!S29</f>
        <v>152.6351979075838</v>
      </c>
      <c r="R29" s="48">
        <f>PCC.Inputs!T29</f>
        <v>155.1320920778675</v>
      </c>
      <c r="S29" s="48">
        <f>PCC.Inputs!U29</f>
        <v>149.399382448621</v>
      </c>
    </row>
    <row r="30" spans="1:19" s="38" customFormat="1" ht="13.15" collapsed="1" x14ac:dyDescent="0.35">
      <c r="A30" s="6"/>
      <c r="B30" s="1"/>
      <c r="C30" s="1"/>
      <c r="D30" s="1"/>
      <c r="E30" s="1"/>
      <c r="F30" s="1"/>
      <c r="G30" s="1"/>
      <c r="H30" s="1"/>
      <c r="I30" s="1"/>
      <c r="J30" s="49"/>
      <c r="K30" s="49"/>
      <c r="L30" s="49"/>
      <c r="M30" s="49"/>
      <c r="N30" s="49"/>
      <c r="O30" s="49"/>
      <c r="P30" s="49"/>
      <c r="Q30" s="49"/>
      <c r="R30" s="49"/>
    </row>
    <row r="31" spans="1:19" s="91" customFormat="1" ht="13.15" x14ac:dyDescent="0.35">
      <c r="A31" s="90" t="s">
        <v>131</v>
      </c>
      <c r="B31" s="90"/>
      <c r="C31" s="90"/>
      <c r="D31" s="90"/>
      <c r="E31" s="90"/>
      <c r="F31" s="90"/>
      <c r="G31" s="90"/>
      <c r="H31" s="90"/>
      <c r="I31" s="90"/>
    </row>
    <row r="32" spans="1:19" s="38" customFormat="1" ht="13.15" x14ac:dyDescent="0.35">
      <c r="A32" s="6"/>
      <c r="B32" s="1"/>
      <c r="C32" s="1"/>
      <c r="D32" s="1"/>
      <c r="E32" s="1"/>
      <c r="F32" s="1"/>
      <c r="G32" s="1"/>
      <c r="H32" s="1"/>
      <c r="I32" s="1"/>
      <c r="J32" s="49"/>
      <c r="K32" s="49"/>
      <c r="L32" s="49"/>
      <c r="M32" s="49"/>
      <c r="N32" s="49"/>
      <c r="O32" s="49"/>
      <c r="P32" s="49"/>
      <c r="Q32" s="49"/>
      <c r="R32" s="49"/>
    </row>
    <row r="33" spans="1:19" s="38" customFormat="1" ht="13.15" x14ac:dyDescent="0.35">
      <c r="A33" s="6"/>
      <c r="B33" s="1"/>
      <c r="C33" s="1"/>
      <c r="D33" s="1"/>
      <c r="E33" s="1" t="s">
        <v>36</v>
      </c>
      <c r="F33" s="1" t="s">
        <v>68</v>
      </c>
      <c r="G33" s="1" t="s">
        <v>128</v>
      </c>
      <c r="H33" s="1" t="s">
        <v>39</v>
      </c>
      <c r="I33" s="8"/>
      <c r="J33" s="48">
        <f>PCC.Inputs!L33</f>
        <v>133.30000000000001</v>
      </c>
      <c r="K33" s="48">
        <f>PCC.Inputs!M33</f>
        <v>135.4</v>
      </c>
      <c r="L33" s="48">
        <f>PCC.Inputs!N33</f>
        <v>135.6</v>
      </c>
      <c r="M33" s="48">
        <f>PCC.Inputs!O33</f>
        <v>136.80000000000001</v>
      </c>
      <c r="N33" s="48">
        <f>PCC.Inputs!P33</f>
        <v>136.9</v>
      </c>
      <c r="O33" s="54"/>
      <c r="P33" s="54"/>
      <c r="Q33" s="54"/>
      <c r="R33" s="54"/>
      <c r="S33" s="54"/>
    </row>
    <row r="34" spans="1:19" s="38" customFormat="1" ht="13.15" hidden="1" outlineLevel="1" x14ac:dyDescent="0.35">
      <c r="A34" s="6"/>
      <c r="B34" s="1"/>
      <c r="C34" s="1"/>
      <c r="D34" s="1"/>
      <c r="E34" s="1" t="s">
        <v>46</v>
      </c>
      <c r="F34" s="1" t="s">
        <v>68</v>
      </c>
      <c r="G34" s="1" t="s">
        <v>128</v>
      </c>
      <c r="H34" s="1" t="s">
        <v>39</v>
      </c>
      <c r="I34" s="8"/>
      <c r="J34" s="48" t="str">
        <f>PCC.Inputs!L34</f>
        <v>-</v>
      </c>
      <c r="K34" s="48" t="str">
        <f>PCC.Inputs!M34</f>
        <v>-</v>
      </c>
      <c r="L34" s="48" t="str">
        <f>PCC.Inputs!N34</f>
        <v>-</v>
      </c>
      <c r="M34" s="48" t="str">
        <f>PCC.Inputs!O34</f>
        <v>-</v>
      </c>
      <c r="N34" s="48" t="str">
        <f>PCC.Inputs!P34</f>
        <v>-</v>
      </c>
      <c r="O34" s="54"/>
      <c r="P34" s="54"/>
      <c r="Q34" s="54"/>
      <c r="R34" s="54"/>
      <c r="S34" s="54"/>
    </row>
    <row r="35" spans="1:19" s="38" customFormat="1" ht="13.15" hidden="1" outlineLevel="1" x14ac:dyDescent="0.35">
      <c r="A35" s="6"/>
      <c r="B35" s="1"/>
      <c r="C35" s="1"/>
      <c r="D35" s="1"/>
      <c r="E35" s="1" t="s">
        <v>47</v>
      </c>
      <c r="F35" s="1" t="s">
        <v>68</v>
      </c>
      <c r="G35" s="1" t="s">
        <v>128</v>
      </c>
      <c r="H35" s="1" t="s">
        <v>39</v>
      </c>
      <c r="I35" s="8"/>
      <c r="J35" s="48" t="str">
        <f>PCC.Inputs!L35</f>
        <v>-</v>
      </c>
      <c r="K35" s="48" t="str">
        <f>PCC.Inputs!M35</f>
        <v>-</v>
      </c>
      <c r="L35" s="48" t="str">
        <f>PCC.Inputs!N35</f>
        <v>-</v>
      </c>
      <c r="M35" s="48" t="str">
        <f>PCC.Inputs!O35</f>
        <v>-</v>
      </c>
      <c r="N35" s="48">
        <f>PCC.Inputs!P35</f>
        <v>141.4</v>
      </c>
      <c r="O35" s="54"/>
      <c r="P35" s="54"/>
      <c r="Q35" s="54"/>
      <c r="R35" s="54"/>
      <c r="S35" s="54"/>
    </row>
    <row r="36" spans="1:19" s="38" customFormat="1" ht="13.15" hidden="1" outlineLevel="1" x14ac:dyDescent="0.35">
      <c r="A36" s="6"/>
      <c r="B36" s="1"/>
      <c r="C36" s="1"/>
      <c r="D36" s="1"/>
      <c r="E36" s="1" t="s">
        <v>48</v>
      </c>
      <c r="F36" s="1" t="s">
        <v>68</v>
      </c>
      <c r="G36" s="1" t="s">
        <v>128</v>
      </c>
      <c r="H36" s="1" t="s">
        <v>39</v>
      </c>
      <c r="I36" s="8"/>
      <c r="J36" s="48" t="str">
        <f>PCC.Inputs!L36</f>
        <v>-</v>
      </c>
      <c r="K36" s="48" t="str">
        <f>PCC.Inputs!M36</f>
        <v>-</v>
      </c>
      <c r="L36" s="48" t="str">
        <f>PCC.Inputs!N36</f>
        <v>-</v>
      </c>
      <c r="M36" s="48" t="str">
        <f>PCC.Inputs!O36</f>
        <v>-</v>
      </c>
      <c r="N36" s="48" t="str">
        <f>PCC.Inputs!P36</f>
        <v>-</v>
      </c>
      <c r="O36" s="54"/>
      <c r="P36" s="54"/>
      <c r="Q36" s="54"/>
      <c r="R36" s="54"/>
      <c r="S36" s="54"/>
    </row>
    <row r="37" spans="1:19" s="38" customFormat="1" ht="13.15" hidden="1" outlineLevel="1" x14ac:dyDescent="0.35">
      <c r="A37" s="6"/>
      <c r="B37" s="1"/>
      <c r="C37" s="1"/>
      <c r="D37" s="1"/>
      <c r="E37" s="9" t="s">
        <v>70</v>
      </c>
      <c r="F37" s="1" t="s">
        <v>68</v>
      </c>
      <c r="G37" s="1" t="s">
        <v>128</v>
      </c>
      <c r="H37" s="1" t="s">
        <v>39</v>
      </c>
      <c r="I37" s="8"/>
      <c r="J37" s="48" t="str">
        <f>PCC.Inputs!L37</f>
        <v>-</v>
      </c>
      <c r="K37" s="48" t="str">
        <f>PCC.Inputs!M37</f>
        <v>-</v>
      </c>
      <c r="L37" s="48" t="str">
        <f>PCC.Inputs!N37</f>
        <v>-</v>
      </c>
      <c r="M37" s="48" t="str">
        <f>PCC.Inputs!O37</f>
        <v>-</v>
      </c>
      <c r="N37" s="48" t="str">
        <f>PCC.Inputs!P37</f>
        <v>-</v>
      </c>
      <c r="O37" s="54"/>
      <c r="P37" s="54"/>
      <c r="Q37" s="54"/>
      <c r="R37" s="54"/>
      <c r="S37" s="54"/>
    </row>
    <row r="38" spans="1:19" s="38" customFormat="1" ht="13.15" hidden="1" outlineLevel="1" x14ac:dyDescent="0.35">
      <c r="A38" s="6"/>
      <c r="B38" s="1"/>
      <c r="C38" s="1"/>
      <c r="D38" s="1"/>
      <c r="E38" s="9" t="s">
        <v>72</v>
      </c>
      <c r="F38" s="1" t="s">
        <v>68</v>
      </c>
      <c r="G38" s="1" t="s">
        <v>128</v>
      </c>
      <c r="H38" s="1" t="s">
        <v>39</v>
      </c>
      <c r="I38" s="8"/>
      <c r="J38" s="48" t="str">
        <f>PCC.Inputs!L38</f>
        <v>-</v>
      </c>
      <c r="K38" s="48" t="str">
        <f>PCC.Inputs!M38</f>
        <v>-</v>
      </c>
      <c r="L38" s="48" t="str">
        <f>PCC.Inputs!N38</f>
        <v>-</v>
      </c>
      <c r="M38" s="48" t="str">
        <f>PCC.Inputs!O38</f>
        <v>-</v>
      </c>
      <c r="N38" s="48" t="str">
        <f>PCC.Inputs!P38</f>
        <v>-</v>
      </c>
      <c r="O38" s="54"/>
      <c r="P38" s="54"/>
      <c r="Q38" s="54"/>
      <c r="R38" s="54"/>
      <c r="S38" s="54"/>
    </row>
    <row r="39" spans="1:19" s="38" customFormat="1" ht="13.15" hidden="1" outlineLevel="1" x14ac:dyDescent="0.35">
      <c r="A39" s="6"/>
      <c r="B39" s="1"/>
      <c r="C39" s="1"/>
      <c r="D39" s="1"/>
      <c r="E39" s="1" t="s">
        <v>49</v>
      </c>
      <c r="F39" s="1" t="s">
        <v>68</v>
      </c>
      <c r="G39" s="1" t="s">
        <v>128</v>
      </c>
      <c r="H39" s="1" t="s">
        <v>39</v>
      </c>
      <c r="I39" s="8"/>
      <c r="J39" s="48" t="str">
        <f>PCC.Inputs!L39</f>
        <v>-</v>
      </c>
      <c r="K39" s="48" t="str">
        <f>PCC.Inputs!M39</f>
        <v>-</v>
      </c>
      <c r="L39" s="48" t="str">
        <f>PCC.Inputs!N39</f>
        <v>-</v>
      </c>
      <c r="M39" s="48" t="str">
        <f>PCC.Inputs!O39</f>
        <v>-</v>
      </c>
      <c r="N39" s="48">
        <f>PCC.Inputs!P39</f>
        <v>132.76</v>
      </c>
      <c r="O39" s="54"/>
      <c r="P39" s="54"/>
      <c r="Q39" s="54"/>
      <c r="R39" s="54"/>
      <c r="S39" s="54"/>
    </row>
    <row r="40" spans="1:19" s="38" customFormat="1" ht="13.15" hidden="1" outlineLevel="1" x14ac:dyDescent="0.35">
      <c r="A40" s="6"/>
      <c r="B40" s="1"/>
      <c r="C40" s="1"/>
      <c r="D40" s="1"/>
      <c r="E40" s="1" t="s">
        <v>50</v>
      </c>
      <c r="F40" s="1" t="s">
        <v>68</v>
      </c>
      <c r="G40" s="1" t="s">
        <v>128</v>
      </c>
      <c r="H40" s="1" t="s">
        <v>39</v>
      </c>
      <c r="I40" s="8"/>
      <c r="J40" s="48" t="str">
        <f>PCC.Inputs!L40</f>
        <v>-</v>
      </c>
      <c r="K40" s="48" t="str">
        <f>PCC.Inputs!M40</f>
        <v>-</v>
      </c>
      <c r="L40" s="48" t="str">
        <f>PCC.Inputs!N40</f>
        <v>-</v>
      </c>
      <c r="M40" s="48" t="str">
        <f>PCC.Inputs!O40</f>
        <v>-</v>
      </c>
      <c r="N40" s="48" t="str">
        <f>PCC.Inputs!P40</f>
        <v>-</v>
      </c>
      <c r="O40" s="54"/>
      <c r="P40" s="54"/>
      <c r="Q40" s="54"/>
      <c r="R40" s="54"/>
      <c r="S40" s="54"/>
    </row>
    <row r="41" spans="1:19" s="38" customFormat="1" ht="13.15" hidden="1" outlineLevel="1" x14ac:dyDescent="0.35">
      <c r="A41" s="6"/>
      <c r="B41" s="1"/>
      <c r="C41" s="1"/>
      <c r="D41" s="1"/>
      <c r="E41" s="1" t="s">
        <v>51</v>
      </c>
      <c r="F41" s="1" t="s">
        <v>68</v>
      </c>
      <c r="G41" s="1" t="s">
        <v>128</v>
      </c>
      <c r="H41" s="1" t="s">
        <v>39</v>
      </c>
      <c r="I41" s="8"/>
      <c r="J41" s="48">
        <f>PCC.Inputs!L41</f>
        <v>134.80000000000001</v>
      </c>
      <c r="K41" s="48">
        <f>PCC.Inputs!M41</f>
        <v>129.69999999999999</v>
      </c>
      <c r="L41" s="48">
        <f>PCC.Inputs!N41</f>
        <v>131.29</v>
      </c>
      <c r="M41" s="48">
        <f>PCC.Inputs!O41</f>
        <v>128.9</v>
      </c>
      <c r="N41" s="48">
        <f>PCC.Inputs!P41</f>
        <v>129.9</v>
      </c>
      <c r="O41" s="54"/>
      <c r="P41" s="54"/>
      <c r="Q41" s="54"/>
      <c r="R41" s="54"/>
      <c r="S41" s="54"/>
    </row>
    <row r="42" spans="1:19" s="38" customFormat="1" ht="13.15" hidden="1" outlineLevel="1" x14ac:dyDescent="0.35">
      <c r="A42" s="6"/>
      <c r="B42" s="1"/>
      <c r="C42" s="1"/>
      <c r="D42" s="1"/>
      <c r="E42" s="1" t="s">
        <v>52</v>
      </c>
      <c r="F42" s="1" t="s">
        <v>68</v>
      </c>
      <c r="G42" s="1" t="s">
        <v>128</v>
      </c>
      <c r="H42" s="1" t="s">
        <v>39</v>
      </c>
      <c r="I42" s="8"/>
      <c r="J42" s="48">
        <f>PCC.Inputs!L42</f>
        <v>150.71411128961589</v>
      </c>
      <c r="K42" s="48">
        <f>PCC.Inputs!M42</f>
        <v>150.31191704396085</v>
      </c>
      <c r="L42" s="48">
        <f>PCC.Inputs!N42</f>
        <v>149.90972279830581</v>
      </c>
      <c r="M42" s="48">
        <f>PCC.Inputs!O42</f>
        <v>149.50752855265077</v>
      </c>
      <c r="N42" s="48">
        <f>PCC.Inputs!P42</f>
        <v>149.10533430699573</v>
      </c>
      <c r="O42" s="54"/>
      <c r="P42" s="54"/>
      <c r="Q42" s="54"/>
      <c r="R42" s="54"/>
      <c r="S42" s="54"/>
    </row>
    <row r="43" spans="1:19" s="38" customFormat="1" ht="13.15" hidden="1" outlineLevel="1" x14ac:dyDescent="0.35">
      <c r="A43" s="6"/>
      <c r="B43" s="1"/>
      <c r="C43" s="1"/>
      <c r="D43" s="1"/>
      <c r="E43" s="1" t="s">
        <v>74</v>
      </c>
      <c r="F43" s="1" t="s">
        <v>68</v>
      </c>
      <c r="G43" s="1" t="s">
        <v>128</v>
      </c>
      <c r="H43" s="1" t="s">
        <v>39</v>
      </c>
      <c r="I43" s="8"/>
      <c r="J43" s="48">
        <f>PCC.Inputs!L43</f>
        <v>130</v>
      </c>
      <c r="K43" s="48">
        <f>PCC.Inputs!M43</f>
        <v>129.6</v>
      </c>
      <c r="L43" s="48">
        <f>PCC.Inputs!N43</f>
        <v>138.9</v>
      </c>
      <c r="M43" s="48">
        <f>PCC.Inputs!O43</f>
        <v>141.9</v>
      </c>
      <c r="N43" s="48">
        <f>PCC.Inputs!P43</f>
        <v>143.69999999999999</v>
      </c>
      <c r="O43" s="54"/>
      <c r="P43" s="54"/>
      <c r="Q43" s="54"/>
      <c r="R43" s="54"/>
      <c r="S43" s="54"/>
    </row>
    <row r="44" spans="1:19" s="38" customFormat="1" ht="13.15" hidden="1" outlineLevel="1" x14ac:dyDescent="0.35">
      <c r="A44" s="6"/>
      <c r="B44" s="1"/>
      <c r="C44" s="1"/>
      <c r="D44" s="1"/>
      <c r="E44" s="1" t="s">
        <v>54</v>
      </c>
      <c r="F44" s="1" t="s">
        <v>68</v>
      </c>
      <c r="G44" s="1" t="s">
        <v>128</v>
      </c>
      <c r="H44" s="1" t="s">
        <v>39</v>
      </c>
      <c r="I44" s="8"/>
      <c r="J44" s="48">
        <f>PCC.Inputs!L44</f>
        <v>138</v>
      </c>
      <c r="K44" s="48">
        <f>PCC.Inputs!M44</f>
        <v>137.6</v>
      </c>
      <c r="L44" s="48">
        <f>PCC.Inputs!N44</f>
        <v>140.69999999999999</v>
      </c>
      <c r="M44" s="48">
        <f>PCC.Inputs!O44</f>
        <v>142.80000000000001</v>
      </c>
      <c r="N44" s="48">
        <f>PCC.Inputs!P44</f>
        <v>146.19999999999999</v>
      </c>
      <c r="O44" s="54"/>
      <c r="P44" s="54"/>
      <c r="Q44" s="54"/>
      <c r="R44" s="54"/>
      <c r="S44" s="54"/>
    </row>
    <row r="45" spans="1:19" s="38" customFormat="1" ht="13.15" hidden="1" outlineLevel="1" x14ac:dyDescent="0.35">
      <c r="A45" s="6"/>
      <c r="B45" s="1"/>
      <c r="C45" s="1"/>
      <c r="D45" s="1"/>
      <c r="E45" s="1" t="s">
        <v>55</v>
      </c>
      <c r="F45" s="1" t="s">
        <v>68</v>
      </c>
      <c r="G45" s="1" t="s">
        <v>128</v>
      </c>
      <c r="H45" s="1" t="s">
        <v>39</v>
      </c>
      <c r="I45" s="8"/>
      <c r="J45" s="48">
        <f>PCC.Inputs!L45</f>
        <v>133.30000000000001</v>
      </c>
      <c r="K45" s="48">
        <f>PCC.Inputs!M45</f>
        <v>133.1</v>
      </c>
      <c r="L45" s="48">
        <f>PCC.Inputs!N45</f>
        <v>134.5</v>
      </c>
      <c r="M45" s="48">
        <f>PCC.Inputs!O45</f>
        <v>133</v>
      </c>
      <c r="N45" s="48">
        <f>PCC.Inputs!P45</f>
        <v>133.5</v>
      </c>
      <c r="O45" s="54"/>
      <c r="P45" s="54"/>
      <c r="Q45" s="54"/>
      <c r="R45" s="54"/>
      <c r="S45" s="54"/>
    </row>
    <row r="46" spans="1:19" s="38" customFormat="1" ht="13.15" hidden="1" outlineLevel="1" x14ac:dyDescent="0.35">
      <c r="A46" s="6"/>
      <c r="B46" s="1"/>
      <c r="C46" s="1"/>
      <c r="D46" s="1"/>
      <c r="E46" s="1" t="s">
        <v>56</v>
      </c>
      <c r="F46" s="1" t="s">
        <v>68</v>
      </c>
      <c r="G46" s="1" t="s">
        <v>128</v>
      </c>
      <c r="H46" s="1" t="s">
        <v>39</v>
      </c>
      <c r="I46" s="8"/>
      <c r="J46" s="48">
        <f>PCC.Inputs!L46</f>
        <v>148.30000000000001</v>
      </c>
      <c r="K46" s="48">
        <f>PCC.Inputs!M46</f>
        <v>151.6</v>
      </c>
      <c r="L46" s="48">
        <f>PCC.Inputs!N46</f>
        <v>153.80000000000001</v>
      </c>
      <c r="M46" s="48">
        <f>PCC.Inputs!O46</f>
        <v>151</v>
      </c>
      <c r="N46" s="48">
        <f>PCC.Inputs!P46</f>
        <v>158.80000000000001</v>
      </c>
      <c r="O46" s="54"/>
      <c r="P46" s="54"/>
      <c r="Q46" s="54"/>
      <c r="R46" s="54"/>
      <c r="S46" s="54"/>
    </row>
    <row r="47" spans="1:19" s="38" customFormat="1" ht="13.15" hidden="1" outlineLevel="1" x14ac:dyDescent="0.35">
      <c r="A47" s="6"/>
      <c r="B47" s="1"/>
      <c r="C47" s="1"/>
      <c r="D47" s="1"/>
      <c r="E47" s="1" t="s">
        <v>57</v>
      </c>
      <c r="F47" s="1" t="s">
        <v>68</v>
      </c>
      <c r="G47" s="1" t="s">
        <v>128</v>
      </c>
      <c r="H47" s="1" t="s">
        <v>39</v>
      </c>
      <c r="I47" s="8"/>
      <c r="J47" s="48">
        <f>PCC.Inputs!L47</f>
        <v>143</v>
      </c>
      <c r="K47" s="48">
        <f>PCC.Inputs!M47</f>
        <v>141.1</v>
      </c>
      <c r="L47" s="48">
        <f>PCC.Inputs!N47</f>
        <v>144.1</v>
      </c>
      <c r="M47" s="48">
        <f>PCC.Inputs!O47</f>
        <v>144.5</v>
      </c>
      <c r="N47" s="48">
        <f>PCC.Inputs!P47</f>
        <v>148.30000000000001</v>
      </c>
      <c r="O47" s="54"/>
      <c r="P47" s="54"/>
      <c r="Q47" s="54"/>
      <c r="R47" s="54"/>
      <c r="S47" s="54"/>
    </row>
    <row r="48" spans="1:19" s="38" customFormat="1" ht="13.15" hidden="1" outlineLevel="1" x14ac:dyDescent="0.35">
      <c r="A48" s="6"/>
      <c r="B48" s="1"/>
      <c r="C48" s="1"/>
      <c r="D48" s="1"/>
      <c r="E48" s="1" t="s">
        <v>58</v>
      </c>
      <c r="F48" s="1" t="s">
        <v>68</v>
      </c>
      <c r="G48" s="1" t="s">
        <v>128</v>
      </c>
      <c r="H48" s="1" t="s">
        <v>39</v>
      </c>
      <c r="I48" s="8"/>
      <c r="J48" s="48">
        <f>PCC.Inputs!L48</f>
        <v>129.25</v>
      </c>
      <c r="K48" s="48">
        <f>PCC.Inputs!M48</f>
        <v>129.59</v>
      </c>
      <c r="L48" s="48">
        <f>PCC.Inputs!N48</f>
        <v>129.85</v>
      </c>
      <c r="M48" s="48">
        <f>PCC.Inputs!O48</f>
        <v>133.09</v>
      </c>
      <c r="N48" s="48">
        <f>PCC.Inputs!P48</f>
        <v>136.41</v>
      </c>
      <c r="O48" s="54"/>
      <c r="P48" s="54"/>
      <c r="Q48" s="54"/>
      <c r="R48" s="54"/>
      <c r="S48" s="54"/>
    </row>
    <row r="49" spans="1:19" s="38" customFormat="1" ht="13.15" hidden="1" outlineLevel="1" x14ac:dyDescent="0.35">
      <c r="A49" s="6"/>
      <c r="B49" s="1"/>
      <c r="C49" s="1"/>
      <c r="D49" s="1"/>
      <c r="E49" s="1" t="s">
        <v>75</v>
      </c>
      <c r="F49" s="1" t="s">
        <v>68</v>
      </c>
      <c r="G49" s="1" t="s">
        <v>128</v>
      </c>
      <c r="H49" s="1" t="s">
        <v>39</v>
      </c>
      <c r="I49" s="8"/>
      <c r="J49" s="48" t="str">
        <f>PCC.Inputs!L49</f>
        <v>-</v>
      </c>
      <c r="K49" s="48" t="str">
        <f>PCC.Inputs!M49</f>
        <v>-</v>
      </c>
      <c r="L49" s="48" t="str">
        <f>PCC.Inputs!N49</f>
        <v>-</v>
      </c>
      <c r="M49" s="48" t="str">
        <f>PCC.Inputs!O49</f>
        <v>-</v>
      </c>
      <c r="N49" s="48" t="str">
        <f>PCC.Inputs!P49</f>
        <v>-</v>
      </c>
      <c r="O49" s="54"/>
      <c r="P49" s="54"/>
      <c r="Q49" s="54"/>
      <c r="R49" s="54"/>
      <c r="S49" s="54"/>
    </row>
    <row r="50" spans="1:19" s="38" customFormat="1" ht="13.15" hidden="1" outlineLevel="1" x14ac:dyDescent="0.35">
      <c r="A50" s="6"/>
      <c r="B50" s="1"/>
      <c r="C50" s="1"/>
      <c r="D50" s="1"/>
      <c r="E50" s="1" t="s">
        <v>76</v>
      </c>
      <c r="F50" s="1" t="s">
        <v>68</v>
      </c>
      <c r="G50" s="1" t="s">
        <v>128</v>
      </c>
      <c r="H50" s="1" t="s">
        <v>39</v>
      </c>
      <c r="I50" s="8"/>
      <c r="J50" s="48" t="str">
        <f>PCC.Inputs!L50</f>
        <v>-</v>
      </c>
      <c r="K50" s="48" t="str">
        <f>PCC.Inputs!M50</f>
        <v>-</v>
      </c>
      <c r="L50" s="48" t="str">
        <f>PCC.Inputs!N50</f>
        <v>-</v>
      </c>
      <c r="M50" s="48" t="str">
        <f>PCC.Inputs!O50</f>
        <v>-</v>
      </c>
      <c r="N50" s="48" t="str">
        <f>PCC.Inputs!P50</f>
        <v>-</v>
      </c>
      <c r="O50" s="54"/>
      <c r="P50" s="54"/>
      <c r="Q50" s="54"/>
      <c r="R50" s="54"/>
      <c r="S50" s="54"/>
    </row>
    <row r="51" spans="1:19" s="38" customFormat="1" ht="13.15" hidden="1" outlineLevel="1" x14ac:dyDescent="0.35">
      <c r="A51" s="6"/>
      <c r="B51" s="1"/>
      <c r="C51" s="1"/>
      <c r="D51" s="1"/>
      <c r="E51" s="1" t="s">
        <v>59</v>
      </c>
      <c r="F51" s="1" t="s">
        <v>68</v>
      </c>
      <c r="G51" s="1" t="s">
        <v>128</v>
      </c>
      <c r="H51" s="1" t="s">
        <v>39</v>
      </c>
      <c r="I51" s="8"/>
      <c r="J51" s="48">
        <f>PCC.Inputs!L51</f>
        <v>145.55000000000001</v>
      </c>
      <c r="K51" s="48">
        <f>PCC.Inputs!M51</f>
        <v>143.29</v>
      </c>
      <c r="L51" s="48">
        <f>PCC.Inputs!N51</f>
        <v>145.1</v>
      </c>
      <c r="M51" s="48">
        <f>PCC.Inputs!O51</f>
        <v>147.54</v>
      </c>
      <c r="N51" s="48">
        <f>PCC.Inputs!P51</f>
        <v>152.38999999999999</v>
      </c>
      <c r="O51" s="54"/>
      <c r="P51" s="54"/>
      <c r="Q51" s="54"/>
      <c r="R51" s="54"/>
      <c r="S51" s="54"/>
    </row>
    <row r="52" spans="1:19" s="38" customFormat="1" ht="13.15" hidden="1" outlineLevel="1" x14ac:dyDescent="0.35">
      <c r="A52" s="6"/>
      <c r="B52" s="1"/>
      <c r="C52" s="1"/>
      <c r="D52" s="1"/>
      <c r="E52" s="1" t="s">
        <v>60</v>
      </c>
      <c r="F52" s="1" t="s">
        <v>68</v>
      </c>
      <c r="G52" s="1" t="s">
        <v>128</v>
      </c>
      <c r="H52" s="1" t="s">
        <v>39</v>
      </c>
      <c r="I52" s="8"/>
      <c r="J52" s="48" t="str">
        <f>PCC.Inputs!L52</f>
        <v>-</v>
      </c>
      <c r="K52" s="48" t="str">
        <f>PCC.Inputs!M52</f>
        <v>-</v>
      </c>
      <c r="L52" s="48" t="str">
        <f>PCC.Inputs!N52</f>
        <v>-</v>
      </c>
      <c r="M52" s="48" t="str">
        <f>PCC.Inputs!O52</f>
        <v>-</v>
      </c>
      <c r="N52" s="48" t="str">
        <f>PCC.Inputs!P52</f>
        <v>-</v>
      </c>
      <c r="O52" s="54"/>
      <c r="P52" s="54"/>
      <c r="Q52" s="54"/>
      <c r="R52" s="54"/>
      <c r="S52" s="54"/>
    </row>
    <row r="53" spans="1:19" s="38" customFormat="1" ht="13.15" hidden="1" outlineLevel="1" x14ac:dyDescent="0.35">
      <c r="A53" s="6"/>
      <c r="B53" s="1"/>
      <c r="C53" s="1"/>
      <c r="D53" s="1"/>
      <c r="E53" s="1" t="s">
        <v>61</v>
      </c>
      <c r="F53" s="1" t="s">
        <v>68</v>
      </c>
      <c r="G53" s="1" t="s">
        <v>128</v>
      </c>
      <c r="H53" s="1" t="s">
        <v>39</v>
      </c>
      <c r="I53" s="8"/>
      <c r="J53" s="48">
        <f>PCC.Inputs!L53</f>
        <v>161.1</v>
      </c>
      <c r="K53" s="48">
        <f>PCC.Inputs!M53</f>
        <v>160.9</v>
      </c>
      <c r="L53" s="48">
        <f>PCC.Inputs!N53</f>
        <v>159.72999999999999</v>
      </c>
      <c r="M53" s="48">
        <f>PCC.Inputs!O53</f>
        <v>158.80000000000001</v>
      </c>
      <c r="N53" s="48">
        <f>PCC.Inputs!P53</f>
        <v>162.62</v>
      </c>
      <c r="O53" s="54"/>
      <c r="P53" s="54"/>
      <c r="Q53" s="54"/>
      <c r="R53" s="54"/>
      <c r="S53" s="54"/>
    </row>
    <row r="54" spans="1:19" s="38" customFormat="1" ht="13.15" collapsed="1" x14ac:dyDescent="0.35">
      <c r="A54" s="6"/>
      <c r="B54" s="1"/>
      <c r="C54" s="1"/>
      <c r="D54" s="1"/>
      <c r="E54" s="1"/>
      <c r="F54" s="1"/>
      <c r="G54" s="1"/>
      <c r="H54" s="1"/>
      <c r="I54" s="8"/>
      <c r="J54" s="42"/>
      <c r="K54" s="42"/>
      <c r="L54" s="42"/>
      <c r="M54" s="42"/>
      <c r="N54" s="42"/>
    </row>
    <row r="55" spans="1:19" s="91" customFormat="1" ht="13.15" x14ac:dyDescent="0.35">
      <c r="A55" s="90" t="s">
        <v>132</v>
      </c>
      <c r="B55" s="90"/>
      <c r="C55" s="90"/>
      <c r="D55" s="90"/>
      <c r="E55" s="90"/>
      <c r="F55" s="90"/>
      <c r="G55" s="90"/>
      <c r="H55" s="90"/>
      <c r="I55" s="90"/>
    </row>
    <row r="56" spans="1:19" s="38" customFormat="1" ht="13.15" x14ac:dyDescent="0.35">
      <c r="A56" s="6"/>
      <c r="B56" s="1"/>
      <c r="C56" s="1"/>
      <c r="D56" s="1"/>
      <c r="E56" s="1"/>
      <c r="F56" s="1"/>
      <c r="G56" s="1"/>
      <c r="H56" s="1"/>
      <c r="I56" s="1"/>
    </row>
    <row r="57" spans="1:19" s="38" customFormat="1" ht="13.15" x14ac:dyDescent="0.35">
      <c r="A57" s="6"/>
      <c r="B57" s="1"/>
      <c r="C57" s="1"/>
      <c r="D57" s="1"/>
      <c r="E57" s="1" t="s">
        <v>36</v>
      </c>
      <c r="F57" s="1" t="s">
        <v>68</v>
      </c>
      <c r="G57" s="1" t="s">
        <v>128</v>
      </c>
      <c r="H57" s="1" t="s">
        <v>39</v>
      </c>
      <c r="I57" s="8"/>
      <c r="J57" s="111">
        <f>J33</f>
        <v>133.30000000000001</v>
      </c>
      <c r="K57" s="111">
        <f t="shared" ref="K57:M57" si="0">K33</f>
        <v>135.4</v>
      </c>
      <c r="L57" s="111">
        <f t="shared" si="0"/>
        <v>135.6</v>
      </c>
      <c r="M57" s="111">
        <f t="shared" si="0"/>
        <v>136.80000000000001</v>
      </c>
      <c r="N57" s="111">
        <f>N33</f>
        <v>136.9</v>
      </c>
      <c r="O57" s="111">
        <f>O9</f>
        <v>134.99390587025869</v>
      </c>
      <c r="P57" s="111">
        <f t="shared" ref="P57:Q57" si="1">P9</f>
        <v>139.03659133118819</v>
      </c>
      <c r="Q57" s="111">
        <f t="shared" si="1"/>
        <v>138.72994372307599</v>
      </c>
      <c r="R57" s="111">
        <f>R9</f>
        <v>138.40088832477699</v>
      </c>
      <c r="S57" s="111">
        <f>S9</f>
        <v>131.947990588941</v>
      </c>
    </row>
    <row r="58" spans="1:19" s="38" customFormat="1" ht="13.15" hidden="1" outlineLevel="1" x14ac:dyDescent="0.35">
      <c r="A58" s="6"/>
      <c r="B58" s="1"/>
      <c r="C58" s="1"/>
      <c r="D58" s="1"/>
      <c r="E58" s="1" t="s">
        <v>46</v>
      </c>
      <c r="F58" s="1" t="s">
        <v>68</v>
      </c>
      <c r="G58" s="1" t="s">
        <v>128</v>
      </c>
      <c r="H58" s="1" t="s">
        <v>39</v>
      </c>
      <c r="I58" s="8"/>
      <c r="J58" s="111" t="str">
        <f t="shared" ref="J58:N73" si="2">J34</f>
        <v>-</v>
      </c>
      <c r="K58" s="111" t="str">
        <f t="shared" si="2"/>
        <v>-</v>
      </c>
      <c r="L58" s="111" t="str">
        <f t="shared" si="2"/>
        <v>-</v>
      </c>
      <c r="M58" s="111" t="str">
        <f t="shared" si="2"/>
        <v>-</v>
      </c>
      <c r="N58" s="111" t="str">
        <f t="shared" si="2"/>
        <v>-</v>
      </c>
      <c r="O58" s="111">
        <f t="shared" ref="O58:R73" si="3">O10</f>
        <v>145.70440654750919</v>
      </c>
      <c r="P58" s="111">
        <f t="shared" si="3"/>
        <v>151.45371379689391</v>
      </c>
      <c r="Q58" s="111">
        <f t="shared" si="3"/>
        <v>153.85332306630539</v>
      </c>
      <c r="R58" s="111">
        <f>R10</f>
        <v>154.7990234225025</v>
      </c>
      <c r="S58" s="111">
        <f t="shared" ref="S58:S77" si="4">S10</f>
        <v>150.6851666194087</v>
      </c>
    </row>
    <row r="59" spans="1:19" s="38" customFormat="1" ht="13.15" hidden="1" outlineLevel="1" x14ac:dyDescent="0.35">
      <c r="A59" s="6"/>
      <c r="B59" s="1"/>
      <c r="C59" s="1"/>
      <c r="D59" s="1"/>
      <c r="E59" s="1" t="s">
        <v>47</v>
      </c>
      <c r="F59" s="1" t="s">
        <v>68</v>
      </c>
      <c r="G59" s="1" t="s">
        <v>128</v>
      </c>
      <c r="H59" s="1" t="s">
        <v>39</v>
      </c>
      <c r="I59" s="8"/>
      <c r="J59" s="111" t="str">
        <f t="shared" si="2"/>
        <v>-</v>
      </c>
      <c r="K59" s="111" t="str">
        <f t="shared" si="2"/>
        <v>-</v>
      </c>
      <c r="L59" s="111" t="str">
        <f t="shared" si="2"/>
        <v>-</v>
      </c>
      <c r="M59" s="111" t="str">
        <f t="shared" si="2"/>
        <v>-</v>
      </c>
      <c r="N59" s="111">
        <f t="shared" si="2"/>
        <v>141.4</v>
      </c>
      <c r="O59" s="111">
        <f t="shared" si="3"/>
        <v>128.94098993391259</v>
      </c>
      <c r="P59" s="111">
        <f t="shared" si="3"/>
        <v>131.379775224658</v>
      </c>
      <c r="Q59" s="111">
        <f t="shared" si="3"/>
        <v>133.6536725840005</v>
      </c>
      <c r="R59" s="111">
        <f t="shared" si="3"/>
        <v>135.07889163186209</v>
      </c>
      <c r="S59" s="111">
        <f t="shared" si="4"/>
        <v>130.59066086119751</v>
      </c>
    </row>
    <row r="60" spans="1:19" s="38" customFormat="1" ht="13.15" hidden="1" outlineLevel="1" x14ac:dyDescent="0.35">
      <c r="A60" s="6"/>
      <c r="B60" s="1"/>
      <c r="C60" s="1"/>
      <c r="D60" s="1"/>
      <c r="E60" s="1" t="s">
        <v>48</v>
      </c>
      <c r="F60" s="1" t="s">
        <v>68</v>
      </c>
      <c r="G60" s="1" t="s">
        <v>128</v>
      </c>
      <c r="H60" s="1" t="s">
        <v>39</v>
      </c>
      <c r="I60" s="8"/>
      <c r="J60" s="111" t="str">
        <f t="shared" si="2"/>
        <v>-</v>
      </c>
      <c r="K60" s="111" t="str">
        <f t="shared" si="2"/>
        <v>-</v>
      </c>
      <c r="L60" s="111" t="str">
        <f t="shared" si="2"/>
        <v>-</v>
      </c>
      <c r="M60" s="111" t="str">
        <f t="shared" si="2"/>
        <v>-</v>
      </c>
      <c r="N60" s="111" t="str">
        <f t="shared" si="2"/>
        <v>-</v>
      </c>
      <c r="O60" s="111">
        <f t="shared" si="3"/>
        <v>150.65616974618641</v>
      </c>
      <c r="P60" s="111">
        <f t="shared" si="3"/>
        <v>156.2989600039657</v>
      </c>
      <c r="Q60" s="111">
        <f t="shared" si="3"/>
        <v>157.7171412984892</v>
      </c>
      <c r="R60" s="111">
        <f t="shared" si="3"/>
        <v>159.10007510952079</v>
      </c>
      <c r="S60" s="111">
        <f t="shared" si="4"/>
        <v>154.7120945772464</v>
      </c>
    </row>
    <row r="61" spans="1:19" s="38" customFormat="1" ht="13.15" hidden="1" outlineLevel="1" x14ac:dyDescent="0.35">
      <c r="A61" s="6"/>
      <c r="B61" s="1"/>
      <c r="C61" s="1"/>
      <c r="D61" s="1"/>
      <c r="E61" s="9" t="s">
        <v>70</v>
      </c>
      <c r="F61" s="1" t="s">
        <v>68</v>
      </c>
      <c r="G61" s="1" t="s">
        <v>128</v>
      </c>
      <c r="H61" s="1" t="s">
        <v>39</v>
      </c>
      <c r="I61" s="8"/>
      <c r="J61" s="111" t="str">
        <f t="shared" si="2"/>
        <v>-</v>
      </c>
      <c r="K61" s="111" t="str">
        <f t="shared" si="2"/>
        <v>-</v>
      </c>
      <c r="L61" s="111" t="str">
        <f t="shared" si="2"/>
        <v>-</v>
      </c>
      <c r="M61" s="111" t="str">
        <f t="shared" si="2"/>
        <v>-</v>
      </c>
      <c r="N61" s="111" t="str">
        <f t="shared" si="2"/>
        <v>-</v>
      </c>
      <c r="O61" s="111">
        <f t="shared" si="3"/>
        <v>145.9475528734543</v>
      </c>
      <c r="P61" s="111">
        <f t="shared" si="3"/>
        <v>152.26499754166099</v>
      </c>
      <c r="Q61" s="111">
        <f t="shared" si="3"/>
        <v>155.2811726516158</v>
      </c>
      <c r="R61" s="111">
        <f t="shared" si="3"/>
        <v>157.89836784371749</v>
      </c>
      <c r="S61" s="111">
        <f t="shared" si="4"/>
        <v>154.40186264115709</v>
      </c>
    </row>
    <row r="62" spans="1:19" s="38" customFormat="1" ht="13.15" hidden="1" outlineLevel="1" x14ac:dyDescent="0.35">
      <c r="A62" s="6"/>
      <c r="B62" s="1"/>
      <c r="C62" s="1"/>
      <c r="D62" s="1"/>
      <c r="E62" s="9" t="s">
        <v>72</v>
      </c>
      <c r="F62" s="1" t="s">
        <v>68</v>
      </c>
      <c r="G62" s="1" t="s">
        <v>128</v>
      </c>
      <c r="H62" s="1" t="s">
        <v>39</v>
      </c>
      <c r="I62" s="8"/>
      <c r="J62" s="111" t="str">
        <f>J38</f>
        <v>-</v>
      </c>
      <c r="K62" s="111" t="str">
        <f t="shared" si="2"/>
        <v>-</v>
      </c>
      <c r="L62" s="111" t="str">
        <f t="shared" si="2"/>
        <v>-</v>
      </c>
      <c r="M62" s="111" t="str">
        <f t="shared" si="2"/>
        <v>-</v>
      </c>
      <c r="N62" s="111" t="str">
        <f t="shared" si="2"/>
        <v>-</v>
      </c>
      <c r="O62" s="111">
        <f t="shared" si="3"/>
        <v>156.8240933940771</v>
      </c>
      <c r="P62" s="111">
        <f t="shared" si="3"/>
        <v>161.572438942611</v>
      </c>
      <c r="Q62" s="111">
        <f t="shared" si="3"/>
        <v>160.90771502175591</v>
      </c>
      <c r="R62" s="111">
        <f t="shared" si="3"/>
        <v>160.69273081957789</v>
      </c>
      <c r="S62" s="111">
        <f t="shared" si="4"/>
        <v>155.13371669948111</v>
      </c>
    </row>
    <row r="63" spans="1:19" s="38" customFormat="1" ht="13.15" hidden="1" outlineLevel="1" x14ac:dyDescent="0.35">
      <c r="A63" s="6"/>
      <c r="B63" s="1"/>
      <c r="C63" s="1"/>
      <c r="D63" s="1"/>
      <c r="E63" s="1" t="s">
        <v>49</v>
      </c>
      <c r="F63" s="1" t="s">
        <v>68</v>
      </c>
      <c r="G63" s="1" t="s">
        <v>128</v>
      </c>
      <c r="H63" s="1" t="s">
        <v>39</v>
      </c>
      <c r="I63" s="8"/>
      <c r="J63" s="111" t="str">
        <f t="shared" si="2"/>
        <v>-</v>
      </c>
      <c r="K63" s="111" t="str">
        <f t="shared" si="2"/>
        <v>-</v>
      </c>
      <c r="L63" s="111" t="str">
        <f t="shared" si="2"/>
        <v>-</v>
      </c>
      <c r="M63" s="111" t="str">
        <f t="shared" si="2"/>
        <v>-</v>
      </c>
      <c r="N63" s="111">
        <f t="shared" si="2"/>
        <v>132.76</v>
      </c>
      <c r="O63" s="111">
        <f t="shared" si="3"/>
        <v>133.69999999999999</v>
      </c>
      <c r="P63" s="111">
        <f t="shared" si="3"/>
        <v>137.13333333333341</v>
      </c>
      <c r="Q63" s="111">
        <f t="shared" si="3"/>
        <v>138.4</v>
      </c>
      <c r="R63" s="111">
        <f t="shared" si="3"/>
        <v>137.53195546546641</v>
      </c>
      <c r="S63" s="111">
        <f t="shared" si="4"/>
        <v>131.25653047625369</v>
      </c>
    </row>
    <row r="64" spans="1:19" s="38" customFormat="1" ht="13.15" hidden="1" outlineLevel="1" x14ac:dyDescent="0.35">
      <c r="A64" s="6"/>
      <c r="B64" s="1"/>
      <c r="C64" s="1"/>
      <c r="D64" s="1"/>
      <c r="E64" s="1" t="s">
        <v>50</v>
      </c>
      <c r="F64" s="1" t="s">
        <v>68</v>
      </c>
      <c r="G64" s="1" t="s">
        <v>128</v>
      </c>
      <c r="H64" s="1" t="s">
        <v>39</v>
      </c>
      <c r="I64" s="8"/>
      <c r="J64" s="111" t="str">
        <f t="shared" si="2"/>
        <v>-</v>
      </c>
      <c r="K64" s="111" t="str">
        <f t="shared" si="2"/>
        <v>-</v>
      </c>
      <c r="L64" s="111" t="str">
        <f t="shared" si="2"/>
        <v>-</v>
      </c>
      <c r="M64" s="111" t="str">
        <f t="shared" si="2"/>
        <v>-</v>
      </c>
      <c r="N64" s="111" t="str">
        <f t="shared" si="2"/>
        <v>-</v>
      </c>
      <c r="O64" s="111">
        <f t="shared" si="3"/>
        <v>146.01339378702161</v>
      </c>
      <c r="P64" s="111">
        <f t="shared" si="3"/>
        <v>144.91414120469369</v>
      </c>
      <c r="Q64" s="111">
        <f t="shared" si="3"/>
        <v>142.08015103660441</v>
      </c>
      <c r="R64" s="111">
        <f t="shared" si="3"/>
        <v>144.936321285498</v>
      </c>
      <c r="S64" s="111">
        <f t="shared" si="4"/>
        <v>147.7929715049807</v>
      </c>
    </row>
    <row r="65" spans="1:19" s="38" customFormat="1" ht="13.15" hidden="1" outlineLevel="1" x14ac:dyDescent="0.35">
      <c r="A65" s="6"/>
      <c r="B65" s="1"/>
      <c r="C65" s="1"/>
      <c r="D65" s="1"/>
      <c r="E65" s="1" t="s">
        <v>51</v>
      </c>
      <c r="F65" s="1" t="s">
        <v>68</v>
      </c>
      <c r="G65" s="1" t="s">
        <v>128</v>
      </c>
      <c r="H65" s="1" t="s">
        <v>39</v>
      </c>
      <c r="I65" s="8"/>
      <c r="J65" s="111">
        <f t="shared" si="2"/>
        <v>134.80000000000001</v>
      </c>
      <c r="K65" s="111">
        <f t="shared" si="2"/>
        <v>129.69999999999999</v>
      </c>
      <c r="L65" s="111">
        <f t="shared" si="2"/>
        <v>131.29</v>
      </c>
      <c r="M65" s="111">
        <f t="shared" si="2"/>
        <v>128.9</v>
      </c>
      <c r="N65" s="111">
        <f t="shared" si="2"/>
        <v>129.9</v>
      </c>
      <c r="O65" s="111">
        <f t="shared" si="3"/>
        <v>127.9631162358079</v>
      </c>
      <c r="P65" s="111">
        <f t="shared" si="3"/>
        <v>131.7457647018056</v>
      </c>
      <c r="Q65" s="111">
        <f t="shared" si="3"/>
        <v>132.77548172827159</v>
      </c>
      <c r="R65" s="111">
        <f t="shared" si="3"/>
        <v>133.42671993334321</v>
      </c>
      <c r="S65" s="111">
        <f t="shared" si="4"/>
        <v>130.32223917674881</v>
      </c>
    </row>
    <row r="66" spans="1:19" s="38" customFormat="1" ht="13.15" hidden="1" outlineLevel="1" x14ac:dyDescent="0.35">
      <c r="A66" s="6"/>
      <c r="B66" s="1"/>
      <c r="C66" s="1"/>
      <c r="D66" s="1"/>
      <c r="E66" s="1" t="s">
        <v>52</v>
      </c>
      <c r="F66" s="1" t="s">
        <v>68</v>
      </c>
      <c r="G66" s="1" t="s">
        <v>128</v>
      </c>
      <c r="H66" s="1" t="s">
        <v>39</v>
      </c>
      <c r="I66" s="8"/>
      <c r="J66" s="111">
        <f t="shared" si="2"/>
        <v>150.71411128961589</v>
      </c>
      <c r="K66" s="111">
        <f t="shared" si="2"/>
        <v>150.31191704396085</v>
      </c>
      <c r="L66" s="111">
        <f t="shared" si="2"/>
        <v>149.90972279830581</v>
      </c>
      <c r="M66" s="111">
        <f t="shared" si="2"/>
        <v>149.50752855265077</v>
      </c>
      <c r="N66" s="111">
        <f t="shared" si="2"/>
        <v>149.10533430699573</v>
      </c>
      <c r="O66" s="111">
        <f t="shared" si="3"/>
        <v>145.22165489487699</v>
      </c>
      <c r="P66" s="111">
        <f t="shared" si="3"/>
        <v>147.55805721942619</v>
      </c>
      <c r="Q66" s="111">
        <f t="shared" si="3"/>
        <v>146.71431168046271</v>
      </c>
      <c r="R66" s="111">
        <f t="shared" si="3"/>
        <v>145.3398957698729</v>
      </c>
      <c r="S66" s="111">
        <f t="shared" si="4"/>
        <v>140.6556373438732</v>
      </c>
    </row>
    <row r="67" spans="1:19" s="38" customFormat="1" ht="13.15" hidden="1" outlineLevel="1" x14ac:dyDescent="0.35">
      <c r="A67" s="6"/>
      <c r="B67" s="1"/>
      <c r="C67" s="1"/>
      <c r="D67" s="1"/>
      <c r="E67" s="1" t="s">
        <v>74</v>
      </c>
      <c r="F67" s="1" t="s">
        <v>68</v>
      </c>
      <c r="G67" s="1" t="s">
        <v>128</v>
      </c>
      <c r="H67" s="1" t="s">
        <v>39</v>
      </c>
      <c r="I67" s="8"/>
      <c r="J67" s="111">
        <f t="shared" si="2"/>
        <v>130</v>
      </c>
      <c r="K67" s="111">
        <f t="shared" si="2"/>
        <v>129.6</v>
      </c>
      <c r="L67" s="111">
        <f t="shared" si="2"/>
        <v>138.9</v>
      </c>
      <c r="M67" s="111">
        <f t="shared" si="2"/>
        <v>141.9</v>
      </c>
      <c r="N67" s="111">
        <f t="shared" si="2"/>
        <v>143.69999999999999</v>
      </c>
      <c r="O67" s="111">
        <f t="shared" si="3"/>
        <v>144.03056906781549</v>
      </c>
      <c r="P67" s="111">
        <f t="shared" si="3"/>
        <v>146.5416068249944</v>
      </c>
      <c r="Q67" s="111">
        <f t="shared" si="3"/>
        <v>146.06053419056519</v>
      </c>
      <c r="R67" s="111">
        <f t="shared" si="3"/>
        <v>144.7307355096014</v>
      </c>
      <c r="S67" s="111">
        <f t="shared" si="4"/>
        <v>140.40208034614179</v>
      </c>
    </row>
    <row r="68" spans="1:19" s="38" customFormat="1" ht="13.15" hidden="1" outlineLevel="1" x14ac:dyDescent="0.35">
      <c r="A68" s="6"/>
      <c r="B68" s="1"/>
      <c r="C68" s="1"/>
      <c r="D68" s="1"/>
      <c r="E68" s="1" t="s">
        <v>54</v>
      </c>
      <c r="F68" s="1" t="s">
        <v>68</v>
      </c>
      <c r="G68" s="1" t="s">
        <v>128</v>
      </c>
      <c r="H68" s="1" t="s">
        <v>39</v>
      </c>
      <c r="I68" s="8"/>
      <c r="J68" s="111">
        <f t="shared" si="2"/>
        <v>138</v>
      </c>
      <c r="K68" s="111">
        <f t="shared" si="2"/>
        <v>137.6</v>
      </c>
      <c r="L68" s="111">
        <f t="shared" si="2"/>
        <v>140.69999999999999</v>
      </c>
      <c r="M68" s="111">
        <f t="shared" si="2"/>
        <v>142.80000000000001</v>
      </c>
      <c r="N68" s="111">
        <f t="shared" si="2"/>
        <v>146.19999999999999</v>
      </c>
      <c r="O68" s="111">
        <f t="shared" si="3"/>
        <v>137.82381389780221</v>
      </c>
      <c r="P68" s="111">
        <f t="shared" si="3"/>
        <v>143.13762841867421</v>
      </c>
      <c r="Q68" s="111">
        <f t="shared" si="3"/>
        <v>144.99667473492761</v>
      </c>
      <c r="R68" s="111">
        <f t="shared" si="3"/>
        <v>145.1548143710981</v>
      </c>
      <c r="S68" s="111">
        <f t="shared" si="4"/>
        <v>138.83639122945709</v>
      </c>
    </row>
    <row r="69" spans="1:19" s="38" customFormat="1" ht="13.15" hidden="1" outlineLevel="1" x14ac:dyDescent="0.35">
      <c r="A69" s="6"/>
      <c r="B69" s="1"/>
      <c r="C69" s="1"/>
      <c r="D69" s="1"/>
      <c r="E69" s="1" t="s">
        <v>55</v>
      </c>
      <c r="F69" s="1" t="s">
        <v>68</v>
      </c>
      <c r="G69" s="1" t="s">
        <v>128</v>
      </c>
      <c r="H69" s="1" t="s">
        <v>39</v>
      </c>
      <c r="I69" s="8"/>
      <c r="J69" s="111">
        <f t="shared" si="2"/>
        <v>133.30000000000001</v>
      </c>
      <c r="K69" s="111">
        <f t="shared" si="2"/>
        <v>133.1</v>
      </c>
      <c r="L69" s="111">
        <f t="shared" si="2"/>
        <v>134.5</v>
      </c>
      <c r="M69" s="111">
        <f t="shared" si="2"/>
        <v>133</v>
      </c>
      <c r="N69" s="111">
        <f t="shared" si="2"/>
        <v>133.5</v>
      </c>
      <c r="O69" s="111">
        <f t="shared" si="3"/>
        <v>128.20208574358841</v>
      </c>
      <c r="P69" s="111">
        <f t="shared" si="3"/>
        <v>132.49049098929541</v>
      </c>
      <c r="Q69" s="111">
        <f t="shared" si="3"/>
        <v>133.46147287983121</v>
      </c>
      <c r="R69" s="111">
        <f t="shared" si="3"/>
        <v>132.1814179255116</v>
      </c>
      <c r="S69" s="111">
        <f t="shared" si="4"/>
        <v>126.9082926509095</v>
      </c>
    </row>
    <row r="70" spans="1:19" s="38" customFormat="1" ht="13.15" hidden="1" outlineLevel="1" x14ac:dyDescent="0.35">
      <c r="A70" s="6"/>
      <c r="B70" s="1"/>
      <c r="C70" s="1"/>
      <c r="D70" s="1"/>
      <c r="E70" s="1" t="s">
        <v>56</v>
      </c>
      <c r="F70" s="1" t="s">
        <v>68</v>
      </c>
      <c r="G70" s="1" t="s">
        <v>128</v>
      </c>
      <c r="H70" s="1" t="s">
        <v>39</v>
      </c>
      <c r="I70" s="8"/>
      <c r="J70" s="111">
        <f t="shared" si="2"/>
        <v>148.30000000000001</v>
      </c>
      <c r="K70" s="111">
        <f t="shared" si="2"/>
        <v>151.6</v>
      </c>
      <c r="L70" s="111">
        <f t="shared" si="2"/>
        <v>153.80000000000001</v>
      </c>
      <c r="M70" s="111">
        <f t="shared" si="2"/>
        <v>151</v>
      </c>
      <c r="N70" s="111">
        <f t="shared" si="2"/>
        <v>158.80000000000001</v>
      </c>
      <c r="O70" s="111">
        <f t="shared" si="3"/>
        <v>154.01455507962689</v>
      </c>
      <c r="P70" s="111">
        <f t="shared" si="3"/>
        <v>159.36159031758331</v>
      </c>
      <c r="Q70" s="111">
        <f t="shared" si="3"/>
        <v>159.2332053149338</v>
      </c>
      <c r="R70" s="111">
        <f t="shared" si="3"/>
        <v>160.6303898514916</v>
      </c>
      <c r="S70" s="111">
        <f t="shared" si="4"/>
        <v>156.29511447989461</v>
      </c>
    </row>
    <row r="71" spans="1:19" s="38" customFormat="1" ht="13.15" hidden="1" outlineLevel="1" x14ac:dyDescent="0.35">
      <c r="A71" s="6"/>
      <c r="B71" s="1"/>
      <c r="C71" s="1"/>
      <c r="D71" s="1"/>
      <c r="E71" s="1" t="s">
        <v>57</v>
      </c>
      <c r="F71" s="1" t="s">
        <v>68</v>
      </c>
      <c r="G71" s="1" t="s">
        <v>128</v>
      </c>
      <c r="H71" s="1" t="s">
        <v>39</v>
      </c>
      <c r="I71" s="8"/>
      <c r="J71" s="111">
        <f t="shared" si="2"/>
        <v>143</v>
      </c>
      <c r="K71" s="111">
        <f t="shared" si="2"/>
        <v>141.1</v>
      </c>
      <c r="L71" s="111">
        <f t="shared" si="2"/>
        <v>144.1</v>
      </c>
      <c r="M71" s="111">
        <f t="shared" si="2"/>
        <v>144.5</v>
      </c>
      <c r="N71" s="111">
        <f t="shared" si="2"/>
        <v>148.30000000000001</v>
      </c>
      <c r="O71" s="111">
        <f t="shared" si="3"/>
        <v>148.88289379242769</v>
      </c>
      <c r="P71" s="111">
        <f t="shared" si="3"/>
        <v>152.94592790599219</v>
      </c>
      <c r="Q71" s="111">
        <f t="shared" si="3"/>
        <v>154.0740846106381</v>
      </c>
      <c r="R71" s="111">
        <f t="shared" si="3"/>
        <v>154.85451184012129</v>
      </c>
      <c r="S71" s="111">
        <f t="shared" si="4"/>
        <v>149.38899390318679</v>
      </c>
    </row>
    <row r="72" spans="1:19" s="38" customFormat="1" ht="13.15" hidden="1" outlineLevel="1" x14ac:dyDescent="0.35">
      <c r="A72" s="6"/>
      <c r="B72" s="1"/>
      <c r="C72" s="1"/>
      <c r="D72" s="1"/>
      <c r="E72" s="1" t="s">
        <v>58</v>
      </c>
      <c r="F72" s="1" t="s">
        <v>68</v>
      </c>
      <c r="G72" s="1" t="s">
        <v>128</v>
      </c>
      <c r="H72" s="1" t="s">
        <v>39</v>
      </c>
      <c r="I72" s="8"/>
      <c r="J72" s="111">
        <f t="shared" si="2"/>
        <v>129.25</v>
      </c>
      <c r="K72" s="111">
        <f t="shared" si="2"/>
        <v>129.59</v>
      </c>
      <c r="L72" s="111">
        <f t="shared" si="2"/>
        <v>129.85</v>
      </c>
      <c r="M72" s="111">
        <f t="shared" si="2"/>
        <v>133.09</v>
      </c>
      <c r="N72" s="111">
        <f t="shared" si="2"/>
        <v>136.41</v>
      </c>
      <c r="O72" s="111">
        <f t="shared" si="3"/>
        <v>129.74004821842789</v>
      </c>
      <c r="P72" s="111">
        <f t="shared" si="3"/>
        <v>136.85243125716389</v>
      </c>
      <c r="Q72" s="111">
        <f t="shared" si="3"/>
        <v>141.58970141812679</v>
      </c>
      <c r="R72" s="111">
        <f t="shared" si="3"/>
        <v>146.55958411526279</v>
      </c>
      <c r="S72" s="111">
        <f t="shared" si="4"/>
        <v>140.93014721666631</v>
      </c>
    </row>
    <row r="73" spans="1:19" s="38" customFormat="1" ht="13.15" hidden="1" outlineLevel="1" x14ac:dyDescent="0.35">
      <c r="A73" s="6"/>
      <c r="B73" s="1"/>
      <c r="C73" s="1"/>
      <c r="D73" s="1"/>
      <c r="E73" s="1" t="s">
        <v>75</v>
      </c>
      <c r="F73" s="1" t="s">
        <v>68</v>
      </c>
      <c r="G73" s="1" t="s">
        <v>128</v>
      </c>
      <c r="H73" s="1" t="s">
        <v>39</v>
      </c>
      <c r="I73" s="8"/>
      <c r="J73" s="111" t="str">
        <f t="shared" si="2"/>
        <v>-</v>
      </c>
      <c r="K73" s="111" t="str">
        <f t="shared" si="2"/>
        <v>-</v>
      </c>
      <c r="L73" s="111" t="str">
        <f t="shared" si="2"/>
        <v>-</v>
      </c>
      <c r="M73" s="111" t="str">
        <f t="shared" si="2"/>
        <v>-</v>
      </c>
      <c r="N73" s="111" t="str">
        <f t="shared" si="2"/>
        <v>-</v>
      </c>
      <c r="O73" s="111">
        <f t="shared" si="3"/>
        <v>128.5377877776524</v>
      </c>
      <c r="P73" s="111">
        <f t="shared" si="3"/>
        <v>136.31171411721371</v>
      </c>
      <c r="Q73" s="111">
        <f t="shared" si="3"/>
        <v>142.1135840589765</v>
      </c>
      <c r="R73" s="111">
        <f t="shared" si="3"/>
        <v>147.5869496891269</v>
      </c>
      <c r="S73" s="111">
        <f t="shared" si="4"/>
        <v>142.9218200348659</v>
      </c>
    </row>
    <row r="74" spans="1:19" s="38" customFormat="1" ht="13.15" hidden="1" outlineLevel="1" x14ac:dyDescent="0.35">
      <c r="A74" s="6"/>
      <c r="B74" s="1"/>
      <c r="C74" s="1"/>
      <c r="D74" s="1"/>
      <c r="E74" s="1" t="s">
        <v>76</v>
      </c>
      <c r="F74" s="1" t="s">
        <v>68</v>
      </c>
      <c r="G74" s="1" t="s">
        <v>128</v>
      </c>
      <c r="H74" s="1" t="s">
        <v>39</v>
      </c>
      <c r="I74" s="8"/>
      <c r="J74" s="111" t="str">
        <f t="shared" ref="J74:N77" si="5">J50</f>
        <v>-</v>
      </c>
      <c r="K74" s="111" t="str">
        <f t="shared" si="5"/>
        <v>-</v>
      </c>
      <c r="L74" s="111" t="str">
        <f t="shared" si="5"/>
        <v>-</v>
      </c>
      <c r="M74" s="111" t="str">
        <f t="shared" si="5"/>
        <v>-</v>
      </c>
      <c r="N74" s="111" t="str">
        <f t="shared" si="5"/>
        <v>-</v>
      </c>
      <c r="O74" s="111">
        <f t="shared" ref="O74:R77" si="6">O26</f>
        <v>134.78262275502851</v>
      </c>
      <c r="P74" s="111">
        <f t="shared" si="6"/>
        <v>139.11524333404461</v>
      </c>
      <c r="Q74" s="111">
        <f t="shared" si="6"/>
        <v>139.47421040293759</v>
      </c>
      <c r="R74" s="111">
        <f t="shared" si="6"/>
        <v>142.44239130346941</v>
      </c>
      <c r="S74" s="111">
        <f t="shared" si="4"/>
        <v>132.0992457027464</v>
      </c>
    </row>
    <row r="75" spans="1:19" s="38" customFormat="1" ht="13.15" hidden="1" outlineLevel="1" x14ac:dyDescent="0.35">
      <c r="A75" s="6"/>
      <c r="B75" s="1"/>
      <c r="C75" s="1"/>
      <c r="D75" s="1"/>
      <c r="E75" s="1" t="s">
        <v>59</v>
      </c>
      <c r="F75" s="1" t="s">
        <v>68</v>
      </c>
      <c r="G75" s="1" t="s">
        <v>128</v>
      </c>
      <c r="H75" s="1" t="s">
        <v>39</v>
      </c>
      <c r="I75" s="8"/>
      <c r="J75" s="111">
        <f t="shared" si="5"/>
        <v>145.55000000000001</v>
      </c>
      <c r="K75" s="111">
        <f t="shared" si="5"/>
        <v>143.29</v>
      </c>
      <c r="L75" s="111">
        <f t="shared" si="5"/>
        <v>145.1</v>
      </c>
      <c r="M75" s="111">
        <f t="shared" si="5"/>
        <v>147.54</v>
      </c>
      <c r="N75" s="111">
        <f t="shared" si="5"/>
        <v>152.38999999999999</v>
      </c>
      <c r="O75" s="111">
        <f t="shared" si="6"/>
        <v>149.3103214050137</v>
      </c>
      <c r="P75" s="111">
        <f t="shared" si="6"/>
        <v>157.22386959647179</v>
      </c>
      <c r="Q75" s="111">
        <f t="shared" si="6"/>
        <v>160.26419983725469</v>
      </c>
      <c r="R75" s="111">
        <f t="shared" si="6"/>
        <v>161.13101132291749</v>
      </c>
      <c r="S75" s="111">
        <f t="shared" si="4"/>
        <v>155.73755199240171</v>
      </c>
    </row>
    <row r="76" spans="1:19" s="38" customFormat="1" ht="13.15" hidden="1" outlineLevel="1" x14ac:dyDescent="0.35">
      <c r="A76" s="6"/>
      <c r="B76" s="1"/>
      <c r="C76" s="1"/>
      <c r="D76" s="1"/>
      <c r="E76" s="1" t="s">
        <v>60</v>
      </c>
      <c r="F76" s="1" t="s">
        <v>68</v>
      </c>
      <c r="G76" s="1" t="s">
        <v>128</v>
      </c>
      <c r="H76" s="1" t="s">
        <v>39</v>
      </c>
      <c r="I76" s="8"/>
      <c r="J76" s="111" t="str">
        <f t="shared" si="5"/>
        <v>-</v>
      </c>
      <c r="K76" s="111" t="str">
        <f t="shared" si="5"/>
        <v>-</v>
      </c>
      <c r="L76" s="111" t="str">
        <f t="shared" si="5"/>
        <v>-</v>
      </c>
      <c r="M76" s="111" t="str">
        <f t="shared" si="5"/>
        <v>-</v>
      </c>
      <c r="N76" s="111" t="str">
        <f t="shared" si="5"/>
        <v>-</v>
      </c>
      <c r="O76" s="111">
        <f t="shared" si="6"/>
        <v>147.05025085934551</v>
      </c>
      <c r="P76" s="111">
        <f t="shared" si="6"/>
        <v>153.4429442867023</v>
      </c>
      <c r="Q76" s="111">
        <f t="shared" si="6"/>
        <v>156.90978245573879</v>
      </c>
      <c r="R76" s="111">
        <f t="shared" si="6"/>
        <v>158.25798785054019</v>
      </c>
      <c r="S76" s="111">
        <f t="shared" si="4"/>
        <v>150.76235262077941</v>
      </c>
    </row>
    <row r="77" spans="1:19" s="38" customFormat="1" ht="13.15" hidden="1" outlineLevel="1" x14ac:dyDescent="0.35">
      <c r="A77" s="6"/>
      <c r="B77" s="1"/>
      <c r="C77" s="1"/>
      <c r="D77" s="1"/>
      <c r="E77" s="1" t="s">
        <v>61</v>
      </c>
      <c r="F77" s="1" t="s">
        <v>68</v>
      </c>
      <c r="G77" s="1" t="s">
        <v>128</v>
      </c>
      <c r="H77" s="1" t="s">
        <v>39</v>
      </c>
      <c r="I77" s="8"/>
      <c r="J77" s="111">
        <f t="shared" si="5"/>
        <v>161.1</v>
      </c>
      <c r="K77" s="111">
        <f t="shared" si="5"/>
        <v>160.9</v>
      </c>
      <c r="L77" s="111">
        <f t="shared" si="5"/>
        <v>159.72999999999999</v>
      </c>
      <c r="M77" s="111">
        <f t="shared" si="5"/>
        <v>158.80000000000001</v>
      </c>
      <c r="N77" s="111">
        <f t="shared" si="5"/>
        <v>162.62</v>
      </c>
      <c r="O77" s="111">
        <f t="shared" si="6"/>
        <v>149.00575281485101</v>
      </c>
      <c r="P77" s="111">
        <f t="shared" si="6"/>
        <v>154.59016679237169</v>
      </c>
      <c r="Q77" s="111">
        <f t="shared" si="6"/>
        <v>152.6351979075838</v>
      </c>
      <c r="R77" s="111">
        <f t="shared" si="6"/>
        <v>155.1320920778675</v>
      </c>
      <c r="S77" s="111">
        <f t="shared" si="4"/>
        <v>149.399382448621</v>
      </c>
    </row>
    <row r="78" spans="1:19" collapsed="1" x14ac:dyDescent="0.45"/>
    <row r="79" spans="1:19" s="101" customFormat="1" ht="13.15" x14ac:dyDescent="0.4">
      <c r="A79" s="100" t="s">
        <v>83</v>
      </c>
      <c r="B79" s="100"/>
      <c r="C79" s="100"/>
      <c r="D79" s="100"/>
      <c r="E79" s="100"/>
      <c r="F79" s="100"/>
      <c r="G79" s="100"/>
      <c r="H79" s="100"/>
      <c r="I79" s="100"/>
    </row>
  </sheetData>
  <phoneticPr fontId="7"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14E9-9BF6-4F9B-98CF-D5103A21D9B9}">
  <sheetPr codeName="Sheet11">
    <tabColor rgb="FFCCCCCE"/>
  </sheetPr>
  <dimension ref="A1:Z79"/>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86" bestFit="1" customWidth="1"/>
    <col min="7" max="7" width="37.375" style="86" bestFit="1" customWidth="1"/>
    <col min="8" max="8" width="7.875" style="86" customWidth="1"/>
    <col min="9" max="9" width="2.75" style="86" customWidth="1"/>
    <col min="10" max="21" width="9" style="99" customWidth="1"/>
    <col min="22" max="26" width="0" style="86" hidden="1" customWidth="1"/>
    <col min="27" max="16384" width="9" style="86" hidden="1"/>
  </cols>
  <sheetData>
    <row r="1" spans="1:21" s="4" customFormat="1" ht="30.75" x14ac:dyDescent="0.35">
      <c r="A1" s="4" t="str">
        <f ca="1">RIGHT(CELL("filename", A1), LEN(CELL("filename", A1)) - SEARCH("]", CELL("filename", A1)))</f>
        <v>PCC.PCL</v>
      </c>
      <c r="D1" s="5"/>
      <c r="J1" s="37"/>
      <c r="K1" s="37"/>
      <c r="L1" s="37"/>
      <c r="M1" s="37"/>
      <c r="N1" s="37"/>
      <c r="O1" s="37"/>
      <c r="P1" s="37"/>
      <c r="Q1" s="37"/>
      <c r="R1" s="37"/>
      <c r="S1" s="37"/>
      <c r="T1" s="37"/>
      <c r="U1" s="37"/>
    </row>
    <row r="2" spans="1:21" s="1" customFormat="1" ht="13.15" x14ac:dyDescent="0.35">
      <c r="A2" s="6"/>
      <c r="J2" s="43" t="s">
        <v>18</v>
      </c>
      <c r="K2" s="43" t="s">
        <v>19</v>
      </c>
      <c r="L2" s="43" t="s">
        <v>20</v>
      </c>
      <c r="M2" s="43" t="s">
        <v>21</v>
      </c>
      <c r="N2" s="43" t="s">
        <v>22</v>
      </c>
      <c r="O2" s="43" t="s">
        <v>23</v>
      </c>
      <c r="P2" s="43" t="s">
        <v>24</v>
      </c>
      <c r="Q2" s="43" t="s">
        <v>25</v>
      </c>
      <c r="R2" s="43" t="s">
        <v>26</v>
      </c>
      <c r="S2" s="43" t="s">
        <v>27</v>
      </c>
      <c r="T2" s="43" t="s">
        <v>28</v>
      </c>
      <c r="U2" s="38"/>
    </row>
    <row r="3" spans="1:21" s="1" customFormat="1" ht="13.15" x14ac:dyDescent="0.35">
      <c r="A3" s="6"/>
      <c r="E3" s="7" t="s">
        <v>62</v>
      </c>
      <c r="F3" s="7" t="s">
        <v>63</v>
      </c>
      <c r="G3" s="7" t="s">
        <v>64</v>
      </c>
      <c r="H3" s="7" t="s">
        <v>13</v>
      </c>
      <c r="J3" s="38"/>
      <c r="K3" s="38"/>
      <c r="L3" s="38"/>
      <c r="M3" s="38"/>
      <c r="N3" s="38"/>
      <c r="O3" s="38"/>
      <c r="P3" s="38"/>
      <c r="Q3" s="38"/>
      <c r="R3" s="38"/>
      <c r="S3" s="38"/>
      <c r="T3" s="38"/>
      <c r="U3" s="38"/>
    </row>
    <row r="4" spans="1:21" s="1" customFormat="1" ht="13.15" x14ac:dyDescent="0.35">
      <c r="A4" s="6"/>
      <c r="F4" s="6"/>
      <c r="J4" s="38"/>
      <c r="K4" s="38"/>
      <c r="L4" s="38"/>
      <c r="M4" s="38"/>
      <c r="N4" s="38"/>
      <c r="O4" s="38"/>
      <c r="P4" s="38"/>
      <c r="Q4" s="38"/>
      <c r="R4" s="38"/>
      <c r="S4" s="38"/>
      <c r="T4" s="38"/>
      <c r="U4" s="38"/>
    </row>
    <row r="5" spans="1:21" s="1" customFormat="1" ht="13.15" x14ac:dyDescent="0.35">
      <c r="A5" s="6"/>
      <c r="I5" s="3"/>
      <c r="J5" s="38"/>
      <c r="K5" s="38"/>
      <c r="L5" s="38"/>
      <c r="M5" s="38"/>
      <c r="N5" s="38"/>
      <c r="O5" s="38"/>
      <c r="P5" s="38"/>
      <c r="Q5" s="38"/>
      <c r="R5" s="38"/>
      <c r="S5" s="38"/>
      <c r="T5" s="38"/>
      <c r="U5" s="38"/>
    </row>
    <row r="6" spans="1:21" s="1" customFormat="1" ht="13.15" x14ac:dyDescent="0.35">
      <c r="A6" s="6"/>
      <c r="I6" s="3"/>
      <c r="J6" s="38"/>
      <c r="K6" s="38"/>
      <c r="L6" s="38"/>
      <c r="M6" s="38"/>
      <c r="N6" s="38"/>
      <c r="O6" s="38"/>
      <c r="P6" s="38"/>
      <c r="Q6" s="38"/>
      <c r="R6" s="38"/>
      <c r="S6" s="38"/>
      <c r="T6" s="38"/>
      <c r="U6" s="38"/>
    </row>
    <row r="7" spans="1:21" s="90" customFormat="1" ht="13.15" x14ac:dyDescent="0.35">
      <c r="A7" s="90" t="s">
        <v>133</v>
      </c>
      <c r="J7" s="91"/>
      <c r="K7" s="91"/>
      <c r="L7" s="91"/>
      <c r="M7" s="91"/>
      <c r="N7" s="91"/>
      <c r="O7" s="91"/>
      <c r="P7" s="91"/>
      <c r="Q7" s="91"/>
      <c r="R7" s="91"/>
      <c r="S7" s="91"/>
      <c r="T7" s="91"/>
      <c r="U7" s="91"/>
    </row>
    <row r="8" spans="1:21" s="1" customFormat="1" ht="13.15" x14ac:dyDescent="0.35">
      <c r="A8" s="6"/>
      <c r="J8" s="38"/>
      <c r="K8" s="38"/>
      <c r="L8" s="38"/>
      <c r="M8" s="38"/>
      <c r="N8" s="38"/>
      <c r="O8" s="38"/>
      <c r="P8" s="38"/>
      <c r="Q8" s="38"/>
      <c r="R8" s="38"/>
      <c r="S8" s="38"/>
      <c r="T8" s="38"/>
      <c r="U8" s="38"/>
    </row>
    <row r="9" spans="1:21" s="1" customFormat="1" ht="13.15" x14ac:dyDescent="0.35">
      <c r="A9" s="6"/>
      <c r="E9" s="1" t="s">
        <v>36</v>
      </c>
      <c r="F9" s="1" t="s">
        <v>68</v>
      </c>
      <c r="G9" s="1" t="s">
        <v>134</v>
      </c>
      <c r="H9" s="1" t="s">
        <v>39</v>
      </c>
      <c r="I9" s="8"/>
      <c r="J9" s="48">
        <f>PCC.Inputs!L57</f>
        <v>133.30000000000001</v>
      </c>
      <c r="K9" s="48">
        <f>PCC.Inputs!M57</f>
        <v>131.9</v>
      </c>
      <c r="L9" s="48">
        <f>PCC.Inputs!N57</f>
        <v>130.5</v>
      </c>
      <c r="M9" s="48">
        <f>PCC.Inputs!O57</f>
        <v>129.10000000000002</v>
      </c>
      <c r="N9" s="48">
        <f>PCC.Inputs!P57</f>
        <v>127.70000000000002</v>
      </c>
      <c r="O9" s="45"/>
      <c r="P9" s="45"/>
      <c r="Q9" s="45"/>
      <c r="R9" s="45"/>
      <c r="S9" s="45"/>
      <c r="T9" s="45"/>
      <c r="U9" s="38"/>
    </row>
    <row r="10" spans="1:21" s="1" customFormat="1" ht="13.15" hidden="1" outlineLevel="1" x14ac:dyDescent="0.35">
      <c r="A10" s="6"/>
      <c r="E10" s="1" t="s">
        <v>46</v>
      </c>
      <c r="F10" s="1" t="s">
        <v>68</v>
      </c>
      <c r="G10" s="1" t="s">
        <v>134</v>
      </c>
      <c r="H10" s="1" t="s">
        <v>39</v>
      </c>
      <c r="I10" s="8"/>
      <c r="J10" s="48" t="str">
        <f>PCC.Inputs!L58</f>
        <v>-</v>
      </c>
      <c r="K10" s="48" t="str">
        <f>PCC.Inputs!M58</f>
        <v>-</v>
      </c>
      <c r="L10" s="48" t="str">
        <f>PCC.Inputs!N58</f>
        <v>-</v>
      </c>
      <c r="M10" s="48" t="str">
        <f>PCC.Inputs!O58</f>
        <v>-</v>
      </c>
      <c r="N10" s="48" t="str">
        <f>PCC.Inputs!P58</f>
        <v/>
      </c>
      <c r="O10" s="45"/>
      <c r="P10" s="45"/>
      <c r="Q10" s="45"/>
      <c r="R10" s="45"/>
      <c r="S10" s="45"/>
      <c r="T10" s="45"/>
      <c r="U10" s="38"/>
    </row>
    <row r="11" spans="1:21" s="1" customFormat="1" ht="13.15" hidden="1" outlineLevel="1" x14ac:dyDescent="0.35">
      <c r="A11" s="6"/>
      <c r="E11" s="1" t="s">
        <v>47</v>
      </c>
      <c r="F11" s="1" t="s">
        <v>68</v>
      </c>
      <c r="G11" s="1" t="s">
        <v>134</v>
      </c>
      <c r="H11" s="1" t="s">
        <v>39</v>
      </c>
      <c r="I11" s="8"/>
      <c r="J11" s="48" t="str">
        <f>PCC.Inputs!L59</f>
        <v>-</v>
      </c>
      <c r="K11" s="48" t="str">
        <f>PCC.Inputs!M59</f>
        <v>-</v>
      </c>
      <c r="L11" s="48" t="str">
        <f>PCC.Inputs!N59</f>
        <v>-</v>
      </c>
      <c r="M11" s="48" t="str">
        <f>PCC.Inputs!O59</f>
        <v>-</v>
      </c>
      <c r="N11" s="48">
        <f>PCC.Inputs!P59</f>
        <v>128.37</v>
      </c>
      <c r="O11" s="45"/>
      <c r="P11" s="45"/>
      <c r="Q11" s="45"/>
      <c r="R11" s="45"/>
      <c r="S11" s="45"/>
      <c r="T11" s="45"/>
      <c r="U11" s="38"/>
    </row>
    <row r="12" spans="1:21" s="1" customFormat="1" ht="13.15" hidden="1" outlineLevel="1" x14ac:dyDescent="0.35">
      <c r="A12" s="6"/>
      <c r="E12" s="1" t="s">
        <v>48</v>
      </c>
      <c r="F12" s="1" t="s">
        <v>68</v>
      </c>
      <c r="G12" s="1" t="s">
        <v>134</v>
      </c>
      <c r="H12" s="1" t="s">
        <v>39</v>
      </c>
      <c r="I12" s="8"/>
      <c r="J12" s="48" t="str">
        <f>PCC.Inputs!L60</f>
        <v>-</v>
      </c>
      <c r="K12" s="48" t="str">
        <f>PCC.Inputs!M60</f>
        <v>-</v>
      </c>
      <c r="L12" s="48" t="str">
        <f>PCC.Inputs!N60</f>
        <v>-</v>
      </c>
      <c r="M12" s="48" t="str">
        <f>PCC.Inputs!O60</f>
        <v>-</v>
      </c>
      <c r="N12" s="48" t="str">
        <f>PCC.Inputs!P60</f>
        <v>-</v>
      </c>
      <c r="O12" s="45"/>
      <c r="P12" s="45"/>
      <c r="Q12" s="45"/>
      <c r="R12" s="45"/>
      <c r="S12" s="45"/>
      <c r="T12" s="45"/>
      <c r="U12" s="38"/>
    </row>
    <row r="13" spans="1:21" s="1" customFormat="1" ht="13.15" hidden="1" outlineLevel="1" x14ac:dyDescent="0.35">
      <c r="A13" s="6"/>
      <c r="E13" s="9" t="s">
        <v>70</v>
      </c>
      <c r="F13" s="1" t="s">
        <v>68</v>
      </c>
      <c r="G13" s="1" t="s">
        <v>134</v>
      </c>
      <c r="H13" s="1" t="s">
        <v>39</v>
      </c>
      <c r="I13" s="8"/>
      <c r="J13" s="48" t="str">
        <f>PCC.Inputs!L61</f>
        <v>-</v>
      </c>
      <c r="K13" s="48" t="str">
        <f>PCC.Inputs!M61</f>
        <v>-</v>
      </c>
      <c r="L13" s="48" t="str">
        <f>PCC.Inputs!N61</f>
        <v>-</v>
      </c>
      <c r="M13" s="48" t="str">
        <f>PCC.Inputs!O61</f>
        <v>-</v>
      </c>
      <c r="N13" s="48" t="str">
        <f>PCC.Inputs!P61</f>
        <v>-</v>
      </c>
      <c r="O13" s="45"/>
      <c r="P13" s="45"/>
      <c r="Q13" s="45"/>
      <c r="R13" s="45"/>
      <c r="S13" s="45"/>
      <c r="T13" s="45"/>
      <c r="U13" s="38"/>
    </row>
    <row r="14" spans="1:21" s="1" customFormat="1" ht="13.15" hidden="1" outlineLevel="1" x14ac:dyDescent="0.35">
      <c r="A14" s="6"/>
      <c r="E14" s="9" t="s">
        <v>72</v>
      </c>
      <c r="F14" s="1" t="s">
        <v>68</v>
      </c>
      <c r="G14" s="1" t="s">
        <v>134</v>
      </c>
      <c r="H14" s="1" t="s">
        <v>39</v>
      </c>
      <c r="I14" s="8"/>
      <c r="J14" s="48" t="str">
        <f>PCC.Inputs!L62</f>
        <v>-</v>
      </c>
      <c r="K14" s="48" t="str">
        <f>PCC.Inputs!M62</f>
        <v>-</v>
      </c>
      <c r="L14" s="48" t="str">
        <f>PCC.Inputs!N62</f>
        <v>-</v>
      </c>
      <c r="M14" s="48" t="str">
        <f>PCC.Inputs!O62</f>
        <v>-</v>
      </c>
      <c r="N14" s="48" t="str">
        <f>PCC.Inputs!P62</f>
        <v>-</v>
      </c>
      <c r="O14" s="45"/>
      <c r="P14" s="45"/>
      <c r="Q14" s="45"/>
      <c r="R14" s="45"/>
      <c r="S14" s="45"/>
      <c r="T14" s="45"/>
      <c r="U14" s="38"/>
    </row>
    <row r="15" spans="1:21" s="1" customFormat="1" ht="13.15" hidden="1" outlineLevel="1" x14ac:dyDescent="0.35">
      <c r="A15" s="6"/>
      <c r="E15" s="1" t="s">
        <v>49</v>
      </c>
      <c r="F15" s="1" t="s">
        <v>68</v>
      </c>
      <c r="G15" s="1" t="s">
        <v>134</v>
      </c>
      <c r="H15" s="1" t="s">
        <v>39</v>
      </c>
      <c r="I15" s="8"/>
      <c r="J15" s="48" t="str">
        <f>PCC.Inputs!L63</f>
        <v>-</v>
      </c>
      <c r="K15" s="48" t="str">
        <f>PCC.Inputs!M63</f>
        <v>-</v>
      </c>
      <c r="L15" s="48" t="str">
        <f>PCC.Inputs!N63</f>
        <v>-</v>
      </c>
      <c r="M15" s="48" t="str">
        <f>PCC.Inputs!O63</f>
        <v>-</v>
      </c>
      <c r="N15" s="48">
        <f>PCC.Inputs!P63</f>
        <v>128.37</v>
      </c>
      <c r="O15" s="45"/>
      <c r="P15" s="45"/>
      <c r="Q15" s="45"/>
      <c r="R15" s="45"/>
      <c r="S15" s="45"/>
      <c r="T15" s="45"/>
      <c r="U15" s="38"/>
    </row>
    <row r="16" spans="1:21" s="1" customFormat="1" ht="13.15" hidden="1" outlineLevel="1" x14ac:dyDescent="0.35">
      <c r="A16" s="6"/>
      <c r="E16" s="1" t="s">
        <v>50</v>
      </c>
      <c r="F16" s="1" t="s">
        <v>68</v>
      </c>
      <c r="G16" s="1" t="s">
        <v>134</v>
      </c>
      <c r="H16" s="1" t="s">
        <v>39</v>
      </c>
      <c r="I16" s="8"/>
      <c r="J16" s="48" t="str">
        <f>PCC.Inputs!L64</f>
        <v>-</v>
      </c>
      <c r="K16" s="48" t="str">
        <f>PCC.Inputs!M64</f>
        <v>-</v>
      </c>
      <c r="L16" s="48" t="str">
        <f>PCC.Inputs!N64</f>
        <v>-</v>
      </c>
      <c r="M16" s="48" t="str">
        <f>PCC.Inputs!O64</f>
        <v>-</v>
      </c>
      <c r="N16" s="48" t="str">
        <f>PCC.Inputs!P64</f>
        <v>-</v>
      </c>
      <c r="O16" s="45"/>
      <c r="P16" s="45"/>
      <c r="Q16" s="45"/>
      <c r="R16" s="45"/>
      <c r="S16" s="45"/>
      <c r="T16" s="45"/>
      <c r="U16" s="38"/>
    </row>
    <row r="17" spans="1:21" s="1" customFormat="1" ht="13.15" hidden="1" outlineLevel="1" x14ac:dyDescent="0.35">
      <c r="A17" s="6"/>
      <c r="E17" s="1" t="s">
        <v>51</v>
      </c>
      <c r="F17" s="1" t="s">
        <v>68</v>
      </c>
      <c r="G17" s="1" t="s">
        <v>134</v>
      </c>
      <c r="H17" s="1" t="s">
        <v>39</v>
      </c>
      <c r="I17" s="8"/>
      <c r="J17" s="48">
        <f>PCC.Inputs!L65</f>
        <v>147.19999999999999</v>
      </c>
      <c r="K17" s="48">
        <f>PCC.Inputs!M65</f>
        <v>144.5</v>
      </c>
      <c r="L17" s="48">
        <f>PCC.Inputs!N65</f>
        <v>141.80000000000001</v>
      </c>
      <c r="M17" s="48">
        <f>PCC.Inputs!O65</f>
        <v>139.10000000000002</v>
      </c>
      <c r="N17" s="48">
        <f>PCC.Inputs!P65</f>
        <v>136.40000000000003</v>
      </c>
      <c r="O17" s="45"/>
      <c r="P17" s="45"/>
      <c r="Q17" s="45"/>
      <c r="R17" s="45"/>
      <c r="S17" s="45"/>
      <c r="T17" s="45"/>
      <c r="U17" s="38"/>
    </row>
    <row r="18" spans="1:21" s="1" customFormat="1" ht="13.15" hidden="1" outlineLevel="1" x14ac:dyDescent="0.35">
      <c r="A18" s="6"/>
      <c r="E18" s="1" t="s">
        <v>52</v>
      </c>
      <c r="F18" s="1" t="s">
        <v>68</v>
      </c>
      <c r="G18" s="1" t="s">
        <v>134</v>
      </c>
      <c r="H18" s="1" t="s">
        <v>39</v>
      </c>
      <c r="I18" s="8"/>
      <c r="J18" s="48" t="str">
        <f>PCC.Inputs!L66</f>
        <v>-</v>
      </c>
      <c r="K18" s="48" t="str">
        <f>PCC.Inputs!M66</f>
        <v>-</v>
      </c>
      <c r="L18" s="48" t="str">
        <f>PCC.Inputs!N66</f>
        <v>-</v>
      </c>
      <c r="M18" s="48" t="str">
        <f>PCC.Inputs!O66</f>
        <v>-</v>
      </c>
      <c r="N18" s="48" t="str">
        <f>PCC.Inputs!P66</f>
        <v>-</v>
      </c>
      <c r="O18" s="45"/>
      <c r="P18" s="45"/>
      <c r="Q18" s="45"/>
      <c r="R18" s="45"/>
      <c r="S18" s="45"/>
      <c r="T18" s="45"/>
      <c r="U18" s="38"/>
    </row>
    <row r="19" spans="1:21" s="1" customFormat="1" ht="13.15" hidden="1" outlineLevel="1" x14ac:dyDescent="0.35">
      <c r="A19" s="6"/>
      <c r="E19" s="1" t="s">
        <v>74</v>
      </c>
      <c r="F19" s="1" t="s">
        <v>68</v>
      </c>
      <c r="G19" s="1" t="s">
        <v>134</v>
      </c>
      <c r="H19" s="1" t="s">
        <v>39</v>
      </c>
      <c r="I19" s="8"/>
      <c r="J19" s="48" t="str">
        <f>PCC.Inputs!L67</f>
        <v>-</v>
      </c>
      <c r="K19" s="48" t="str">
        <f>PCC.Inputs!M67</f>
        <v>-</v>
      </c>
      <c r="L19" s="48" t="str">
        <f>PCC.Inputs!N67</f>
        <v>-</v>
      </c>
      <c r="M19" s="48" t="str">
        <f>PCC.Inputs!O67</f>
        <v>-</v>
      </c>
      <c r="N19" s="48" t="str">
        <f>PCC.Inputs!P67</f>
        <v>-</v>
      </c>
      <c r="O19" s="45"/>
      <c r="P19" s="45"/>
      <c r="Q19" s="45"/>
      <c r="R19" s="45"/>
      <c r="S19" s="45"/>
      <c r="T19" s="45"/>
      <c r="U19" s="38"/>
    </row>
    <row r="20" spans="1:21" s="1" customFormat="1" ht="13.15" hidden="1" outlineLevel="1" x14ac:dyDescent="0.35">
      <c r="A20" s="6"/>
      <c r="E20" s="1" t="s">
        <v>54</v>
      </c>
      <c r="F20" s="1" t="s">
        <v>68</v>
      </c>
      <c r="G20" s="1" t="s">
        <v>134</v>
      </c>
      <c r="H20" s="1" t="s">
        <v>39</v>
      </c>
      <c r="I20" s="8"/>
      <c r="J20" s="48">
        <f>PCC.Inputs!L68</f>
        <v>137</v>
      </c>
      <c r="K20" s="48">
        <f>PCC.Inputs!M68</f>
        <v>135</v>
      </c>
      <c r="L20" s="48">
        <f>PCC.Inputs!N68</f>
        <v>134</v>
      </c>
      <c r="M20" s="48">
        <f>PCC.Inputs!O68</f>
        <v>133</v>
      </c>
      <c r="N20" s="48">
        <f>PCC.Inputs!P68</f>
        <v>132</v>
      </c>
      <c r="O20" s="45"/>
      <c r="P20" s="45"/>
      <c r="Q20" s="45"/>
      <c r="R20" s="45"/>
      <c r="S20" s="45"/>
      <c r="T20" s="45"/>
      <c r="U20" s="38"/>
    </row>
    <row r="21" spans="1:21" s="1" customFormat="1" ht="13.15" hidden="1" outlineLevel="1" x14ac:dyDescent="0.35">
      <c r="A21" s="6"/>
      <c r="E21" s="1" t="s">
        <v>55</v>
      </c>
      <c r="F21" s="1" t="s">
        <v>68</v>
      </c>
      <c r="G21" s="1" t="s">
        <v>134</v>
      </c>
      <c r="H21" s="1" t="s">
        <v>39</v>
      </c>
      <c r="I21" s="8"/>
      <c r="J21" s="48">
        <f>PCC.Inputs!L69</f>
        <v>143.69999999999999</v>
      </c>
      <c r="K21" s="48">
        <f>PCC.Inputs!M69</f>
        <v>142.6</v>
      </c>
      <c r="L21" s="48">
        <f>PCC.Inputs!N69</f>
        <v>141.5</v>
      </c>
      <c r="M21" s="48">
        <f>PCC.Inputs!O69</f>
        <v>140.4</v>
      </c>
      <c r="N21" s="48">
        <f>PCC.Inputs!P69</f>
        <v>139.30000000000001</v>
      </c>
      <c r="O21" s="45"/>
      <c r="P21" s="45"/>
      <c r="Q21" s="45"/>
      <c r="R21" s="45"/>
      <c r="S21" s="45"/>
      <c r="T21" s="45"/>
      <c r="U21" s="38"/>
    </row>
    <row r="22" spans="1:21" s="1" customFormat="1" ht="13.15" hidden="1" outlineLevel="1" x14ac:dyDescent="0.35">
      <c r="A22" s="6"/>
      <c r="E22" s="1" t="s">
        <v>56</v>
      </c>
      <c r="F22" s="1" t="s">
        <v>68</v>
      </c>
      <c r="G22" s="1" t="s">
        <v>134</v>
      </c>
      <c r="H22" s="1" t="s">
        <v>39</v>
      </c>
      <c r="I22" s="8"/>
      <c r="J22" s="48">
        <f>PCC.Inputs!L70</f>
        <v>158.4</v>
      </c>
      <c r="K22" s="48">
        <f>PCC.Inputs!M70</f>
        <v>156.30000000000001</v>
      </c>
      <c r="L22" s="48">
        <f>PCC.Inputs!N70</f>
        <v>155.6</v>
      </c>
      <c r="M22" s="48">
        <f>PCC.Inputs!O70</f>
        <v>153.30000000000001</v>
      </c>
      <c r="N22" s="48">
        <f>PCC.Inputs!P70</f>
        <v>150.30000000000001</v>
      </c>
      <c r="O22" s="45"/>
      <c r="P22" s="45"/>
      <c r="Q22" s="45"/>
      <c r="R22" s="45"/>
      <c r="S22" s="45"/>
      <c r="T22" s="45"/>
      <c r="U22" s="38"/>
    </row>
    <row r="23" spans="1:21" s="1" customFormat="1" ht="13.15" hidden="1" outlineLevel="1" x14ac:dyDescent="0.35">
      <c r="A23" s="6"/>
      <c r="E23" s="1" t="s">
        <v>57</v>
      </c>
      <c r="F23" s="1" t="s">
        <v>68</v>
      </c>
      <c r="G23" s="1" t="s">
        <v>134</v>
      </c>
      <c r="H23" s="1" t="s">
        <v>39</v>
      </c>
      <c r="I23" s="8"/>
      <c r="J23" s="48">
        <f>PCC.Inputs!L71</f>
        <v>145.6</v>
      </c>
      <c r="K23" s="48">
        <f>PCC.Inputs!M71</f>
        <v>145.4</v>
      </c>
      <c r="L23" s="48">
        <f>PCC.Inputs!N71</f>
        <v>144.5</v>
      </c>
      <c r="M23" s="48">
        <f>PCC.Inputs!O71</f>
        <v>143.6</v>
      </c>
      <c r="N23" s="48">
        <f>PCC.Inputs!P71</f>
        <v>142.80000000000001</v>
      </c>
      <c r="O23" s="45"/>
      <c r="P23" s="45"/>
      <c r="Q23" s="45"/>
      <c r="R23" s="45"/>
      <c r="S23" s="45"/>
      <c r="T23" s="45"/>
      <c r="U23" s="38"/>
    </row>
    <row r="24" spans="1:21" s="1" customFormat="1" ht="13.15" hidden="1" outlineLevel="1" x14ac:dyDescent="0.35">
      <c r="A24" s="6"/>
      <c r="E24" s="1" t="s">
        <v>58</v>
      </c>
      <c r="F24" s="1" t="s">
        <v>68</v>
      </c>
      <c r="G24" s="1" t="s">
        <v>134</v>
      </c>
      <c r="H24" s="1" t="s">
        <v>39</v>
      </c>
      <c r="I24" s="8"/>
      <c r="J24" s="48" t="str">
        <f>PCC.Inputs!L72</f>
        <v>-</v>
      </c>
      <c r="K24" s="48" t="str">
        <f>PCC.Inputs!M72</f>
        <v>-</v>
      </c>
      <c r="L24" s="48" t="str">
        <f>PCC.Inputs!N72</f>
        <v>-</v>
      </c>
      <c r="M24" s="48" t="str">
        <f>PCC.Inputs!O72</f>
        <v>-</v>
      </c>
      <c r="N24" s="48" t="str">
        <f>PCC.Inputs!P72</f>
        <v>-</v>
      </c>
      <c r="O24" s="45"/>
      <c r="P24" s="45"/>
      <c r="Q24" s="45"/>
      <c r="R24" s="45"/>
      <c r="S24" s="45"/>
      <c r="T24" s="45"/>
      <c r="U24" s="38"/>
    </row>
    <row r="25" spans="1:21" s="1" customFormat="1" ht="13.15" hidden="1" outlineLevel="1" x14ac:dyDescent="0.35">
      <c r="A25" s="6"/>
      <c r="E25" s="1" t="s">
        <v>75</v>
      </c>
      <c r="F25" s="1" t="s">
        <v>68</v>
      </c>
      <c r="G25" s="1" t="s">
        <v>134</v>
      </c>
      <c r="H25" s="1" t="s">
        <v>39</v>
      </c>
      <c r="I25" s="8"/>
      <c r="J25" s="48" t="str">
        <f>PCC.Inputs!L73</f>
        <v>-</v>
      </c>
      <c r="K25" s="48" t="str">
        <f>PCC.Inputs!M73</f>
        <v>-</v>
      </c>
      <c r="L25" s="48" t="str">
        <f>PCC.Inputs!N73</f>
        <v>-</v>
      </c>
      <c r="M25" s="48" t="str">
        <f>PCC.Inputs!O73</f>
        <v>-</v>
      </c>
      <c r="N25" s="48" t="str">
        <f>PCC.Inputs!P73</f>
        <v>-</v>
      </c>
      <c r="O25" s="45"/>
      <c r="P25" s="45"/>
      <c r="Q25" s="45"/>
      <c r="R25" s="45"/>
      <c r="S25" s="45"/>
      <c r="T25" s="45"/>
      <c r="U25" s="38"/>
    </row>
    <row r="26" spans="1:21" s="1" customFormat="1" ht="13.15" hidden="1" outlineLevel="1" x14ac:dyDescent="0.35">
      <c r="A26" s="6"/>
      <c r="E26" s="1" t="s">
        <v>76</v>
      </c>
      <c r="F26" s="1" t="s">
        <v>68</v>
      </c>
      <c r="G26" s="1" t="s">
        <v>134</v>
      </c>
      <c r="H26" s="1" t="s">
        <v>39</v>
      </c>
      <c r="I26" s="8"/>
      <c r="J26" s="48" t="str">
        <f>PCC.Inputs!L74</f>
        <v>-</v>
      </c>
      <c r="K26" s="48" t="str">
        <f>PCC.Inputs!M74</f>
        <v>-</v>
      </c>
      <c r="L26" s="48" t="str">
        <f>PCC.Inputs!N74</f>
        <v>-</v>
      </c>
      <c r="M26" s="48" t="str">
        <f>PCC.Inputs!O74</f>
        <v>-</v>
      </c>
      <c r="N26" s="48" t="str">
        <f>PCC.Inputs!P74</f>
        <v>-</v>
      </c>
      <c r="O26" s="45"/>
      <c r="P26" s="45"/>
      <c r="Q26" s="45"/>
      <c r="R26" s="45"/>
      <c r="S26" s="45"/>
      <c r="T26" s="45"/>
      <c r="U26" s="38"/>
    </row>
    <row r="27" spans="1:21" s="1" customFormat="1" ht="13.15" hidden="1" outlineLevel="1" x14ac:dyDescent="0.35">
      <c r="A27" s="6"/>
      <c r="E27" s="1" t="s">
        <v>59</v>
      </c>
      <c r="F27" s="1" t="s">
        <v>68</v>
      </c>
      <c r="G27" s="1" t="s">
        <v>134</v>
      </c>
      <c r="H27" s="1" t="s">
        <v>39</v>
      </c>
      <c r="I27" s="8"/>
      <c r="J27" s="48">
        <f>PCC.Inputs!L75</f>
        <v>147.29</v>
      </c>
      <c r="K27" s="48">
        <f>PCC.Inputs!M75</f>
        <v>146.63</v>
      </c>
      <c r="L27" s="48">
        <f>PCC.Inputs!N75</f>
        <v>145.96</v>
      </c>
      <c r="M27" s="48">
        <f>PCC.Inputs!O75</f>
        <v>145.29</v>
      </c>
      <c r="N27" s="48">
        <f>PCC.Inputs!P75</f>
        <v>144.61000000000001</v>
      </c>
      <c r="O27" s="45"/>
      <c r="P27" s="45"/>
      <c r="Q27" s="45"/>
      <c r="R27" s="45"/>
      <c r="S27" s="45"/>
      <c r="T27" s="45"/>
      <c r="U27" s="38"/>
    </row>
    <row r="28" spans="1:21" s="1" customFormat="1" ht="13.15" hidden="1" outlineLevel="1" x14ac:dyDescent="0.35">
      <c r="A28" s="6"/>
      <c r="E28" s="1" t="s">
        <v>60</v>
      </c>
      <c r="F28" s="1" t="s">
        <v>68</v>
      </c>
      <c r="G28" s="1" t="s">
        <v>134</v>
      </c>
      <c r="H28" s="1" t="s">
        <v>39</v>
      </c>
      <c r="I28" s="8"/>
      <c r="J28" s="48" t="str">
        <f>PCC.Inputs!L76</f>
        <v>-</v>
      </c>
      <c r="K28" s="48" t="str">
        <f>PCC.Inputs!M76</f>
        <v>-</v>
      </c>
      <c r="L28" s="48" t="str">
        <f>PCC.Inputs!N76</f>
        <v>-</v>
      </c>
      <c r="M28" s="48" t="str">
        <f>PCC.Inputs!O76</f>
        <v>-</v>
      </c>
      <c r="N28" s="48" t="str">
        <f>PCC.Inputs!P76</f>
        <v>-</v>
      </c>
      <c r="O28" s="45"/>
      <c r="P28" s="45"/>
      <c r="Q28" s="45"/>
      <c r="R28" s="45"/>
      <c r="S28" s="45"/>
      <c r="T28" s="45"/>
      <c r="U28" s="38"/>
    </row>
    <row r="29" spans="1:21" s="1" customFormat="1" ht="13.15" hidden="1" outlineLevel="1" x14ac:dyDescent="0.35">
      <c r="A29" s="6"/>
      <c r="E29" s="1" t="s">
        <v>61</v>
      </c>
      <c r="F29" s="1" t="s">
        <v>68</v>
      </c>
      <c r="G29" s="1" t="s">
        <v>134</v>
      </c>
      <c r="H29" s="1" t="s">
        <v>39</v>
      </c>
      <c r="I29" s="8"/>
      <c r="J29" s="48">
        <f>PCC.Inputs!L77</f>
        <v>162.80000000000001</v>
      </c>
      <c r="K29" s="48">
        <f>PCC.Inputs!M77</f>
        <v>161.19999999999999</v>
      </c>
      <c r="L29" s="48">
        <f>PCC.Inputs!N77</f>
        <v>160</v>
      </c>
      <c r="M29" s="48">
        <f>PCC.Inputs!O77</f>
        <v>158.80000000000001</v>
      </c>
      <c r="N29" s="48">
        <f>PCC.Inputs!P77</f>
        <v>157.69999999999999</v>
      </c>
      <c r="O29" s="45"/>
      <c r="P29" s="45"/>
      <c r="Q29" s="45"/>
      <c r="R29" s="45"/>
      <c r="S29" s="45"/>
      <c r="T29" s="45"/>
      <c r="U29" s="38"/>
    </row>
    <row r="30" spans="1:21" collapsed="1" x14ac:dyDescent="0.45">
      <c r="J30" s="112"/>
      <c r="K30" s="112"/>
      <c r="L30" s="112"/>
      <c r="M30" s="112"/>
      <c r="N30" s="112"/>
      <c r="O30" s="112"/>
      <c r="P30" s="112"/>
      <c r="Q30" s="112"/>
      <c r="R30" s="112"/>
      <c r="S30" s="112"/>
      <c r="T30" s="112"/>
    </row>
    <row r="31" spans="1:21" s="90" customFormat="1" ht="13.15" x14ac:dyDescent="0.35">
      <c r="A31" s="90" t="s">
        <v>135</v>
      </c>
      <c r="J31" s="91"/>
      <c r="K31" s="91"/>
      <c r="L31" s="91"/>
      <c r="M31" s="91"/>
      <c r="N31" s="91"/>
      <c r="O31" s="91"/>
      <c r="P31" s="91"/>
      <c r="Q31" s="91"/>
      <c r="R31" s="91"/>
      <c r="S31" s="91"/>
      <c r="T31" s="91"/>
      <c r="U31" s="91"/>
    </row>
    <row r="32" spans="1:21" s="1" customFormat="1" ht="13.15" x14ac:dyDescent="0.35">
      <c r="A32" s="6"/>
      <c r="J32" s="49"/>
      <c r="K32" s="49"/>
      <c r="L32" s="49"/>
      <c r="M32" s="49"/>
      <c r="N32" s="49"/>
      <c r="O32" s="49"/>
      <c r="P32" s="49"/>
      <c r="Q32" s="49"/>
      <c r="R32" s="49"/>
      <c r="S32" s="49"/>
      <c r="T32" s="49"/>
      <c r="U32" s="38"/>
    </row>
    <row r="33" spans="1:21" s="1" customFormat="1" ht="13.15" x14ac:dyDescent="0.35">
      <c r="A33" s="6"/>
      <c r="E33" s="1" t="s">
        <v>36</v>
      </c>
      <c r="F33" s="1" t="s">
        <v>68</v>
      </c>
      <c r="G33" s="1" t="s">
        <v>136</v>
      </c>
      <c r="H33" s="1" t="s">
        <v>39</v>
      </c>
      <c r="I33" s="8"/>
      <c r="J33" s="45"/>
      <c r="K33" s="45"/>
      <c r="L33" s="45"/>
      <c r="M33" s="45"/>
      <c r="N33" s="45"/>
      <c r="O33" s="48">
        <f>PCC.Inputs!Q81</f>
        <v>135.59087631573109</v>
      </c>
      <c r="P33" s="48">
        <f>PCC.Inputs!R81</f>
        <v>133.92000000000002</v>
      </c>
      <c r="Q33" s="48">
        <f>PCC.Inputs!S81</f>
        <v>132.30000000000001</v>
      </c>
      <c r="R33" s="48">
        <f>PCC.Inputs!T81</f>
        <v>130.68000000000004</v>
      </c>
      <c r="S33" s="48">
        <f>PCC.Inputs!U81</f>
        <v>127.44</v>
      </c>
      <c r="T33" s="48">
        <f>PCC.Inputs!V81</f>
        <v>127.44000000000003</v>
      </c>
      <c r="U33" s="38"/>
    </row>
    <row r="34" spans="1:21" s="1" customFormat="1" ht="13.15" hidden="1" outlineLevel="1" x14ac:dyDescent="0.35">
      <c r="A34" s="6"/>
      <c r="E34" s="1" t="s">
        <v>46</v>
      </c>
      <c r="F34" s="1" t="s">
        <v>68</v>
      </c>
      <c r="G34" s="1" t="s">
        <v>136</v>
      </c>
      <c r="H34" s="1" t="s">
        <v>39</v>
      </c>
      <c r="I34" s="8"/>
      <c r="J34" s="45"/>
      <c r="K34" s="45"/>
      <c r="L34" s="45"/>
      <c r="M34" s="45"/>
      <c r="N34" s="45"/>
      <c r="O34" s="48">
        <f>PCC.Inputs!Q82</f>
        <v>155.81055216354875</v>
      </c>
      <c r="P34" s="48">
        <f>PCC.Inputs!R82</f>
        <v>153.68099999999998</v>
      </c>
      <c r="Q34" s="48">
        <f>PCC.Inputs!S82</f>
        <v>152.12866666666665</v>
      </c>
      <c r="R34" s="48">
        <f>PCC.Inputs!T82</f>
        <v>150.57633333333331</v>
      </c>
      <c r="S34" s="48">
        <f>PCC.Inputs!U82</f>
        <v>145.44999999999999</v>
      </c>
      <c r="T34" s="48">
        <f>PCC.Inputs!V82</f>
        <v>145.45363333333333</v>
      </c>
      <c r="U34" s="38"/>
    </row>
    <row r="35" spans="1:21" s="1" customFormat="1" ht="13.15" hidden="1" outlineLevel="1" x14ac:dyDescent="0.35">
      <c r="A35" s="6"/>
      <c r="E35" s="1" t="s">
        <v>47</v>
      </c>
      <c r="F35" s="1" t="s">
        <v>68</v>
      </c>
      <c r="G35" s="1" t="s">
        <v>136</v>
      </c>
      <c r="H35" s="1" t="s">
        <v>39</v>
      </c>
      <c r="I35" s="8"/>
      <c r="J35" s="45"/>
      <c r="K35" s="45"/>
      <c r="L35" s="45"/>
      <c r="M35" s="45"/>
      <c r="N35" s="45"/>
      <c r="O35" s="48">
        <f>PCC.Inputs!Q83</f>
        <v>133.39011190472544</v>
      </c>
      <c r="P35" s="48">
        <f>PCC.Inputs!R83</f>
        <v>132.26546666666667</v>
      </c>
      <c r="Q35" s="48">
        <f>PCC.Inputs!S83</f>
        <v>131.06426666666667</v>
      </c>
      <c r="R35" s="48">
        <f>PCC.Inputs!T83</f>
        <v>129.86306666666667</v>
      </c>
      <c r="S35" s="48">
        <f>PCC.Inputs!U83</f>
        <v>127.86</v>
      </c>
      <c r="T35" s="48">
        <f>PCC.Inputs!V83</f>
        <v>127.86106666666666</v>
      </c>
      <c r="U35" s="38"/>
    </row>
    <row r="36" spans="1:21" s="1" customFormat="1" ht="13.15" hidden="1" outlineLevel="1" x14ac:dyDescent="0.35">
      <c r="A36" s="6"/>
      <c r="E36" s="1" t="s">
        <v>48</v>
      </c>
      <c r="F36" s="1" t="s">
        <v>68</v>
      </c>
      <c r="G36" s="1" t="s">
        <v>136</v>
      </c>
      <c r="H36" s="1" t="s">
        <v>39</v>
      </c>
      <c r="I36" s="8"/>
      <c r="J36" s="45"/>
      <c r="K36" s="45"/>
      <c r="L36" s="45"/>
      <c r="M36" s="45"/>
      <c r="N36" s="45"/>
      <c r="O36" s="48">
        <f>PCC.Inputs!Q84</f>
        <v>151.17270927162315</v>
      </c>
      <c r="P36" s="48">
        <f>PCC.Inputs!R84</f>
        <v>149.42826666666664</v>
      </c>
      <c r="Q36" s="48">
        <f>PCC.Inputs!S84</f>
        <v>147.92193333333333</v>
      </c>
      <c r="R36" s="48">
        <f>PCC.Inputs!T84</f>
        <v>146.26496666666665</v>
      </c>
      <c r="S36" s="48">
        <f>PCC.Inputs!U84</f>
        <v>142.65</v>
      </c>
      <c r="T36" s="48">
        <f>PCC.Inputs!V84</f>
        <v>142.64976666666666</v>
      </c>
      <c r="U36" s="38"/>
    </row>
    <row r="37" spans="1:21" s="1" customFormat="1" ht="13.15" hidden="1" outlineLevel="1" x14ac:dyDescent="0.35">
      <c r="A37" s="6"/>
      <c r="E37" s="9" t="s">
        <v>70</v>
      </c>
      <c r="F37" s="1" t="s">
        <v>68</v>
      </c>
      <c r="G37" s="1" t="s">
        <v>136</v>
      </c>
      <c r="H37" s="1" t="s">
        <v>39</v>
      </c>
      <c r="I37" s="8"/>
      <c r="J37" s="45"/>
      <c r="K37" s="45"/>
      <c r="L37" s="45"/>
      <c r="M37" s="45"/>
      <c r="N37" s="45"/>
      <c r="O37" s="48" t="str">
        <f>PCC.Inputs!Q85</f>
        <v>-</v>
      </c>
      <c r="P37" s="48" t="str">
        <f>PCC.Inputs!R85</f>
        <v>-</v>
      </c>
      <c r="Q37" s="48" t="str">
        <f>PCC.Inputs!S85</f>
        <v>-</v>
      </c>
      <c r="R37" s="48" t="str">
        <f>PCC.Inputs!T85</f>
        <v>-</v>
      </c>
      <c r="S37" s="48" t="str">
        <f>PCC.Inputs!U85</f>
        <v>-</v>
      </c>
      <c r="T37" s="48" t="str">
        <f>PCC.Inputs!V85</f>
        <v>-</v>
      </c>
      <c r="U37" s="38"/>
    </row>
    <row r="38" spans="1:21" s="1" customFormat="1" ht="13.15" hidden="1" outlineLevel="1" x14ac:dyDescent="0.35">
      <c r="A38" s="6"/>
      <c r="E38" s="9" t="s">
        <v>72</v>
      </c>
      <c r="F38" s="1" t="s">
        <v>68</v>
      </c>
      <c r="G38" s="1" t="s">
        <v>136</v>
      </c>
      <c r="H38" s="1" t="s">
        <v>39</v>
      </c>
      <c r="I38" s="8"/>
      <c r="J38" s="45"/>
      <c r="K38" s="45"/>
      <c r="L38" s="45"/>
      <c r="M38" s="45"/>
      <c r="N38" s="45"/>
      <c r="O38" s="48" t="str">
        <f>PCC.Inputs!Q86</f>
        <v>-</v>
      </c>
      <c r="P38" s="48" t="str">
        <f>PCC.Inputs!R86</f>
        <v>-</v>
      </c>
      <c r="Q38" s="48" t="str">
        <f>PCC.Inputs!S86</f>
        <v>-</v>
      </c>
      <c r="R38" s="48" t="str">
        <f>PCC.Inputs!T86</f>
        <v>-</v>
      </c>
      <c r="S38" s="48" t="str">
        <f>PCC.Inputs!U86</f>
        <v>-</v>
      </c>
      <c r="T38" s="48" t="str">
        <f>PCC.Inputs!V86</f>
        <v>-</v>
      </c>
      <c r="U38" s="38"/>
    </row>
    <row r="39" spans="1:21" s="1" customFormat="1" ht="13.15" hidden="1" outlineLevel="1" x14ac:dyDescent="0.35">
      <c r="A39" s="6"/>
      <c r="E39" s="1" t="s">
        <v>49</v>
      </c>
      <c r="F39" s="1" t="s">
        <v>68</v>
      </c>
      <c r="G39" s="1" t="s">
        <v>136</v>
      </c>
      <c r="H39" s="1" t="s">
        <v>39</v>
      </c>
      <c r="I39" s="8"/>
      <c r="J39" s="45"/>
      <c r="K39" s="45"/>
      <c r="L39" s="45"/>
      <c r="M39" s="45"/>
      <c r="N39" s="45"/>
      <c r="O39" s="48">
        <f>PCC.Inputs!Q87</f>
        <v>130.11639719453362</v>
      </c>
      <c r="P39" s="48">
        <f>PCC.Inputs!R87</f>
        <v>129.1893</v>
      </c>
      <c r="Q39" s="48">
        <f>PCC.Inputs!S87</f>
        <v>128.27859999999998</v>
      </c>
      <c r="R39" s="48">
        <f>PCC.Inputs!T87</f>
        <v>127.36789999999999</v>
      </c>
      <c r="S39" s="48">
        <f>PCC.Inputs!U87</f>
        <v>125.55</v>
      </c>
      <c r="T39" s="48">
        <f>PCC.Inputs!V87</f>
        <v>125.54649999999999</v>
      </c>
      <c r="U39" s="38"/>
    </row>
    <row r="40" spans="1:21" s="1" customFormat="1" ht="13.15" hidden="1" outlineLevel="1" x14ac:dyDescent="0.35">
      <c r="A40" s="6"/>
      <c r="E40" s="1" t="s">
        <v>50</v>
      </c>
      <c r="F40" s="1" t="s">
        <v>68</v>
      </c>
      <c r="G40" s="1" t="s">
        <v>136</v>
      </c>
      <c r="H40" s="1" t="s">
        <v>39</v>
      </c>
      <c r="I40" s="8"/>
      <c r="J40" s="45"/>
      <c r="K40" s="45"/>
      <c r="L40" s="45"/>
      <c r="M40" s="45"/>
      <c r="N40" s="45"/>
      <c r="O40" s="48">
        <f>PCC.Inputs!Q88</f>
        <v>146.31797762547529</v>
      </c>
      <c r="P40" s="48">
        <f>PCC.Inputs!R88</f>
        <v>144.39400000000001</v>
      </c>
      <c r="Q40" s="48">
        <f>PCC.Inputs!S88</f>
        <v>142.642</v>
      </c>
      <c r="R40" s="48">
        <f>PCC.Inputs!T88</f>
        <v>140.744</v>
      </c>
      <c r="S40" s="48">
        <f>PCC.Inputs!U88</f>
        <v>136.94999999999999</v>
      </c>
      <c r="T40" s="48">
        <f>PCC.Inputs!V88</f>
        <v>136.94799999999998</v>
      </c>
      <c r="U40" s="38"/>
    </row>
    <row r="41" spans="1:21" s="1" customFormat="1" ht="13.15" hidden="1" outlineLevel="1" x14ac:dyDescent="0.35">
      <c r="A41" s="6"/>
      <c r="E41" s="1" t="s">
        <v>51</v>
      </c>
      <c r="F41" s="1" t="s">
        <v>68</v>
      </c>
      <c r="G41" s="1" t="s">
        <v>136</v>
      </c>
      <c r="H41" s="1" t="s">
        <v>39</v>
      </c>
      <c r="I41" s="8"/>
      <c r="J41" s="45"/>
      <c r="K41" s="45"/>
      <c r="L41" s="45"/>
      <c r="M41" s="45"/>
      <c r="N41" s="45"/>
      <c r="O41" s="48">
        <f>PCC.Inputs!Q89</f>
        <v>128.75369761639615</v>
      </c>
      <c r="P41" s="48">
        <f>PCC.Inputs!R89</f>
        <v>126.68699999999998</v>
      </c>
      <c r="Q41" s="48">
        <f>PCC.Inputs!S89</f>
        <v>125.40733333333331</v>
      </c>
      <c r="R41" s="48">
        <f>PCC.Inputs!T89</f>
        <v>122.46409999999999</v>
      </c>
      <c r="S41" s="48">
        <f>PCC.Inputs!U89</f>
        <v>118.75</v>
      </c>
      <c r="T41" s="48">
        <f>PCC.Inputs!V89</f>
        <v>118.75306666666664</v>
      </c>
      <c r="U41" s="38"/>
    </row>
    <row r="42" spans="1:21" s="1" customFormat="1" ht="13.15" hidden="1" outlineLevel="1" x14ac:dyDescent="0.35">
      <c r="A42" s="6"/>
      <c r="E42" s="1" t="s">
        <v>52</v>
      </c>
      <c r="F42" s="1" t="s">
        <v>68</v>
      </c>
      <c r="G42" s="1" t="s">
        <v>136</v>
      </c>
      <c r="H42" s="1" t="s">
        <v>39</v>
      </c>
      <c r="I42" s="8"/>
      <c r="J42" s="45"/>
      <c r="K42" s="45"/>
      <c r="L42" s="45"/>
      <c r="M42" s="45"/>
      <c r="N42" s="45"/>
      <c r="O42" s="48">
        <f>PCC.Inputs!Q90</f>
        <v>146.29119514109132</v>
      </c>
      <c r="P42" s="48">
        <f>PCC.Inputs!R90</f>
        <v>144.32806666666664</v>
      </c>
      <c r="Q42" s="48">
        <f>PCC.Inputs!S90</f>
        <v>142.57686666666663</v>
      </c>
      <c r="R42" s="48">
        <f>PCC.Inputs!T90</f>
        <v>140.97159999999997</v>
      </c>
      <c r="S42" s="48">
        <f>PCC.Inputs!U90</f>
        <v>136.74</v>
      </c>
      <c r="T42" s="48">
        <f>PCC.Inputs!V90</f>
        <v>136.73953333333333</v>
      </c>
      <c r="U42" s="38"/>
    </row>
    <row r="43" spans="1:21" s="1" customFormat="1" ht="13.15" hidden="1" outlineLevel="1" x14ac:dyDescent="0.35">
      <c r="A43" s="6"/>
      <c r="E43" s="1" t="s">
        <v>74</v>
      </c>
      <c r="F43" s="1" t="s">
        <v>68</v>
      </c>
      <c r="G43" s="1" t="s">
        <v>136</v>
      </c>
      <c r="H43" s="1" t="s">
        <v>39</v>
      </c>
      <c r="I43" s="8"/>
      <c r="J43" s="45"/>
      <c r="K43" s="45"/>
      <c r="L43" s="45"/>
      <c r="M43" s="45"/>
      <c r="N43" s="45"/>
      <c r="O43" s="48">
        <f>PCC.Inputs!Q91</f>
        <v>143.98725872038253</v>
      </c>
      <c r="P43" s="48">
        <f>PCC.Inputs!R91</f>
        <v>142.12799999999999</v>
      </c>
      <c r="Q43" s="48">
        <f>PCC.Inputs!S91</f>
        <v>140.256</v>
      </c>
      <c r="R43" s="48">
        <f>PCC.Inputs!T91</f>
        <v>138.38399999999999</v>
      </c>
      <c r="S43" s="48">
        <f>PCC.Inputs!U91</f>
        <v>134.93</v>
      </c>
      <c r="T43" s="48">
        <f>PCC.Inputs!V91</f>
        <v>134.928</v>
      </c>
      <c r="U43" s="38"/>
    </row>
    <row r="44" spans="1:21" s="1" customFormat="1" ht="13.15" hidden="1" outlineLevel="1" x14ac:dyDescent="0.35">
      <c r="A44" s="6"/>
      <c r="E44" s="1" t="s">
        <v>54</v>
      </c>
      <c r="F44" s="1" t="s">
        <v>68</v>
      </c>
      <c r="G44" s="1" t="s">
        <v>136</v>
      </c>
      <c r="H44" s="1" t="s">
        <v>39</v>
      </c>
      <c r="I44" s="8"/>
      <c r="J44" s="45"/>
      <c r="K44" s="45"/>
      <c r="L44" s="45"/>
      <c r="M44" s="45"/>
      <c r="N44" s="45"/>
      <c r="O44" s="48">
        <f>PCC.Inputs!Q92</f>
        <v>137.97276495924646</v>
      </c>
      <c r="P44" s="48">
        <f>PCC.Inputs!R92</f>
        <v>137.69550000000001</v>
      </c>
      <c r="Q44" s="48">
        <f>PCC.Inputs!S92</f>
        <v>137.55766666666668</v>
      </c>
      <c r="R44" s="48">
        <f>PCC.Inputs!T92</f>
        <v>137.41983333333334</v>
      </c>
      <c r="S44" s="48">
        <f>PCC.Inputs!U92</f>
        <v>136.59</v>
      </c>
      <c r="T44" s="48">
        <f>PCC.Inputs!V92</f>
        <v>136.59283333333335</v>
      </c>
      <c r="U44" s="38"/>
    </row>
    <row r="45" spans="1:21" s="1" customFormat="1" ht="13.15" hidden="1" outlineLevel="1" x14ac:dyDescent="0.35">
      <c r="A45" s="6"/>
      <c r="E45" s="1" t="s">
        <v>55</v>
      </c>
      <c r="F45" s="1" t="s">
        <v>68</v>
      </c>
      <c r="G45" s="1" t="s">
        <v>136</v>
      </c>
      <c r="H45" s="1" t="s">
        <v>39</v>
      </c>
      <c r="I45" s="8"/>
      <c r="J45" s="45"/>
      <c r="K45" s="45"/>
      <c r="L45" s="45"/>
      <c r="M45" s="45"/>
      <c r="N45" s="45"/>
      <c r="O45" s="48">
        <f>PCC.Inputs!Q93</f>
        <v>127.30305697210653</v>
      </c>
      <c r="P45" s="48">
        <f>PCC.Inputs!R93</f>
        <v>125.12319999999998</v>
      </c>
      <c r="Q45" s="48">
        <f>PCC.Inputs!S93</f>
        <v>121.91819999999998</v>
      </c>
      <c r="R45" s="48">
        <f>PCC.Inputs!T93</f>
        <v>118.71319999999999</v>
      </c>
      <c r="S45" s="48">
        <f>PCC.Inputs!U93</f>
        <v>116.79</v>
      </c>
      <c r="T45" s="48">
        <f>PCC.Inputs!V93</f>
        <v>116.7902</v>
      </c>
      <c r="U45" s="38"/>
    </row>
    <row r="46" spans="1:21" s="1" customFormat="1" ht="13.15" hidden="1" outlineLevel="1" x14ac:dyDescent="0.35">
      <c r="A46" s="6"/>
      <c r="E46" s="1" t="s">
        <v>56</v>
      </c>
      <c r="F46" s="1" t="s">
        <v>68</v>
      </c>
      <c r="G46" s="1" t="s">
        <v>136</v>
      </c>
      <c r="H46" s="1" t="s">
        <v>39</v>
      </c>
      <c r="I46" s="8"/>
      <c r="J46" s="45"/>
      <c r="K46" s="45"/>
      <c r="L46" s="45"/>
      <c r="M46" s="45"/>
      <c r="N46" s="45"/>
      <c r="O46" s="48">
        <f>PCC.Inputs!Q94</f>
        <v>156.96516721671509</v>
      </c>
      <c r="P46" s="48">
        <f>PCC.Inputs!R94</f>
        <v>152.4633</v>
      </c>
      <c r="Q46" s="48">
        <f>PCC.Inputs!S94</f>
        <v>147.50009999999997</v>
      </c>
      <c r="R46" s="48">
        <f>PCC.Inputs!T94</f>
        <v>143.77770000000001</v>
      </c>
      <c r="S46" s="48">
        <f>PCC.Inputs!U94</f>
        <v>135.71</v>
      </c>
      <c r="T46" s="48">
        <f>PCC.Inputs!V94</f>
        <v>135.71250000000001</v>
      </c>
      <c r="U46" s="38"/>
    </row>
    <row r="47" spans="1:21" s="1" customFormat="1" ht="13.15" hidden="1" outlineLevel="1" x14ac:dyDescent="0.35">
      <c r="A47" s="6"/>
      <c r="E47" s="1" t="s">
        <v>57</v>
      </c>
      <c r="F47" s="1" t="s">
        <v>68</v>
      </c>
      <c r="G47" s="1" t="s">
        <v>136</v>
      </c>
      <c r="H47" s="1" t="s">
        <v>39</v>
      </c>
      <c r="I47" s="8"/>
      <c r="J47" s="45"/>
      <c r="K47" s="45"/>
      <c r="L47" s="45"/>
      <c r="M47" s="45"/>
      <c r="N47" s="45"/>
      <c r="O47" s="48">
        <f>PCC.Inputs!Q95</f>
        <v>148.85349477898805</v>
      </c>
      <c r="P47" s="48">
        <f>PCC.Inputs!R95</f>
        <v>146.9314</v>
      </c>
      <c r="Q47" s="48">
        <f>PCC.Inputs!S95</f>
        <v>144.99613333333335</v>
      </c>
      <c r="R47" s="48">
        <f>PCC.Inputs!T95</f>
        <v>143.06086666666667</v>
      </c>
      <c r="S47" s="48">
        <f>PCC.Inputs!U95</f>
        <v>139.49</v>
      </c>
      <c r="T47" s="48">
        <f>PCC.Inputs!V95</f>
        <v>139.48806666666667</v>
      </c>
      <c r="U47" s="38"/>
    </row>
    <row r="48" spans="1:21" s="1" customFormat="1" ht="13.15" hidden="1" outlineLevel="1" x14ac:dyDescent="0.35">
      <c r="A48" s="6"/>
      <c r="E48" s="1" t="s">
        <v>58</v>
      </c>
      <c r="F48" s="1" t="s">
        <v>68</v>
      </c>
      <c r="G48" s="1" t="s">
        <v>136</v>
      </c>
      <c r="H48" s="1" t="s">
        <v>39</v>
      </c>
      <c r="I48" s="8"/>
      <c r="J48" s="45"/>
      <c r="K48" s="45"/>
      <c r="L48" s="45"/>
      <c r="M48" s="45"/>
      <c r="N48" s="45"/>
      <c r="O48" s="48" t="str">
        <f>PCC.Inputs!Q96</f>
        <v>-</v>
      </c>
      <c r="P48" s="48" t="str">
        <f>PCC.Inputs!R96</f>
        <v>-</v>
      </c>
      <c r="Q48" s="48" t="str">
        <f>PCC.Inputs!S96</f>
        <v>-</v>
      </c>
      <c r="R48" s="48" t="str">
        <f>PCC.Inputs!T96</f>
        <v>-</v>
      </c>
      <c r="S48" s="48" t="str">
        <f>PCC.Inputs!U96</f>
        <v>-</v>
      </c>
      <c r="T48" s="48" t="str">
        <f>PCC.Inputs!V96</f>
        <v>-</v>
      </c>
      <c r="U48" s="38"/>
    </row>
    <row r="49" spans="1:21" s="1" customFormat="1" ht="13.15" hidden="1" outlineLevel="1" x14ac:dyDescent="0.35">
      <c r="A49" s="6"/>
      <c r="E49" s="1" t="s">
        <v>75</v>
      </c>
      <c r="F49" s="1" t="s">
        <v>68</v>
      </c>
      <c r="G49" s="1" t="s">
        <v>136</v>
      </c>
      <c r="H49" s="1" t="s">
        <v>39</v>
      </c>
      <c r="I49" s="8"/>
      <c r="J49" s="45"/>
      <c r="K49" s="45"/>
      <c r="L49" s="45"/>
      <c r="M49" s="45"/>
      <c r="N49" s="45"/>
      <c r="O49" s="48">
        <f>PCC.Inputs!Q97</f>
        <v>128.3124960987829</v>
      </c>
      <c r="P49" s="48">
        <f>PCC.Inputs!R97</f>
        <v>128.11879999999999</v>
      </c>
      <c r="Q49" s="48">
        <f>PCC.Inputs!S97</f>
        <v>127.99016666666665</v>
      </c>
      <c r="R49" s="48">
        <f>PCC.Inputs!T97</f>
        <v>127.73289999999999</v>
      </c>
      <c r="S49" s="48">
        <f>PCC.Inputs!U97</f>
        <v>127.35</v>
      </c>
      <c r="T49" s="48">
        <f>PCC.Inputs!V97</f>
        <v>127.34699999999999</v>
      </c>
      <c r="U49" s="38"/>
    </row>
    <row r="50" spans="1:21" s="1" customFormat="1" ht="13.15" hidden="1" outlineLevel="1" x14ac:dyDescent="0.35">
      <c r="A50" s="6"/>
      <c r="E50" s="1" t="s">
        <v>76</v>
      </c>
      <c r="F50" s="1" t="s">
        <v>68</v>
      </c>
      <c r="G50" s="1" t="s">
        <v>136</v>
      </c>
      <c r="H50" s="1" t="s">
        <v>39</v>
      </c>
      <c r="I50" s="8"/>
      <c r="J50" s="45"/>
      <c r="K50" s="45"/>
      <c r="L50" s="45"/>
      <c r="M50" s="45"/>
      <c r="N50" s="45"/>
      <c r="O50" s="48">
        <f>PCC.Inputs!Q98</f>
        <v>134.95880913322492</v>
      </c>
      <c r="P50" s="48">
        <f>PCC.Inputs!R98</f>
        <v>133.18239999999997</v>
      </c>
      <c r="Q50" s="48">
        <f>PCC.Inputs!S98</f>
        <v>131.42999999999998</v>
      </c>
      <c r="R50" s="48">
        <f>PCC.Inputs!T98</f>
        <v>129.81239999999997</v>
      </c>
      <c r="S50" s="48">
        <f>PCC.Inputs!U98</f>
        <v>126.31</v>
      </c>
      <c r="T50" s="48">
        <f>PCC.Inputs!V98</f>
        <v>126.30759999999999</v>
      </c>
      <c r="U50" s="38"/>
    </row>
    <row r="51" spans="1:21" s="1" customFormat="1" ht="13.15" hidden="1" outlineLevel="1" x14ac:dyDescent="0.35">
      <c r="A51" s="6"/>
      <c r="E51" s="1" t="s">
        <v>59</v>
      </c>
      <c r="F51" s="1" t="s">
        <v>68</v>
      </c>
      <c r="G51" s="1" t="s">
        <v>136</v>
      </c>
      <c r="H51" s="1" t="s">
        <v>39</v>
      </c>
      <c r="I51" s="8"/>
      <c r="J51" s="45"/>
      <c r="K51" s="45"/>
      <c r="L51" s="45"/>
      <c r="M51" s="45"/>
      <c r="N51" s="45"/>
      <c r="O51" s="48">
        <f>PCC.Inputs!Q99</f>
        <v>150.85333766738594</v>
      </c>
      <c r="P51" s="48">
        <f>PCC.Inputs!R99</f>
        <v>148.90540000000001</v>
      </c>
      <c r="Q51" s="48">
        <f>PCC.Inputs!S99</f>
        <v>147.095</v>
      </c>
      <c r="R51" s="48">
        <f>PCC.Inputs!T99</f>
        <v>145.13373333333334</v>
      </c>
      <c r="S51" s="48">
        <f>PCC.Inputs!U99</f>
        <v>141.36000000000001</v>
      </c>
      <c r="T51" s="48">
        <f>PCC.Inputs!V99</f>
        <v>141.36206666666669</v>
      </c>
      <c r="U51" s="38"/>
    </row>
    <row r="52" spans="1:21" s="1" customFormat="1" ht="13.15" hidden="1" outlineLevel="1" x14ac:dyDescent="0.35">
      <c r="A52" s="6"/>
      <c r="E52" s="1" t="s">
        <v>60</v>
      </c>
      <c r="F52" s="1" t="s">
        <v>68</v>
      </c>
      <c r="G52" s="1" t="s">
        <v>136</v>
      </c>
      <c r="H52" s="1" t="s">
        <v>39</v>
      </c>
      <c r="I52" s="8"/>
      <c r="J52" s="45"/>
      <c r="K52" s="45"/>
      <c r="L52" s="45"/>
      <c r="M52" s="45"/>
      <c r="N52" s="45"/>
      <c r="O52" s="48">
        <f>PCC.Inputs!Q100</f>
        <v>144.70114863905428</v>
      </c>
      <c r="P52" s="48">
        <f>PCC.Inputs!R100</f>
        <v>142.416</v>
      </c>
      <c r="Q52" s="48">
        <f>PCC.Inputs!S100</f>
        <v>139.82399999999998</v>
      </c>
      <c r="R52" s="48">
        <f>PCC.Inputs!T100</f>
        <v>137.376</v>
      </c>
      <c r="S52" s="48">
        <f>PCC.Inputs!U100</f>
        <v>133.63</v>
      </c>
      <c r="T52" s="48">
        <f>PCC.Inputs!V100</f>
        <v>133.63200000000001</v>
      </c>
      <c r="U52" s="38"/>
    </row>
    <row r="53" spans="1:21" s="1" customFormat="1" ht="13.15" hidden="1" outlineLevel="1" x14ac:dyDescent="0.35">
      <c r="A53" s="6"/>
      <c r="E53" s="1" t="s">
        <v>61</v>
      </c>
      <c r="F53" s="1" t="s">
        <v>68</v>
      </c>
      <c r="G53" s="1" t="s">
        <v>136</v>
      </c>
      <c r="H53" s="1" t="s">
        <v>39</v>
      </c>
      <c r="I53" s="8"/>
      <c r="J53" s="38"/>
      <c r="K53" s="38"/>
      <c r="L53" s="38"/>
      <c r="M53" s="38"/>
      <c r="N53" s="38"/>
      <c r="O53" s="48">
        <f>PCC.Inputs!Q101</f>
        <v>149.40520725792797</v>
      </c>
      <c r="P53" s="48">
        <f>PCC.Inputs!R101</f>
        <v>147.24599999999998</v>
      </c>
      <c r="Q53" s="48">
        <f>PCC.Inputs!S101</f>
        <v>145.31246666666664</v>
      </c>
      <c r="R53" s="48">
        <f>PCC.Inputs!T101</f>
        <v>143.08146666666664</v>
      </c>
      <c r="S53" s="48">
        <f>PCC.Inputs!U101</f>
        <v>138.91999999999999</v>
      </c>
      <c r="T53" s="48">
        <f>PCC.Inputs!V101</f>
        <v>138.9169333333333</v>
      </c>
      <c r="U53" s="38"/>
    </row>
    <row r="54" spans="1:21" s="1" customFormat="1" ht="13.15" collapsed="1" x14ac:dyDescent="0.35">
      <c r="A54" s="6"/>
      <c r="I54" s="8"/>
      <c r="J54" s="42"/>
      <c r="K54" s="42"/>
      <c r="L54" s="42"/>
      <c r="M54" s="42"/>
      <c r="N54" s="42"/>
      <c r="O54" s="42"/>
      <c r="P54" s="42"/>
      <c r="Q54" s="42"/>
      <c r="R54" s="42"/>
      <c r="S54" s="42"/>
      <c r="T54" s="42"/>
      <c r="U54" s="38"/>
    </row>
    <row r="55" spans="1:21" s="90" customFormat="1" ht="13.15" x14ac:dyDescent="0.35">
      <c r="A55" s="90" t="s">
        <v>137</v>
      </c>
      <c r="J55" s="91"/>
      <c r="K55" s="91"/>
      <c r="L55" s="91"/>
      <c r="M55" s="91"/>
      <c r="N55" s="91"/>
      <c r="O55" s="91"/>
      <c r="P55" s="91"/>
      <c r="Q55" s="91"/>
      <c r="R55" s="91"/>
      <c r="S55" s="91"/>
      <c r="T55" s="91"/>
      <c r="U55" s="91"/>
    </row>
    <row r="56" spans="1:21" s="1" customFormat="1" ht="13.15" x14ac:dyDescent="0.35">
      <c r="A56" s="6"/>
      <c r="J56" s="38"/>
      <c r="K56" s="38"/>
      <c r="L56" s="38"/>
      <c r="M56" s="38"/>
      <c r="N56" s="38"/>
      <c r="O56" s="38"/>
      <c r="P56" s="38"/>
      <c r="Q56" s="38"/>
      <c r="R56" s="38"/>
      <c r="S56" s="38"/>
      <c r="T56" s="38"/>
      <c r="U56" s="38"/>
    </row>
    <row r="57" spans="1:21" s="1" customFormat="1" ht="13.15" x14ac:dyDescent="0.35">
      <c r="A57" s="6"/>
      <c r="E57" s="1" t="s">
        <v>36</v>
      </c>
      <c r="F57" s="1" t="s">
        <v>68</v>
      </c>
      <c r="G57" s="1" t="s">
        <v>128</v>
      </c>
      <c r="H57" s="1" t="s">
        <v>39</v>
      </c>
      <c r="I57" s="8"/>
      <c r="J57" s="111">
        <f t="shared" ref="J57" si="0">J9</f>
        <v>133.30000000000001</v>
      </c>
      <c r="K57" s="111">
        <f t="shared" ref="K57:N57" si="1">K9</f>
        <v>131.9</v>
      </c>
      <c r="L57" s="111">
        <f t="shared" si="1"/>
        <v>130.5</v>
      </c>
      <c r="M57" s="111">
        <f t="shared" si="1"/>
        <v>129.10000000000002</v>
      </c>
      <c r="N57" s="111">
        <f t="shared" si="1"/>
        <v>127.70000000000002</v>
      </c>
      <c r="O57" s="111">
        <f>O33</f>
        <v>135.59087631573109</v>
      </c>
      <c r="P57" s="111">
        <f t="shared" ref="P57:T57" si="2">P33</f>
        <v>133.92000000000002</v>
      </c>
      <c r="Q57" s="111">
        <f t="shared" si="2"/>
        <v>132.30000000000001</v>
      </c>
      <c r="R57" s="111">
        <f t="shared" si="2"/>
        <v>130.68000000000004</v>
      </c>
      <c r="S57" s="111">
        <f t="shared" si="2"/>
        <v>127.44</v>
      </c>
      <c r="T57" s="111">
        <f t="shared" si="2"/>
        <v>127.44000000000003</v>
      </c>
      <c r="U57" s="38"/>
    </row>
    <row r="58" spans="1:21" s="1" customFormat="1" ht="13.15" hidden="1" outlineLevel="1" x14ac:dyDescent="0.35">
      <c r="A58" s="6"/>
      <c r="E58" s="1" t="s">
        <v>46</v>
      </c>
      <c r="F58" s="1" t="s">
        <v>68</v>
      </c>
      <c r="G58" s="1" t="s">
        <v>128</v>
      </c>
      <c r="H58" s="1" t="s">
        <v>39</v>
      </c>
      <c r="I58" s="8"/>
      <c r="J58" s="111" t="str">
        <f t="shared" ref="J58:N58" si="3">J10</f>
        <v>-</v>
      </c>
      <c r="K58" s="111" t="str">
        <f t="shared" si="3"/>
        <v>-</v>
      </c>
      <c r="L58" s="111" t="str">
        <f t="shared" si="3"/>
        <v>-</v>
      </c>
      <c r="M58" s="111" t="str">
        <f t="shared" si="3"/>
        <v>-</v>
      </c>
      <c r="N58" s="111" t="str">
        <f t="shared" si="3"/>
        <v/>
      </c>
      <c r="O58" s="111">
        <f t="shared" ref="O58:T77" si="4">O34</f>
        <v>155.81055216354875</v>
      </c>
      <c r="P58" s="111">
        <f t="shared" si="4"/>
        <v>153.68099999999998</v>
      </c>
      <c r="Q58" s="111">
        <f t="shared" si="4"/>
        <v>152.12866666666665</v>
      </c>
      <c r="R58" s="111">
        <f t="shared" si="4"/>
        <v>150.57633333333331</v>
      </c>
      <c r="S58" s="111">
        <f t="shared" si="4"/>
        <v>145.44999999999999</v>
      </c>
      <c r="T58" s="111">
        <f t="shared" si="4"/>
        <v>145.45363333333333</v>
      </c>
      <c r="U58" s="38"/>
    </row>
    <row r="59" spans="1:21" s="1" customFormat="1" ht="13.15" hidden="1" outlineLevel="1" x14ac:dyDescent="0.35">
      <c r="A59" s="6"/>
      <c r="E59" s="1" t="s">
        <v>47</v>
      </c>
      <c r="F59" s="1" t="s">
        <v>68</v>
      </c>
      <c r="G59" s="1" t="s">
        <v>128</v>
      </c>
      <c r="H59" s="1" t="s">
        <v>39</v>
      </c>
      <c r="I59" s="8"/>
      <c r="J59" s="111" t="str">
        <f t="shared" ref="J59:N59" si="5">J11</f>
        <v>-</v>
      </c>
      <c r="K59" s="111" t="str">
        <f t="shared" si="5"/>
        <v>-</v>
      </c>
      <c r="L59" s="111" t="str">
        <f t="shared" si="5"/>
        <v>-</v>
      </c>
      <c r="M59" s="111" t="str">
        <f t="shared" si="5"/>
        <v>-</v>
      </c>
      <c r="N59" s="111">
        <f t="shared" si="5"/>
        <v>128.37</v>
      </c>
      <c r="O59" s="111">
        <f t="shared" si="4"/>
        <v>133.39011190472544</v>
      </c>
      <c r="P59" s="111">
        <f t="shared" si="4"/>
        <v>132.26546666666667</v>
      </c>
      <c r="Q59" s="111">
        <f t="shared" si="4"/>
        <v>131.06426666666667</v>
      </c>
      <c r="R59" s="111">
        <f t="shared" si="4"/>
        <v>129.86306666666667</v>
      </c>
      <c r="S59" s="111">
        <f t="shared" si="4"/>
        <v>127.86</v>
      </c>
      <c r="T59" s="111">
        <f t="shared" si="4"/>
        <v>127.86106666666666</v>
      </c>
      <c r="U59" s="38"/>
    </row>
    <row r="60" spans="1:21" s="1" customFormat="1" ht="13.15" hidden="1" outlineLevel="1" x14ac:dyDescent="0.35">
      <c r="A60" s="6"/>
      <c r="E60" s="1" t="s">
        <v>48</v>
      </c>
      <c r="F60" s="1" t="s">
        <v>68</v>
      </c>
      <c r="G60" s="1" t="s">
        <v>128</v>
      </c>
      <c r="H60" s="1" t="s">
        <v>39</v>
      </c>
      <c r="I60" s="8"/>
      <c r="J60" s="111" t="str">
        <f t="shared" ref="J60:N60" si="6">J12</f>
        <v>-</v>
      </c>
      <c r="K60" s="111" t="str">
        <f t="shared" si="6"/>
        <v>-</v>
      </c>
      <c r="L60" s="111" t="str">
        <f t="shared" si="6"/>
        <v>-</v>
      </c>
      <c r="M60" s="111" t="str">
        <f t="shared" si="6"/>
        <v>-</v>
      </c>
      <c r="N60" s="111" t="str">
        <f t="shared" si="6"/>
        <v>-</v>
      </c>
      <c r="O60" s="111">
        <f t="shared" si="4"/>
        <v>151.17270927162315</v>
      </c>
      <c r="P60" s="111">
        <f t="shared" si="4"/>
        <v>149.42826666666664</v>
      </c>
      <c r="Q60" s="111">
        <f t="shared" si="4"/>
        <v>147.92193333333333</v>
      </c>
      <c r="R60" s="111">
        <f t="shared" si="4"/>
        <v>146.26496666666665</v>
      </c>
      <c r="S60" s="111">
        <f t="shared" si="4"/>
        <v>142.65</v>
      </c>
      <c r="T60" s="111">
        <f t="shared" si="4"/>
        <v>142.64976666666666</v>
      </c>
      <c r="U60" s="38"/>
    </row>
    <row r="61" spans="1:21" s="1" customFormat="1" ht="13.15" hidden="1" outlineLevel="1" x14ac:dyDescent="0.35">
      <c r="A61" s="6"/>
      <c r="E61" s="9" t="s">
        <v>70</v>
      </c>
      <c r="F61" s="1" t="s">
        <v>68</v>
      </c>
      <c r="G61" s="1" t="s">
        <v>128</v>
      </c>
      <c r="H61" s="1" t="s">
        <v>39</v>
      </c>
      <c r="I61" s="8"/>
      <c r="J61" s="111" t="str">
        <f t="shared" ref="J61:N61" si="7">J13</f>
        <v>-</v>
      </c>
      <c r="K61" s="111" t="str">
        <f t="shared" si="7"/>
        <v>-</v>
      </c>
      <c r="L61" s="111" t="str">
        <f t="shared" si="7"/>
        <v>-</v>
      </c>
      <c r="M61" s="111" t="str">
        <f t="shared" si="7"/>
        <v>-</v>
      </c>
      <c r="N61" s="111" t="str">
        <f t="shared" si="7"/>
        <v>-</v>
      </c>
      <c r="O61" s="111" t="str">
        <f t="shared" si="4"/>
        <v>-</v>
      </c>
      <c r="P61" s="111" t="str">
        <f t="shared" si="4"/>
        <v>-</v>
      </c>
      <c r="Q61" s="111" t="str">
        <f t="shared" si="4"/>
        <v>-</v>
      </c>
      <c r="R61" s="111" t="str">
        <f t="shared" si="4"/>
        <v>-</v>
      </c>
      <c r="S61" s="111" t="str">
        <f t="shared" si="4"/>
        <v>-</v>
      </c>
      <c r="T61" s="111" t="str">
        <f t="shared" si="4"/>
        <v>-</v>
      </c>
      <c r="U61" s="38"/>
    </row>
    <row r="62" spans="1:21" s="1" customFormat="1" ht="13.15" hidden="1" outlineLevel="1" x14ac:dyDescent="0.35">
      <c r="A62" s="6"/>
      <c r="E62" s="9" t="s">
        <v>72</v>
      </c>
      <c r="F62" s="1" t="s">
        <v>68</v>
      </c>
      <c r="G62" s="1" t="s">
        <v>128</v>
      </c>
      <c r="H62" s="1" t="s">
        <v>39</v>
      </c>
      <c r="I62" s="8"/>
      <c r="J62" s="111" t="str">
        <f t="shared" ref="J62:N62" si="8">J14</f>
        <v>-</v>
      </c>
      <c r="K62" s="111" t="str">
        <f t="shared" si="8"/>
        <v>-</v>
      </c>
      <c r="L62" s="111" t="str">
        <f t="shared" si="8"/>
        <v>-</v>
      </c>
      <c r="M62" s="111" t="str">
        <f t="shared" si="8"/>
        <v>-</v>
      </c>
      <c r="N62" s="111" t="str">
        <f t="shared" si="8"/>
        <v>-</v>
      </c>
      <c r="O62" s="111" t="str">
        <f t="shared" si="4"/>
        <v>-</v>
      </c>
      <c r="P62" s="111" t="str">
        <f t="shared" si="4"/>
        <v>-</v>
      </c>
      <c r="Q62" s="111" t="str">
        <f t="shared" si="4"/>
        <v>-</v>
      </c>
      <c r="R62" s="111" t="str">
        <f t="shared" si="4"/>
        <v>-</v>
      </c>
      <c r="S62" s="111" t="str">
        <f t="shared" si="4"/>
        <v>-</v>
      </c>
      <c r="T62" s="111" t="str">
        <f t="shared" si="4"/>
        <v>-</v>
      </c>
      <c r="U62" s="38"/>
    </row>
    <row r="63" spans="1:21" s="1" customFormat="1" ht="13.15" hidden="1" outlineLevel="1" x14ac:dyDescent="0.35">
      <c r="A63" s="6"/>
      <c r="E63" s="1" t="s">
        <v>49</v>
      </c>
      <c r="F63" s="1" t="s">
        <v>68</v>
      </c>
      <c r="G63" s="1" t="s">
        <v>128</v>
      </c>
      <c r="H63" s="1" t="s">
        <v>39</v>
      </c>
      <c r="I63" s="8"/>
      <c r="J63" s="111" t="str">
        <f t="shared" ref="J63:N63" si="9">J15</f>
        <v>-</v>
      </c>
      <c r="K63" s="111" t="str">
        <f t="shared" si="9"/>
        <v>-</v>
      </c>
      <c r="L63" s="111" t="str">
        <f t="shared" si="9"/>
        <v>-</v>
      </c>
      <c r="M63" s="111" t="str">
        <f t="shared" si="9"/>
        <v>-</v>
      </c>
      <c r="N63" s="111">
        <f t="shared" si="9"/>
        <v>128.37</v>
      </c>
      <c r="O63" s="111">
        <f t="shared" si="4"/>
        <v>130.11639719453362</v>
      </c>
      <c r="P63" s="111">
        <f t="shared" si="4"/>
        <v>129.1893</v>
      </c>
      <c r="Q63" s="111">
        <f t="shared" si="4"/>
        <v>128.27859999999998</v>
      </c>
      <c r="R63" s="111">
        <f t="shared" si="4"/>
        <v>127.36789999999999</v>
      </c>
      <c r="S63" s="111">
        <f t="shared" si="4"/>
        <v>125.55</v>
      </c>
      <c r="T63" s="111">
        <f t="shared" si="4"/>
        <v>125.54649999999999</v>
      </c>
      <c r="U63" s="38"/>
    </row>
    <row r="64" spans="1:21" s="1" customFormat="1" ht="13.15" hidden="1" outlineLevel="1" x14ac:dyDescent="0.35">
      <c r="A64" s="6"/>
      <c r="E64" s="1" t="s">
        <v>50</v>
      </c>
      <c r="F64" s="1" t="s">
        <v>68</v>
      </c>
      <c r="G64" s="1" t="s">
        <v>128</v>
      </c>
      <c r="H64" s="1" t="s">
        <v>39</v>
      </c>
      <c r="I64" s="8"/>
      <c r="J64" s="111" t="str">
        <f t="shared" ref="J64:N64" si="10">J16</f>
        <v>-</v>
      </c>
      <c r="K64" s="111" t="str">
        <f t="shared" si="10"/>
        <v>-</v>
      </c>
      <c r="L64" s="111" t="str">
        <f t="shared" si="10"/>
        <v>-</v>
      </c>
      <c r="M64" s="111" t="str">
        <f t="shared" si="10"/>
        <v>-</v>
      </c>
      <c r="N64" s="111" t="str">
        <f t="shared" si="10"/>
        <v>-</v>
      </c>
      <c r="O64" s="111">
        <f t="shared" si="4"/>
        <v>146.31797762547529</v>
      </c>
      <c r="P64" s="111">
        <f t="shared" si="4"/>
        <v>144.39400000000001</v>
      </c>
      <c r="Q64" s="111">
        <f t="shared" si="4"/>
        <v>142.642</v>
      </c>
      <c r="R64" s="111">
        <f t="shared" si="4"/>
        <v>140.744</v>
      </c>
      <c r="S64" s="111">
        <f t="shared" si="4"/>
        <v>136.94999999999999</v>
      </c>
      <c r="T64" s="111">
        <f t="shared" si="4"/>
        <v>136.94799999999998</v>
      </c>
      <c r="U64" s="38"/>
    </row>
    <row r="65" spans="1:21" s="1" customFormat="1" ht="13.15" hidden="1" outlineLevel="1" x14ac:dyDescent="0.35">
      <c r="A65" s="6"/>
      <c r="E65" s="1" t="s">
        <v>51</v>
      </c>
      <c r="F65" s="1" t="s">
        <v>68</v>
      </c>
      <c r="G65" s="1" t="s">
        <v>128</v>
      </c>
      <c r="H65" s="1" t="s">
        <v>39</v>
      </c>
      <c r="I65" s="8"/>
      <c r="J65" s="111">
        <f t="shared" ref="J65:N65" si="11">J17</f>
        <v>147.19999999999999</v>
      </c>
      <c r="K65" s="111">
        <f t="shared" si="11"/>
        <v>144.5</v>
      </c>
      <c r="L65" s="111">
        <f t="shared" si="11"/>
        <v>141.80000000000001</v>
      </c>
      <c r="M65" s="111">
        <f t="shared" si="11"/>
        <v>139.10000000000002</v>
      </c>
      <c r="N65" s="111">
        <f t="shared" si="11"/>
        <v>136.40000000000003</v>
      </c>
      <c r="O65" s="111">
        <f t="shared" si="4"/>
        <v>128.75369761639615</v>
      </c>
      <c r="P65" s="111">
        <f t="shared" si="4"/>
        <v>126.68699999999998</v>
      </c>
      <c r="Q65" s="111">
        <f t="shared" si="4"/>
        <v>125.40733333333331</v>
      </c>
      <c r="R65" s="111">
        <f t="shared" si="4"/>
        <v>122.46409999999999</v>
      </c>
      <c r="S65" s="111">
        <f t="shared" si="4"/>
        <v>118.75</v>
      </c>
      <c r="T65" s="111">
        <f t="shared" si="4"/>
        <v>118.75306666666664</v>
      </c>
      <c r="U65" s="38"/>
    </row>
    <row r="66" spans="1:21" s="1" customFormat="1" ht="13.15" hidden="1" outlineLevel="1" x14ac:dyDescent="0.35">
      <c r="A66" s="6"/>
      <c r="E66" s="1" t="s">
        <v>52</v>
      </c>
      <c r="F66" s="1" t="s">
        <v>68</v>
      </c>
      <c r="G66" s="1" t="s">
        <v>128</v>
      </c>
      <c r="H66" s="1" t="s">
        <v>39</v>
      </c>
      <c r="I66" s="8"/>
      <c r="J66" s="111" t="str">
        <f t="shared" ref="J66:N66" si="12">J18</f>
        <v>-</v>
      </c>
      <c r="K66" s="111" t="str">
        <f t="shared" si="12"/>
        <v>-</v>
      </c>
      <c r="L66" s="111" t="str">
        <f t="shared" si="12"/>
        <v>-</v>
      </c>
      <c r="M66" s="111" t="str">
        <f t="shared" si="12"/>
        <v>-</v>
      </c>
      <c r="N66" s="111" t="str">
        <f t="shared" si="12"/>
        <v>-</v>
      </c>
      <c r="O66" s="111">
        <f t="shared" si="4"/>
        <v>146.29119514109132</v>
      </c>
      <c r="P66" s="111">
        <f t="shared" si="4"/>
        <v>144.32806666666664</v>
      </c>
      <c r="Q66" s="111">
        <f t="shared" si="4"/>
        <v>142.57686666666663</v>
      </c>
      <c r="R66" s="111">
        <f t="shared" si="4"/>
        <v>140.97159999999997</v>
      </c>
      <c r="S66" s="111">
        <f t="shared" si="4"/>
        <v>136.74</v>
      </c>
      <c r="T66" s="111">
        <f t="shared" si="4"/>
        <v>136.73953333333333</v>
      </c>
      <c r="U66" s="38"/>
    </row>
    <row r="67" spans="1:21" s="1" customFormat="1" ht="13.15" hidden="1" outlineLevel="1" x14ac:dyDescent="0.35">
      <c r="A67" s="6"/>
      <c r="E67" s="1" t="s">
        <v>74</v>
      </c>
      <c r="F67" s="1" t="s">
        <v>68</v>
      </c>
      <c r="G67" s="1" t="s">
        <v>128</v>
      </c>
      <c r="H67" s="1" t="s">
        <v>39</v>
      </c>
      <c r="I67" s="8"/>
      <c r="J67" s="111" t="str">
        <f t="shared" ref="J67:N67" si="13">J19</f>
        <v>-</v>
      </c>
      <c r="K67" s="111" t="str">
        <f t="shared" si="13"/>
        <v>-</v>
      </c>
      <c r="L67" s="111" t="str">
        <f t="shared" si="13"/>
        <v>-</v>
      </c>
      <c r="M67" s="111" t="str">
        <f t="shared" si="13"/>
        <v>-</v>
      </c>
      <c r="N67" s="111" t="str">
        <f t="shared" si="13"/>
        <v>-</v>
      </c>
      <c r="O67" s="111">
        <f t="shared" si="4"/>
        <v>143.98725872038253</v>
      </c>
      <c r="P67" s="111">
        <f t="shared" si="4"/>
        <v>142.12799999999999</v>
      </c>
      <c r="Q67" s="111">
        <f t="shared" si="4"/>
        <v>140.256</v>
      </c>
      <c r="R67" s="111">
        <f t="shared" si="4"/>
        <v>138.38399999999999</v>
      </c>
      <c r="S67" s="111">
        <f t="shared" si="4"/>
        <v>134.93</v>
      </c>
      <c r="T67" s="111">
        <f t="shared" si="4"/>
        <v>134.928</v>
      </c>
      <c r="U67" s="38"/>
    </row>
    <row r="68" spans="1:21" s="1" customFormat="1" ht="13.15" hidden="1" outlineLevel="1" x14ac:dyDescent="0.35">
      <c r="A68" s="6"/>
      <c r="E68" s="1" t="s">
        <v>54</v>
      </c>
      <c r="F68" s="1" t="s">
        <v>68</v>
      </c>
      <c r="G68" s="1" t="s">
        <v>128</v>
      </c>
      <c r="H68" s="1" t="s">
        <v>39</v>
      </c>
      <c r="I68" s="8"/>
      <c r="J68" s="111">
        <f t="shared" ref="J68:N68" si="14">J20</f>
        <v>137</v>
      </c>
      <c r="K68" s="111">
        <f t="shared" si="14"/>
        <v>135</v>
      </c>
      <c r="L68" s="111">
        <f t="shared" si="14"/>
        <v>134</v>
      </c>
      <c r="M68" s="111">
        <f t="shared" si="14"/>
        <v>133</v>
      </c>
      <c r="N68" s="111">
        <f t="shared" si="14"/>
        <v>132</v>
      </c>
      <c r="O68" s="111">
        <f t="shared" si="4"/>
        <v>137.97276495924646</v>
      </c>
      <c r="P68" s="111">
        <f t="shared" si="4"/>
        <v>137.69550000000001</v>
      </c>
      <c r="Q68" s="111">
        <f t="shared" si="4"/>
        <v>137.55766666666668</v>
      </c>
      <c r="R68" s="111">
        <f t="shared" si="4"/>
        <v>137.41983333333334</v>
      </c>
      <c r="S68" s="111">
        <f t="shared" si="4"/>
        <v>136.59</v>
      </c>
      <c r="T68" s="111">
        <f t="shared" si="4"/>
        <v>136.59283333333335</v>
      </c>
      <c r="U68" s="38"/>
    </row>
    <row r="69" spans="1:21" s="1" customFormat="1" ht="13.15" hidden="1" outlineLevel="1" x14ac:dyDescent="0.35">
      <c r="A69" s="6"/>
      <c r="E69" s="1" t="s">
        <v>55</v>
      </c>
      <c r="F69" s="1" t="s">
        <v>68</v>
      </c>
      <c r="G69" s="1" t="s">
        <v>128</v>
      </c>
      <c r="H69" s="1" t="s">
        <v>39</v>
      </c>
      <c r="I69" s="8"/>
      <c r="J69" s="111">
        <f t="shared" ref="J69:N69" si="15">J21</f>
        <v>143.69999999999999</v>
      </c>
      <c r="K69" s="111">
        <f t="shared" si="15"/>
        <v>142.6</v>
      </c>
      <c r="L69" s="111">
        <f t="shared" si="15"/>
        <v>141.5</v>
      </c>
      <c r="M69" s="111">
        <f t="shared" si="15"/>
        <v>140.4</v>
      </c>
      <c r="N69" s="111">
        <f t="shared" si="15"/>
        <v>139.30000000000001</v>
      </c>
      <c r="O69" s="111">
        <f t="shared" si="4"/>
        <v>127.30305697210653</v>
      </c>
      <c r="P69" s="111">
        <f t="shared" si="4"/>
        <v>125.12319999999998</v>
      </c>
      <c r="Q69" s="111">
        <f t="shared" si="4"/>
        <v>121.91819999999998</v>
      </c>
      <c r="R69" s="111">
        <f t="shared" si="4"/>
        <v>118.71319999999999</v>
      </c>
      <c r="S69" s="111">
        <f t="shared" si="4"/>
        <v>116.79</v>
      </c>
      <c r="T69" s="111">
        <f t="shared" si="4"/>
        <v>116.7902</v>
      </c>
      <c r="U69" s="38"/>
    </row>
    <row r="70" spans="1:21" s="1" customFormat="1" ht="13.15" hidden="1" outlineLevel="1" x14ac:dyDescent="0.35">
      <c r="A70" s="6"/>
      <c r="E70" s="1" t="s">
        <v>56</v>
      </c>
      <c r="F70" s="1" t="s">
        <v>68</v>
      </c>
      <c r="G70" s="1" t="s">
        <v>128</v>
      </c>
      <c r="H70" s="1" t="s">
        <v>39</v>
      </c>
      <c r="I70" s="8"/>
      <c r="J70" s="111">
        <f t="shared" ref="J70:N70" si="16">J22</f>
        <v>158.4</v>
      </c>
      <c r="K70" s="111">
        <f t="shared" si="16"/>
        <v>156.30000000000001</v>
      </c>
      <c r="L70" s="111">
        <f t="shared" si="16"/>
        <v>155.6</v>
      </c>
      <c r="M70" s="111">
        <f t="shared" si="16"/>
        <v>153.30000000000001</v>
      </c>
      <c r="N70" s="111">
        <f t="shared" si="16"/>
        <v>150.30000000000001</v>
      </c>
      <c r="O70" s="111">
        <f t="shared" si="4"/>
        <v>156.96516721671509</v>
      </c>
      <c r="P70" s="111">
        <f t="shared" si="4"/>
        <v>152.4633</v>
      </c>
      <c r="Q70" s="111">
        <f t="shared" si="4"/>
        <v>147.50009999999997</v>
      </c>
      <c r="R70" s="111">
        <f t="shared" si="4"/>
        <v>143.77770000000001</v>
      </c>
      <c r="S70" s="111">
        <f t="shared" si="4"/>
        <v>135.71</v>
      </c>
      <c r="T70" s="111">
        <f t="shared" si="4"/>
        <v>135.71250000000001</v>
      </c>
      <c r="U70" s="38"/>
    </row>
    <row r="71" spans="1:21" s="1" customFormat="1" ht="13.15" hidden="1" outlineLevel="1" x14ac:dyDescent="0.35">
      <c r="A71" s="6"/>
      <c r="E71" s="1" t="s">
        <v>57</v>
      </c>
      <c r="F71" s="1" t="s">
        <v>68</v>
      </c>
      <c r="G71" s="1" t="s">
        <v>128</v>
      </c>
      <c r="H71" s="1" t="s">
        <v>39</v>
      </c>
      <c r="I71" s="8"/>
      <c r="J71" s="111">
        <f t="shared" ref="J71:N71" si="17">J23</f>
        <v>145.6</v>
      </c>
      <c r="K71" s="111">
        <f t="shared" si="17"/>
        <v>145.4</v>
      </c>
      <c r="L71" s="111">
        <f t="shared" si="17"/>
        <v>144.5</v>
      </c>
      <c r="M71" s="111">
        <f t="shared" si="17"/>
        <v>143.6</v>
      </c>
      <c r="N71" s="111">
        <f t="shared" si="17"/>
        <v>142.80000000000001</v>
      </c>
      <c r="O71" s="111">
        <f t="shared" si="4"/>
        <v>148.85349477898805</v>
      </c>
      <c r="P71" s="111">
        <f t="shared" si="4"/>
        <v>146.9314</v>
      </c>
      <c r="Q71" s="111">
        <f t="shared" si="4"/>
        <v>144.99613333333335</v>
      </c>
      <c r="R71" s="111">
        <f t="shared" si="4"/>
        <v>143.06086666666667</v>
      </c>
      <c r="S71" s="111">
        <f t="shared" si="4"/>
        <v>139.49</v>
      </c>
      <c r="T71" s="111">
        <f t="shared" si="4"/>
        <v>139.48806666666667</v>
      </c>
      <c r="U71" s="38"/>
    </row>
    <row r="72" spans="1:21" s="1" customFormat="1" ht="13.15" hidden="1" outlineLevel="1" x14ac:dyDescent="0.35">
      <c r="A72" s="6"/>
      <c r="E72" s="1" t="s">
        <v>58</v>
      </c>
      <c r="F72" s="1" t="s">
        <v>68</v>
      </c>
      <c r="G72" s="1" t="s">
        <v>128</v>
      </c>
      <c r="H72" s="1" t="s">
        <v>39</v>
      </c>
      <c r="I72" s="8"/>
      <c r="J72" s="111" t="str">
        <f t="shared" ref="J72:N72" si="18">J24</f>
        <v>-</v>
      </c>
      <c r="K72" s="111" t="str">
        <f t="shared" si="18"/>
        <v>-</v>
      </c>
      <c r="L72" s="111" t="str">
        <f t="shared" si="18"/>
        <v>-</v>
      </c>
      <c r="M72" s="111" t="str">
        <f t="shared" si="18"/>
        <v>-</v>
      </c>
      <c r="N72" s="111" t="str">
        <f t="shared" si="18"/>
        <v>-</v>
      </c>
      <c r="O72" s="111" t="str">
        <f t="shared" si="4"/>
        <v>-</v>
      </c>
      <c r="P72" s="111" t="str">
        <f t="shared" si="4"/>
        <v>-</v>
      </c>
      <c r="Q72" s="111" t="str">
        <f t="shared" si="4"/>
        <v>-</v>
      </c>
      <c r="R72" s="111" t="str">
        <f t="shared" si="4"/>
        <v>-</v>
      </c>
      <c r="S72" s="111" t="str">
        <f t="shared" si="4"/>
        <v>-</v>
      </c>
      <c r="T72" s="111" t="str">
        <f t="shared" si="4"/>
        <v>-</v>
      </c>
      <c r="U72" s="38"/>
    </row>
    <row r="73" spans="1:21" s="1" customFormat="1" ht="13.15" hidden="1" outlineLevel="1" x14ac:dyDescent="0.35">
      <c r="A73" s="6"/>
      <c r="E73" s="1" t="s">
        <v>75</v>
      </c>
      <c r="F73" s="1" t="s">
        <v>68</v>
      </c>
      <c r="G73" s="1" t="s">
        <v>128</v>
      </c>
      <c r="H73" s="1" t="s">
        <v>39</v>
      </c>
      <c r="I73" s="8"/>
      <c r="J73" s="111" t="str">
        <f t="shared" ref="J73:N73" si="19">J25</f>
        <v>-</v>
      </c>
      <c r="K73" s="111" t="str">
        <f t="shared" si="19"/>
        <v>-</v>
      </c>
      <c r="L73" s="111" t="str">
        <f t="shared" si="19"/>
        <v>-</v>
      </c>
      <c r="M73" s="111" t="str">
        <f t="shared" si="19"/>
        <v>-</v>
      </c>
      <c r="N73" s="111" t="str">
        <f t="shared" si="19"/>
        <v>-</v>
      </c>
      <c r="O73" s="111">
        <f t="shared" si="4"/>
        <v>128.3124960987829</v>
      </c>
      <c r="P73" s="111">
        <f t="shared" si="4"/>
        <v>128.11879999999999</v>
      </c>
      <c r="Q73" s="111">
        <f t="shared" si="4"/>
        <v>127.99016666666665</v>
      </c>
      <c r="R73" s="111">
        <f t="shared" si="4"/>
        <v>127.73289999999999</v>
      </c>
      <c r="S73" s="111">
        <f t="shared" si="4"/>
        <v>127.35</v>
      </c>
      <c r="T73" s="111">
        <f t="shared" si="4"/>
        <v>127.34699999999999</v>
      </c>
      <c r="U73" s="38"/>
    </row>
    <row r="74" spans="1:21" s="1" customFormat="1" ht="13.15" hidden="1" outlineLevel="1" x14ac:dyDescent="0.35">
      <c r="A74" s="6"/>
      <c r="E74" s="1" t="s">
        <v>76</v>
      </c>
      <c r="F74" s="1" t="s">
        <v>68</v>
      </c>
      <c r="G74" s="1" t="s">
        <v>128</v>
      </c>
      <c r="H74" s="1" t="s">
        <v>39</v>
      </c>
      <c r="I74" s="8"/>
      <c r="J74" s="111" t="str">
        <f t="shared" ref="J74:N74" si="20">J26</f>
        <v>-</v>
      </c>
      <c r="K74" s="111" t="str">
        <f t="shared" si="20"/>
        <v>-</v>
      </c>
      <c r="L74" s="111" t="str">
        <f t="shared" si="20"/>
        <v>-</v>
      </c>
      <c r="M74" s="111" t="str">
        <f t="shared" si="20"/>
        <v>-</v>
      </c>
      <c r="N74" s="111" t="str">
        <f t="shared" si="20"/>
        <v>-</v>
      </c>
      <c r="O74" s="111">
        <f t="shared" si="4"/>
        <v>134.95880913322492</v>
      </c>
      <c r="P74" s="111">
        <f t="shared" si="4"/>
        <v>133.18239999999997</v>
      </c>
      <c r="Q74" s="111">
        <f t="shared" si="4"/>
        <v>131.42999999999998</v>
      </c>
      <c r="R74" s="111">
        <f t="shared" si="4"/>
        <v>129.81239999999997</v>
      </c>
      <c r="S74" s="111">
        <f t="shared" si="4"/>
        <v>126.31</v>
      </c>
      <c r="T74" s="111">
        <f t="shared" si="4"/>
        <v>126.30759999999999</v>
      </c>
      <c r="U74" s="38"/>
    </row>
    <row r="75" spans="1:21" s="1" customFormat="1" ht="13.15" hidden="1" outlineLevel="1" x14ac:dyDescent="0.35">
      <c r="A75" s="6"/>
      <c r="E75" s="1" t="s">
        <v>59</v>
      </c>
      <c r="F75" s="1" t="s">
        <v>68</v>
      </c>
      <c r="G75" s="1" t="s">
        <v>128</v>
      </c>
      <c r="H75" s="1" t="s">
        <v>39</v>
      </c>
      <c r="I75" s="8"/>
      <c r="J75" s="111">
        <f t="shared" ref="J75:N75" si="21">J27</f>
        <v>147.29</v>
      </c>
      <c r="K75" s="111">
        <f t="shared" si="21"/>
        <v>146.63</v>
      </c>
      <c r="L75" s="111">
        <f t="shared" si="21"/>
        <v>145.96</v>
      </c>
      <c r="M75" s="111">
        <f t="shared" si="21"/>
        <v>145.29</v>
      </c>
      <c r="N75" s="111">
        <f t="shared" si="21"/>
        <v>144.61000000000001</v>
      </c>
      <c r="O75" s="111">
        <f t="shared" si="4"/>
        <v>150.85333766738594</v>
      </c>
      <c r="P75" s="111">
        <f t="shared" si="4"/>
        <v>148.90540000000001</v>
      </c>
      <c r="Q75" s="111">
        <f t="shared" si="4"/>
        <v>147.095</v>
      </c>
      <c r="R75" s="111">
        <f t="shared" si="4"/>
        <v>145.13373333333334</v>
      </c>
      <c r="S75" s="111">
        <f t="shared" si="4"/>
        <v>141.36000000000001</v>
      </c>
      <c r="T75" s="111">
        <f t="shared" si="4"/>
        <v>141.36206666666669</v>
      </c>
      <c r="U75" s="38"/>
    </row>
    <row r="76" spans="1:21" s="1" customFormat="1" ht="13.15" hidden="1" outlineLevel="1" x14ac:dyDescent="0.35">
      <c r="A76" s="6"/>
      <c r="E76" s="1" t="s">
        <v>60</v>
      </c>
      <c r="F76" s="1" t="s">
        <v>68</v>
      </c>
      <c r="G76" s="1" t="s">
        <v>128</v>
      </c>
      <c r="H76" s="1" t="s">
        <v>39</v>
      </c>
      <c r="I76" s="8"/>
      <c r="J76" s="111" t="str">
        <f t="shared" ref="J76:N76" si="22">J28</f>
        <v>-</v>
      </c>
      <c r="K76" s="111" t="str">
        <f t="shared" si="22"/>
        <v>-</v>
      </c>
      <c r="L76" s="111" t="str">
        <f t="shared" si="22"/>
        <v>-</v>
      </c>
      <c r="M76" s="111" t="str">
        <f t="shared" si="22"/>
        <v>-</v>
      </c>
      <c r="N76" s="111" t="str">
        <f t="shared" si="22"/>
        <v>-</v>
      </c>
      <c r="O76" s="111">
        <f t="shared" si="4"/>
        <v>144.70114863905428</v>
      </c>
      <c r="P76" s="111">
        <f t="shared" si="4"/>
        <v>142.416</v>
      </c>
      <c r="Q76" s="111">
        <f t="shared" si="4"/>
        <v>139.82399999999998</v>
      </c>
      <c r="R76" s="111">
        <f t="shared" si="4"/>
        <v>137.376</v>
      </c>
      <c r="S76" s="111">
        <f t="shared" si="4"/>
        <v>133.63</v>
      </c>
      <c r="T76" s="111">
        <f t="shared" si="4"/>
        <v>133.63200000000001</v>
      </c>
      <c r="U76" s="38"/>
    </row>
    <row r="77" spans="1:21" s="1" customFormat="1" ht="13.15" hidden="1" outlineLevel="1" x14ac:dyDescent="0.35">
      <c r="A77" s="6"/>
      <c r="E77" s="1" t="s">
        <v>61</v>
      </c>
      <c r="F77" s="1" t="s">
        <v>68</v>
      </c>
      <c r="G77" s="1" t="s">
        <v>128</v>
      </c>
      <c r="H77" s="1" t="s">
        <v>39</v>
      </c>
      <c r="I77" s="8"/>
      <c r="J77" s="111">
        <f t="shared" ref="J77:N77" si="23">J29</f>
        <v>162.80000000000001</v>
      </c>
      <c r="K77" s="111">
        <f t="shared" si="23"/>
        <v>161.19999999999999</v>
      </c>
      <c r="L77" s="111">
        <f t="shared" si="23"/>
        <v>160</v>
      </c>
      <c r="M77" s="111">
        <f t="shared" si="23"/>
        <v>158.80000000000001</v>
      </c>
      <c r="N77" s="111">
        <f t="shared" si="23"/>
        <v>157.69999999999999</v>
      </c>
      <c r="O77" s="111">
        <f t="shared" si="4"/>
        <v>149.40520725792797</v>
      </c>
      <c r="P77" s="111">
        <f t="shared" si="4"/>
        <v>147.24599999999998</v>
      </c>
      <c r="Q77" s="111">
        <f t="shared" si="4"/>
        <v>145.31246666666664</v>
      </c>
      <c r="R77" s="111">
        <f t="shared" si="4"/>
        <v>143.08146666666664</v>
      </c>
      <c r="S77" s="111">
        <f t="shared" si="4"/>
        <v>138.91999999999999</v>
      </c>
      <c r="T77" s="111">
        <f t="shared" si="4"/>
        <v>138.9169333333333</v>
      </c>
      <c r="U77" s="38"/>
    </row>
    <row r="78" spans="1:21" collapsed="1" x14ac:dyDescent="0.45"/>
    <row r="79" spans="1:21" s="100" customFormat="1" ht="13.15" x14ac:dyDescent="0.4">
      <c r="A79" s="100" t="s">
        <v>83</v>
      </c>
      <c r="J79" s="101"/>
      <c r="K79" s="101"/>
      <c r="L79" s="101"/>
      <c r="M79" s="101"/>
      <c r="N79" s="101"/>
      <c r="O79" s="101"/>
      <c r="P79" s="101"/>
      <c r="Q79" s="101"/>
      <c r="R79" s="101"/>
      <c r="S79" s="101"/>
      <c r="T79" s="101"/>
      <c r="U79" s="101"/>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3653-C806-42B5-B41D-18148C4669FF}">
  <sheetPr codeName="Sheet12">
    <tabColor rgb="FFCCCCCE"/>
  </sheetPr>
  <dimension ref="A1:Z103"/>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1" bestFit="1" customWidth="1"/>
    <col min="7" max="7" width="32.625" style="1" customWidth="1"/>
    <col min="8" max="8" width="7.875" style="1" customWidth="1"/>
    <col min="9" max="9" width="2.75" style="1" customWidth="1"/>
    <col min="10" max="19" width="9" style="38" customWidth="1"/>
    <col min="20" max="26" width="0" style="38" hidden="1" customWidth="1"/>
    <col min="27" max="16384" width="9" style="38" hidden="1"/>
  </cols>
  <sheetData>
    <row r="1" spans="1:19" s="37" customFormat="1" ht="30.75" x14ac:dyDescent="0.35">
      <c r="A1" s="4" t="str">
        <f ca="1">RIGHT(CELL("filename", A1), LEN(CELL("filename", A1)) - SEARCH("]", CELL("filename", A1)))</f>
        <v>PCC.P.Range</v>
      </c>
      <c r="B1" s="4"/>
      <c r="C1" s="4"/>
      <c r="D1" s="5"/>
      <c r="E1" s="4"/>
      <c r="F1" s="4"/>
      <c r="G1" s="4"/>
      <c r="H1" s="4"/>
      <c r="I1" s="4"/>
    </row>
    <row r="2" spans="1:19" ht="13.15" x14ac:dyDescent="0.35">
      <c r="E2" s="1"/>
      <c r="J2" s="43" t="s">
        <v>18</v>
      </c>
      <c r="K2" s="43" t="s">
        <v>19</v>
      </c>
      <c r="L2" s="43" t="s">
        <v>20</v>
      </c>
      <c r="M2" s="43" t="s">
        <v>21</v>
      </c>
      <c r="N2" s="43" t="s">
        <v>22</v>
      </c>
      <c r="O2" s="43" t="s">
        <v>23</v>
      </c>
      <c r="P2" s="43" t="s">
        <v>24</v>
      </c>
      <c r="Q2" s="43" t="s">
        <v>25</v>
      </c>
      <c r="R2" s="43" t="s">
        <v>26</v>
      </c>
      <c r="S2" s="43" t="s">
        <v>27</v>
      </c>
    </row>
    <row r="3" spans="1:19" ht="13.15" x14ac:dyDescent="0.35">
      <c r="E3" s="7" t="s">
        <v>62</v>
      </c>
      <c r="F3" s="7" t="s">
        <v>63</v>
      </c>
      <c r="G3" s="7" t="s">
        <v>64</v>
      </c>
      <c r="H3" s="7" t="s">
        <v>13</v>
      </c>
      <c r="I3" s="7"/>
    </row>
    <row r="4" spans="1:19" ht="13.15" x14ac:dyDescent="0.35">
      <c r="E4" s="1"/>
    </row>
    <row r="5" spans="1:19" ht="13.15" x14ac:dyDescent="0.35">
      <c r="E5" s="1"/>
      <c r="I5" s="3"/>
    </row>
    <row r="6" spans="1:19" ht="13.15" x14ac:dyDescent="0.35">
      <c r="E6" s="1"/>
    </row>
    <row r="7" spans="1:19" s="91" customFormat="1" ht="13.15" x14ac:dyDescent="0.35">
      <c r="A7" s="90" t="s">
        <v>138</v>
      </c>
      <c r="B7" s="90"/>
      <c r="C7" s="90"/>
      <c r="D7" s="90"/>
      <c r="E7" s="90"/>
      <c r="F7" s="90"/>
      <c r="G7" s="90"/>
      <c r="H7" s="90"/>
      <c r="I7" s="90"/>
    </row>
    <row r="8" spans="1:19" ht="13.15" x14ac:dyDescent="0.35">
      <c r="E8" s="1"/>
    </row>
    <row r="9" spans="1:19" ht="13.15" x14ac:dyDescent="0.35">
      <c r="E9" s="1" t="s">
        <v>36</v>
      </c>
      <c r="F9" s="1" t="s">
        <v>68</v>
      </c>
      <c r="G9" s="1" t="s">
        <v>139</v>
      </c>
      <c r="H9" s="1" t="s">
        <v>39</v>
      </c>
      <c r="I9" s="8"/>
      <c r="J9" s="41">
        <f>PCC.Performance!J57</f>
        <v>133.30000000000001</v>
      </c>
      <c r="K9" s="41">
        <f>PCC.Performance!K57</f>
        <v>135.4</v>
      </c>
      <c r="L9" s="41">
        <f>PCC.Performance!L57</f>
        <v>135.6</v>
      </c>
      <c r="M9" s="41">
        <f>PCC.Performance!M57</f>
        <v>136.80000000000001</v>
      </c>
      <c r="N9" s="41">
        <f>PCC.Performance!N57</f>
        <v>136.9</v>
      </c>
      <c r="O9" s="41">
        <f>PCC.Performance!O57</f>
        <v>134.99390587025869</v>
      </c>
      <c r="P9" s="41">
        <f>PCC.Performance!P57</f>
        <v>139.03659133118819</v>
      </c>
      <c r="Q9" s="41">
        <f>PCC.Performance!Q57</f>
        <v>138.72994372307599</v>
      </c>
      <c r="R9" s="41">
        <f>PCC.Performance!R57</f>
        <v>138.40088832477699</v>
      </c>
      <c r="S9" s="41">
        <f>PCC.Performance!S57</f>
        <v>131.947990588941</v>
      </c>
    </row>
    <row r="10" spans="1:19" ht="13.15" hidden="1" outlineLevel="1" x14ac:dyDescent="0.35">
      <c r="E10" s="1" t="s">
        <v>46</v>
      </c>
      <c r="F10" s="1" t="s">
        <v>68</v>
      </c>
      <c r="G10" s="1" t="s">
        <v>139</v>
      </c>
      <c r="H10" s="1" t="s">
        <v>39</v>
      </c>
      <c r="I10" s="8"/>
      <c r="J10" s="41" t="str">
        <f>PCC.Performance!J58</f>
        <v>-</v>
      </c>
      <c r="K10" s="41" t="str">
        <f>PCC.Performance!K58</f>
        <v>-</v>
      </c>
      <c r="L10" s="41" t="str">
        <f>PCC.Performance!L58</f>
        <v>-</v>
      </c>
      <c r="M10" s="41" t="str">
        <f>PCC.Performance!M58</f>
        <v>-</v>
      </c>
      <c r="N10" s="41" t="str">
        <f>PCC.Performance!N58</f>
        <v>-</v>
      </c>
      <c r="O10" s="41">
        <f>PCC.Performance!O58</f>
        <v>145.70440654750919</v>
      </c>
      <c r="P10" s="41">
        <f>PCC.Performance!P58</f>
        <v>151.45371379689391</v>
      </c>
      <c r="Q10" s="41">
        <f>PCC.Performance!Q58</f>
        <v>153.85332306630539</v>
      </c>
      <c r="R10" s="41">
        <f>PCC.Performance!R58</f>
        <v>154.7990234225025</v>
      </c>
      <c r="S10" s="41">
        <f>PCC.Performance!S58</f>
        <v>150.6851666194087</v>
      </c>
    </row>
    <row r="11" spans="1:19" ht="13.15" hidden="1" outlineLevel="1" x14ac:dyDescent="0.35">
      <c r="E11" s="1" t="s">
        <v>47</v>
      </c>
      <c r="F11" s="1" t="s">
        <v>68</v>
      </c>
      <c r="G11" s="1" t="s">
        <v>139</v>
      </c>
      <c r="H11" s="1" t="s">
        <v>39</v>
      </c>
      <c r="I11" s="8"/>
      <c r="J11" s="41" t="str">
        <f>PCC.Performance!J59</f>
        <v>-</v>
      </c>
      <c r="K11" s="41" t="str">
        <f>PCC.Performance!K59</f>
        <v>-</v>
      </c>
      <c r="L11" s="41" t="str">
        <f>PCC.Performance!L59</f>
        <v>-</v>
      </c>
      <c r="M11" s="41" t="str">
        <f>PCC.Performance!M59</f>
        <v>-</v>
      </c>
      <c r="N11" s="41">
        <f>PCC.Performance!N59</f>
        <v>141.4</v>
      </c>
      <c r="O11" s="41">
        <f>PCC.Performance!O59</f>
        <v>128.94098993391259</v>
      </c>
      <c r="P11" s="41">
        <f>PCC.Performance!P59</f>
        <v>131.379775224658</v>
      </c>
      <c r="Q11" s="41">
        <f>PCC.Performance!Q59</f>
        <v>133.6536725840005</v>
      </c>
      <c r="R11" s="41">
        <f>PCC.Performance!R59</f>
        <v>135.07889163186209</v>
      </c>
      <c r="S11" s="41">
        <f>PCC.Performance!S59</f>
        <v>130.59066086119751</v>
      </c>
    </row>
    <row r="12" spans="1:19" ht="13.15" hidden="1" outlineLevel="1" x14ac:dyDescent="0.35">
      <c r="E12" s="1" t="s">
        <v>48</v>
      </c>
      <c r="F12" s="1" t="s">
        <v>68</v>
      </c>
      <c r="G12" s="1" t="s">
        <v>139</v>
      </c>
      <c r="H12" s="1" t="s">
        <v>39</v>
      </c>
      <c r="I12" s="8"/>
      <c r="J12" s="41" t="str">
        <f>PCC.Performance!J60</f>
        <v>-</v>
      </c>
      <c r="K12" s="41" t="str">
        <f>PCC.Performance!K60</f>
        <v>-</v>
      </c>
      <c r="L12" s="41" t="str">
        <f>PCC.Performance!L60</f>
        <v>-</v>
      </c>
      <c r="M12" s="41" t="str">
        <f>PCC.Performance!M60</f>
        <v>-</v>
      </c>
      <c r="N12" s="41" t="str">
        <f>PCC.Performance!N60</f>
        <v>-</v>
      </c>
      <c r="O12" s="41">
        <f>PCC.Performance!O60</f>
        <v>150.65616974618641</v>
      </c>
      <c r="P12" s="41">
        <f>PCC.Performance!P60</f>
        <v>156.2989600039657</v>
      </c>
      <c r="Q12" s="41">
        <f>PCC.Performance!Q60</f>
        <v>157.7171412984892</v>
      </c>
      <c r="R12" s="41">
        <f>PCC.Performance!R60</f>
        <v>159.10007510952079</v>
      </c>
      <c r="S12" s="41">
        <f>PCC.Performance!S60</f>
        <v>154.7120945772464</v>
      </c>
    </row>
    <row r="13" spans="1:19" ht="13.15" hidden="1" outlineLevel="1" x14ac:dyDescent="0.35">
      <c r="E13" s="9" t="s">
        <v>70</v>
      </c>
      <c r="F13" s="1" t="s">
        <v>68</v>
      </c>
      <c r="G13" s="1" t="s">
        <v>140</v>
      </c>
      <c r="H13" s="1" t="s">
        <v>39</v>
      </c>
      <c r="I13" s="8"/>
      <c r="J13" s="41" t="str">
        <f>PCC.Performance!J61</f>
        <v>-</v>
      </c>
      <c r="K13" s="41" t="str">
        <f>PCC.Performance!K61</f>
        <v>-</v>
      </c>
      <c r="L13" s="41" t="str">
        <f>PCC.Performance!L61</f>
        <v>-</v>
      </c>
      <c r="M13" s="41" t="str">
        <f>PCC.Performance!M61</f>
        <v>-</v>
      </c>
      <c r="N13" s="41" t="str">
        <f>PCC.Performance!N61</f>
        <v>-</v>
      </c>
      <c r="O13" s="41">
        <f>PCC.Performance!O61</f>
        <v>145.9475528734543</v>
      </c>
      <c r="P13" s="41">
        <f>PCC.Performance!P61</f>
        <v>152.26499754166099</v>
      </c>
      <c r="Q13" s="41">
        <f>PCC.Performance!Q61</f>
        <v>155.2811726516158</v>
      </c>
      <c r="R13" s="41">
        <f>PCC.Performance!R61</f>
        <v>157.89836784371749</v>
      </c>
      <c r="S13" s="41">
        <f>PCC.Performance!S61</f>
        <v>154.40186264115709</v>
      </c>
    </row>
    <row r="14" spans="1:19" ht="13.15" hidden="1" outlineLevel="1" x14ac:dyDescent="0.35">
      <c r="E14" s="9" t="s">
        <v>72</v>
      </c>
      <c r="F14" s="1" t="s">
        <v>68</v>
      </c>
      <c r="G14" s="1" t="s">
        <v>141</v>
      </c>
      <c r="H14" s="1" t="s">
        <v>39</v>
      </c>
      <c r="I14" s="8"/>
      <c r="J14" s="41" t="str">
        <f>PCC.Performance!J62</f>
        <v>-</v>
      </c>
      <c r="K14" s="41" t="str">
        <f>PCC.Performance!K62</f>
        <v>-</v>
      </c>
      <c r="L14" s="41" t="str">
        <f>PCC.Performance!L62</f>
        <v>-</v>
      </c>
      <c r="M14" s="41" t="str">
        <f>PCC.Performance!M62</f>
        <v>-</v>
      </c>
      <c r="N14" s="41" t="str">
        <f>PCC.Performance!N62</f>
        <v>-</v>
      </c>
      <c r="O14" s="41">
        <f>PCC.Performance!O62</f>
        <v>156.8240933940771</v>
      </c>
      <c r="P14" s="41">
        <f>PCC.Performance!P62</f>
        <v>161.572438942611</v>
      </c>
      <c r="Q14" s="41">
        <f>PCC.Performance!Q62</f>
        <v>160.90771502175591</v>
      </c>
      <c r="R14" s="41">
        <f>PCC.Performance!R62</f>
        <v>160.69273081957789</v>
      </c>
      <c r="S14" s="41">
        <f>PCC.Performance!S62</f>
        <v>155.13371669948111</v>
      </c>
    </row>
    <row r="15" spans="1:19" ht="13.15" hidden="1" outlineLevel="1" x14ac:dyDescent="0.35">
      <c r="E15" s="1" t="s">
        <v>49</v>
      </c>
      <c r="F15" s="1" t="s">
        <v>68</v>
      </c>
      <c r="G15" s="1" t="s">
        <v>139</v>
      </c>
      <c r="H15" s="1" t="s">
        <v>39</v>
      </c>
      <c r="I15" s="8"/>
      <c r="J15" s="41" t="str">
        <f>PCC.Performance!J63</f>
        <v>-</v>
      </c>
      <c r="K15" s="41" t="str">
        <f>PCC.Performance!K63</f>
        <v>-</v>
      </c>
      <c r="L15" s="41" t="str">
        <f>PCC.Performance!L63</f>
        <v>-</v>
      </c>
      <c r="M15" s="41" t="str">
        <f>PCC.Performance!M63</f>
        <v>-</v>
      </c>
      <c r="N15" s="41">
        <f>PCC.Performance!N63</f>
        <v>132.76</v>
      </c>
      <c r="O15" s="41">
        <f>PCC.Performance!O63</f>
        <v>133.69999999999999</v>
      </c>
      <c r="P15" s="41">
        <f>PCC.Performance!P63</f>
        <v>137.13333333333341</v>
      </c>
      <c r="Q15" s="41">
        <f>PCC.Performance!Q63</f>
        <v>138.4</v>
      </c>
      <c r="R15" s="41">
        <f>PCC.Performance!R63</f>
        <v>137.53195546546641</v>
      </c>
      <c r="S15" s="41">
        <f>PCC.Performance!S63</f>
        <v>131.25653047625369</v>
      </c>
    </row>
    <row r="16" spans="1:19" ht="13.15" hidden="1" outlineLevel="1" x14ac:dyDescent="0.35">
      <c r="E16" s="1" t="s">
        <v>50</v>
      </c>
      <c r="F16" s="1" t="s">
        <v>68</v>
      </c>
      <c r="G16" s="1" t="s">
        <v>139</v>
      </c>
      <c r="H16" s="1" t="s">
        <v>39</v>
      </c>
      <c r="I16" s="8"/>
      <c r="J16" s="41" t="str">
        <f>PCC.Performance!J64</f>
        <v>-</v>
      </c>
      <c r="K16" s="41" t="str">
        <f>PCC.Performance!K64</f>
        <v>-</v>
      </c>
      <c r="L16" s="41" t="str">
        <f>PCC.Performance!L64</f>
        <v>-</v>
      </c>
      <c r="M16" s="41" t="str">
        <f>PCC.Performance!M64</f>
        <v>-</v>
      </c>
      <c r="N16" s="41" t="str">
        <f>PCC.Performance!N64</f>
        <v>-</v>
      </c>
      <c r="O16" s="41">
        <f>PCC.Performance!O64</f>
        <v>146.01339378702161</v>
      </c>
      <c r="P16" s="41">
        <f>PCC.Performance!P64</f>
        <v>144.91414120469369</v>
      </c>
      <c r="Q16" s="41">
        <f>PCC.Performance!Q64</f>
        <v>142.08015103660441</v>
      </c>
      <c r="R16" s="41">
        <f>PCC.Performance!R64</f>
        <v>144.936321285498</v>
      </c>
      <c r="S16" s="41">
        <f>PCC.Performance!S64</f>
        <v>147.7929715049807</v>
      </c>
    </row>
    <row r="17" spans="1:19" ht="13.15" hidden="1" outlineLevel="1" x14ac:dyDescent="0.35">
      <c r="E17" s="1" t="s">
        <v>51</v>
      </c>
      <c r="F17" s="1" t="s">
        <v>68</v>
      </c>
      <c r="G17" s="1" t="s">
        <v>139</v>
      </c>
      <c r="H17" s="1" t="s">
        <v>39</v>
      </c>
      <c r="I17" s="8"/>
      <c r="J17" s="41">
        <f>PCC.Performance!J65</f>
        <v>134.80000000000001</v>
      </c>
      <c r="K17" s="41">
        <f>PCC.Performance!K65</f>
        <v>129.69999999999999</v>
      </c>
      <c r="L17" s="41">
        <f>PCC.Performance!L65</f>
        <v>131.29</v>
      </c>
      <c r="M17" s="41">
        <f>PCC.Performance!M65</f>
        <v>128.9</v>
      </c>
      <c r="N17" s="41">
        <f>PCC.Performance!N65</f>
        <v>129.9</v>
      </c>
      <c r="O17" s="41">
        <f>PCC.Performance!O65</f>
        <v>127.9631162358079</v>
      </c>
      <c r="P17" s="41">
        <f>PCC.Performance!P65</f>
        <v>131.7457647018056</v>
      </c>
      <c r="Q17" s="41">
        <f>PCC.Performance!Q65</f>
        <v>132.77548172827159</v>
      </c>
      <c r="R17" s="41">
        <f>PCC.Performance!R65</f>
        <v>133.42671993334321</v>
      </c>
      <c r="S17" s="41">
        <f>PCC.Performance!S65</f>
        <v>130.32223917674881</v>
      </c>
    </row>
    <row r="18" spans="1:19" ht="13.15" hidden="1" outlineLevel="1" x14ac:dyDescent="0.35">
      <c r="E18" s="1" t="s">
        <v>52</v>
      </c>
      <c r="F18" s="1" t="s">
        <v>68</v>
      </c>
      <c r="G18" s="1" t="s">
        <v>139</v>
      </c>
      <c r="H18" s="1" t="s">
        <v>39</v>
      </c>
      <c r="I18" s="8"/>
      <c r="J18" s="41">
        <f>PCC.Performance!J66</f>
        <v>150.71411128961589</v>
      </c>
      <c r="K18" s="41">
        <f>PCC.Performance!K66</f>
        <v>150.31191704396085</v>
      </c>
      <c r="L18" s="41">
        <f>PCC.Performance!L66</f>
        <v>149.90972279830581</v>
      </c>
      <c r="M18" s="41">
        <f>PCC.Performance!M66</f>
        <v>149.50752855265077</v>
      </c>
      <c r="N18" s="41">
        <f>PCC.Performance!N66</f>
        <v>149.10533430699573</v>
      </c>
      <c r="O18" s="41">
        <f>PCC.Performance!O66</f>
        <v>145.22165489487699</v>
      </c>
      <c r="P18" s="41">
        <f>PCC.Performance!P66</f>
        <v>147.55805721942619</v>
      </c>
      <c r="Q18" s="41">
        <f>PCC.Performance!Q66</f>
        <v>146.71431168046271</v>
      </c>
      <c r="R18" s="41">
        <f>PCC.Performance!R66</f>
        <v>145.3398957698729</v>
      </c>
      <c r="S18" s="41">
        <f>PCC.Performance!S66</f>
        <v>140.6556373438732</v>
      </c>
    </row>
    <row r="19" spans="1:19" ht="13.15" hidden="1" outlineLevel="1" x14ac:dyDescent="0.35">
      <c r="E19" s="1" t="s">
        <v>74</v>
      </c>
      <c r="F19" s="1" t="s">
        <v>68</v>
      </c>
      <c r="G19" s="1" t="s">
        <v>139</v>
      </c>
      <c r="H19" s="1" t="s">
        <v>39</v>
      </c>
      <c r="I19" s="8"/>
      <c r="J19" s="41">
        <f>PCC.Performance!J67</f>
        <v>130</v>
      </c>
      <c r="K19" s="41">
        <f>PCC.Performance!K67</f>
        <v>129.6</v>
      </c>
      <c r="L19" s="41">
        <f>PCC.Performance!L67</f>
        <v>138.9</v>
      </c>
      <c r="M19" s="41">
        <f>PCC.Performance!M67</f>
        <v>141.9</v>
      </c>
      <c r="N19" s="41">
        <f>PCC.Performance!N67</f>
        <v>143.69999999999999</v>
      </c>
      <c r="O19" s="41">
        <f>PCC.Performance!O67</f>
        <v>144.03056906781549</v>
      </c>
      <c r="P19" s="41">
        <f>PCC.Performance!P67</f>
        <v>146.5416068249944</v>
      </c>
      <c r="Q19" s="41">
        <f>PCC.Performance!Q67</f>
        <v>146.06053419056519</v>
      </c>
      <c r="R19" s="41">
        <f>PCC.Performance!R67</f>
        <v>144.7307355096014</v>
      </c>
      <c r="S19" s="41">
        <f>PCC.Performance!S67</f>
        <v>140.40208034614179</v>
      </c>
    </row>
    <row r="20" spans="1:19" ht="13.15" hidden="1" outlineLevel="1" x14ac:dyDescent="0.35">
      <c r="E20" s="1" t="s">
        <v>54</v>
      </c>
      <c r="F20" s="1" t="s">
        <v>68</v>
      </c>
      <c r="G20" s="1" t="s">
        <v>139</v>
      </c>
      <c r="H20" s="1" t="s">
        <v>39</v>
      </c>
      <c r="I20" s="8"/>
      <c r="J20" s="41">
        <f>PCC.Performance!J68</f>
        <v>138</v>
      </c>
      <c r="K20" s="41">
        <f>PCC.Performance!K68</f>
        <v>137.6</v>
      </c>
      <c r="L20" s="41">
        <f>PCC.Performance!L68</f>
        <v>140.69999999999999</v>
      </c>
      <c r="M20" s="41">
        <f>PCC.Performance!M68</f>
        <v>142.80000000000001</v>
      </c>
      <c r="N20" s="41">
        <f>PCC.Performance!N68</f>
        <v>146.19999999999999</v>
      </c>
      <c r="O20" s="41">
        <f>PCC.Performance!O68</f>
        <v>137.82381389780221</v>
      </c>
      <c r="P20" s="41">
        <f>PCC.Performance!P68</f>
        <v>143.13762841867421</v>
      </c>
      <c r="Q20" s="41">
        <f>PCC.Performance!Q68</f>
        <v>144.99667473492761</v>
      </c>
      <c r="R20" s="41">
        <f>PCC.Performance!R68</f>
        <v>145.1548143710981</v>
      </c>
      <c r="S20" s="41">
        <f>PCC.Performance!S68</f>
        <v>138.83639122945709</v>
      </c>
    </row>
    <row r="21" spans="1:19" ht="13.15" hidden="1" outlineLevel="1" x14ac:dyDescent="0.35">
      <c r="E21" s="1" t="s">
        <v>55</v>
      </c>
      <c r="F21" s="1" t="s">
        <v>68</v>
      </c>
      <c r="G21" s="1" t="s">
        <v>139</v>
      </c>
      <c r="H21" s="1" t="s">
        <v>39</v>
      </c>
      <c r="I21" s="8"/>
      <c r="J21" s="41">
        <f>PCC.Performance!J69</f>
        <v>133.30000000000001</v>
      </c>
      <c r="K21" s="41">
        <f>PCC.Performance!K69</f>
        <v>133.1</v>
      </c>
      <c r="L21" s="41">
        <f>PCC.Performance!L69</f>
        <v>134.5</v>
      </c>
      <c r="M21" s="41">
        <f>PCC.Performance!M69</f>
        <v>133</v>
      </c>
      <c r="N21" s="41">
        <f>PCC.Performance!N69</f>
        <v>133.5</v>
      </c>
      <c r="O21" s="41">
        <f>PCC.Performance!O69</f>
        <v>128.20208574358841</v>
      </c>
      <c r="P21" s="41">
        <f>PCC.Performance!P69</f>
        <v>132.49049098929541</v>
      </c>
      <c r="Q21" s="41">
        <f>PCC.Performance!Q69</f>
        <v>133.46147287983121</v>
      </c>
      <c r="R21" s="41">
        <f>PCC.Performance!R69</f>
        <v>132.1814179255116</v>
      </c>
      <c r="S21" s="41">
        <f>PCC.Performance!S69</f>
        <v>126.9082926509095</v>
      </c>
    </row>
    <row r="22" spans="1:19" ht="13.15" hidden="1" outlineLevel="1" x14ac:dyDescent="0.35">
      <c r="E22" s="1" t="s">
        <v>56</v>
      </c>
      <c r="F22" s="1" t="s">
        <v>68</v>
      </c>
      <c r="G22" s="1" t="s">
        <v>139</v>
      </c>
      <c r="H22" s="1" t="s">
        <v>39</v>
      </c>
      <c r="I22" s="8"/>
      <c r="J22" s="41">
        <f>PCC.Performance!J70</f>
        <v>148.30000000000001</v>
      </c>
      <c r="K22" s="41">
        <f>PCC.Performance!K70</f>
        <v>151.6</v>
      </c>
      <c r="L22" s="41">
        <f>PCC.Performance!L70</f>
        <v>153.80000000000001</v>
      </c>
      <c r="M22" s="41">
        <f>PCC.Performance!M70</f>
        <v>151</v>
      </c>
      <c r="N22" s="41">
        <f>PCC.Performance!N70</f>
        <v>158.80000000000001</v>
      </c>
      <c r="O22" s="41">
        <f>PCC.Performance!O70</f>
        <v>154.01455507962689</v>
      </c>
      <c r="P22" s="41">
        <f>PCC.Performance!P70</f>
        <v>159.36159031758331</v>
      </c>
      <c r="Q22" s="41">
        <f>PCC.Performance!Q70</f>
        <v>159.2332053149338</v>
      </c>
      <c r="R22" s="41">
        <f>PCC.Performance!R70</f>
        <v>160.6303898514916</v>
      </c>
      <c r="S22" s="41">
        <f>PCC.Performance!S70</f>
        <v>156.29511447989461</v>
      </c>
    </row>
    <row r="23" spans="1:19" ht="13.15" hidden="1" outlineLevel="1" x14ac:dyDescent="0.35">
      <c r="E23" s="1" t="s">
        <v>57</v>
      </c>
      <c r="F23" s="1" t="s">
        <v>68</v>
      </c>
      <c r="G23" s="1" t="s">
        <v>139</v>
      </c>
      <c r="H23" s="1" t="s">
        <v>39</v>
      </c>
      <c r="I23" s="8"/>
      <c r="J23" s="41">
        <f>PCC.Performance!J71</f>
        <v>143</v>
      </c>
      <c r="K23" s="41">
        <f>PCC.Performance!K71</f>
        <v>141.1</v>
      </c>
      <c r="L23" s="41">
        <f>PCC.Performance!L71</f>
        <v>144.1</v>
      </c>
      <c r="M23" s="41">
        <f>PCC.Performance!M71</f>
        <v>144.5</v>
      </c>
      <c r="N23" s="41">
        <f>PCC.Performance!N71</f>
        <v>148.30000000000001</v>
      </c>
      <c r="O23" s="41">
        <f>PCC.Performance!O71</f>
        <v>148.88289379242769</v>
      </c>
      <c r="P23" s="41">
        <f>PCC.Performance!P71</f>
        <v>152.94592790599219</v>
      </c>
      <c r="Q23" s="41">
        <f>PCC.Performance!Q71</f>
        <v>154.0740846106381</v>
      </c>
      <c r="R23" s="41">
        <f>PCC.Performance!R71</f>
        <v>154.85451184012129</v>
      </c>
      <c r="S23" s="41">
        <f>PCC.Performance!S71</f>
        <v>149.38899390318679</v>
      </c>
    </row>
    <row r="24" spans="1:19" ht="13.15" hidden="1" outlineLevel="1" x14ac:dyDescent="0.35">
      <c r="E24" s="1" t="s">
        <v>58</v>
      </c>
      <c r="F24" s="1" t="s">
        <v>68</v>
      </c>
      <c r="G24" s="1" t="s">
        <v>139</v>
      </c>
      <c r="H24" s="1" t="s">
        <v>39</v>
      </c>
      <c r="I24" s="8"/>
      <c r="J24" s="41">
        <f>PCC.Performance!J72</f>
        <v>129.25</v>
      </c>
      <c r="K24" s="41">
        <f>PCC.Performance!K72</f>
        <v>129.59</v>
      </c>
      <c r="L24" s="41">
        <f>PCC.Performance!L72</f>
        <v>129.85</v>
      </c>
      <c r="M24" s="41">
        <f>PCC.Performance!M72</f>
        <v>133.09</v>
      </c>
      <c r="N24" s="41">
        <f>PCC.Performance!N72</f>
        <v>136.41</v>
      </c>
      <c r="O24" s="41">
        <f>PCC.Performance!O72</f>
        <v>129.74004821842789</v>
      </c>
      <c r="P24" s="41">
        <f>PCC.Performance!P72</f>
        <v>136.85243125716389</v>
      </c>
      <c r="Q24" s="41">
        <f>PCC.Performance!Q72</f>
        <v>141.58970141812679</v>
      </c>
      <c r="R24" s="41">
        <f>PCC.Performance!R72</f>
        <v>146.55958411526279</v>
      </c>
      <c r="S24" s="41">
        <f>PCC.Performance!S72</f>
        <v>140.93014721666631</v>
      </c>
    </row>
    <row r="25" spans="1:19" ht="13.15" hidden="1" outlineLevel="1" x14ac:dyDescent="0.35">
      <c r="E25" s="1" t="s">
        <v>75</v>
      </c>
      <c r="F25" s="1" t="s">
        <v>68</v>
      </c>
      <c r="G25" s="1" t="s">
        <v>140</v>
      </c>
      <c r="H25" s="1" t="s">
        <v>39</v>
      </c>
      <c r="I25" s="8"/>
      <c r="J25" s="41" t="str">
        <f>PCC.Performance!J73</f>
        <v>-</v>
      </c>
      <c r="K25" s="41" t="str">
        <f>PCC.Performance!K73</f>
        <v>-</v>
      </c>
      <c r="L25" s="41" t="str">
        <f>PCC.Performance!L73</f>
        <v>-</v>
      </c>
      <c r="M25" s="41" t="str">
        <f>PCC.Performance!M73</f>
        <v>-</v>
      </c>
      <c r="N25" s="41" t="str">
        <f>PCC.Performance!N73</f>
        <v>-</v>
      </c>
      <c r="O25" s="41">
        <f>PCC.Performance!O73</f>
        <v>128.5377877776524</v>
      </c>
      <c r="P25" s="41">
        <f>PCC.Performance!P73</f>
        <v>136.31171411721371</v>
      </c>
      <c r="Q25" s="41">
        <f>PCC.Performance!Q73</f>
        <v>142.1135840589765</v>
      </c>
      <c r="R25" s="41">
        <f>PCC.Performance!R73</f>
        <v>147.5869496891269</v>
      </c>
      <c r="S25" s="41">
        <f>PCC.Performance!S73</f>
        <v>142.9218200348659</v>
      </c>
    </row>
    <row r="26" spans="1:19" ht="13.15" hidden="1" outlineLevel="1" x14ac:dyDescent="0.35">
      <c r="E26" s="1" t="s">
        <v>76</v>
      </c>
      <c r="F26" s="1" t="s">
        <v>68</v>
      </c>
      <c r="G26" s="1" t="s">
        <v>141</v>
      </c>
      <c r="H26" s="1" t="s">
        <v>39</v>
      </c>
      <c r="I26" s="8"/>
      <c r="J26" s="41" t="str">
        <f>PCC.Performance!J74</f>
        <v>-</v>
      </c>
      <c r="K26" s="41" t="str">
        <f>PCC.Performance!K74</f>
        <v>-</v>
      </c>
      <c r="L26" s="41" t="str">
        <f>PCC.Performance!L74</f>
        <v>-</v>
      </c>
      <c r="M26" s="41" t="str">
        <f>PCC.Performance!M74</f>
        <v>-</v>
      </c>
      <c r="N26" s="41" t="str">
        <f>PCC.Performance!N74</f>
        <v>-</v>
      </c>
      <c r="O26" s="41">
        <f>PCC.Performance!O74</f>
        <v>134.78262275502851</v>
      </c>
      <c r="P26" s="41">
        <f>PCC.Performance!P74</f>
        <v>139.11524333404461</v>
      </c>
      <c r="Q26" s="41">
        <f>PCC.Performance!Q74</f>
        <v>139.47421040293759</v>
      </c>
      <c r="R26" s="41">
        <f>PCC.Performance!R74</f>
        <v>142.44239130346941</v>
      </c>
      <c r="S26" s="41">
        <f>PCC.Performance!S74</f>
        <v>132.0992457027464</v>
      </c>
    </row>
    <row r="27" spans="1:19" ht="13.15" hidden="1" outlineLevel="1" x14ac:dyDescent="0.35">
      <c r="E27" s="1" t="s">
        <v>59</v>
      </c>
      <c r="F27" s="1" t="s">
        <v>68</v>
      </c>
      <c r="G27" s="1" t="s">
        <v>139</v>
      </c>
      <c r="H27" s="1" t="s">
        <v>39</v>
      </c>
      <c r="I27" s="8"/>
      <c r="J27" s="41">
        <f>PCC.Performance!J75</f>
        <v>145.55000000000001</v>
      </c>
      <c r="K27" s="41">
        <f>PCC.Performance!K75</f>
        <v>143.29</v>
      </c>
      <c r="L27" s="41">
        <f>PCC.Performance!L75</f>
        <v>145.1</v>
      </c>
      <c r="M27" s="41">
        <f>PCC.Performance!M75</f>
        <v>147.54</v>
      </c>
      <c r="N27" s="41">
        <f>PCC.Performance!N75</f>
        <v>152.38999999999999</v>
      </c>
      <c r="O27" s="41">
        <f>PCC.Performance!O75</f>
        <v>149.3103214050137</v>
      </c>
      <c r="P27" s="41">
        <f>PCC.Performance!P75</f>
        <v>157.22386959647179</v>
      </c>
      <c r="Q27" s="41">
        <f>PCC.Performance!Q75</f>
        <v>160.26419983725469</v>
      </c>
      <c r="R27" s="41">
        <f>PCC.Performance!R75</f>
        <v>161.13101132291749</v>
      </c>
      <c r="S27" s="41">
        <f>PCC.Performance!S75</f>
        <v>155.73755199240171</v>
      </c>
    </row>
    <row r="28" spans="1:19" ht="13.15" hidden="1" outlineLevel="1" x14ac:dyDescent="0.35">
      <c r="E28" s="1" t="s">
        <v>60</v>
      </c>
      <c r="F28" s="1" t="s">
        <v>68</v>
      </c>
      <c r="G28" s="1" t="s">
        <v>139</v>
      </c>
      <c r="H28" s="1" t="s">
        <v>39</v>
      </c>
      <c r="I28" s="8"/>
      <c r="J28" s="41" t="str">
        <f>PCC.Performance!J76</f>
        <v>-</v>
      </c>
      <c r="K28" s="41" t="str">
        <f>PCC.Performance!K76</f>
        <v>-</v>
      </c>
      <c r="L28" s="41" t="str">
        <f>PCC.Performance!L76</f>
        <v>-</v>
      </c>
      <c r="M28" s="41" t="str">
        <f>PCC.Performance!M76</f>
        <v>-</v>
      </c>
      <c r="N28" s="41" t="str">
        <f>PCC.Performance!N76</f>
        <v>-</v>
      </c>
      <c r="O28" s="41">
        <f>PCC.Performance!O76</f>
        <v>147.05025085934551</v>
      </c>
      <c r="P28" s="41">
        <f>PCC.Performance!P76</f>
        <v>153.4429442867023</v>
      </c>
      <c r="Q28" s="41">
        <f>PCC.Performance!Q76</f>
        <v>156.90978245573879</v>
      </c>
      <c r="R28" s="41">
        <f>PCC.Performance!R76</f>
        <v>158.25798785054019</v>
      </c>
      <c r="S28" s="41">
        <f>PCC.Performance!S76</f>
        <v>150.76235262077941</v>
      </c>
    </row>
    <row r="29" spans="1:19" ht="13.15" hidden="1" outlineLevel="1" x14ac:dyDescent="0.35">
      <c r="E29" s="1" t="s">
        <v>61</v>
      </c>
      <c r="F29" s="1" t="s">
        <v>68</v>
      </c>
      <c r="G29" s="1" t="s">
        <v>139</v>
      </c>
      <c r="H29" s="1" t="s">
        <v>39</v>
      </c>
      <c r="I29" s="8"/>
      <c r="J29" s="41">
        <f>PCC.Performance!J77</f>
        <v>161.1</v>
      </c>
      <c r="K29" s="41">
        <f>PCC.Performance!K77</f>
        <v>160.9</v>
      </c>
      <c r="L29" s="41">
        <f>PCC.Performance!L77</f>
        <v>159.72999999999999</v>
      </c>
      <c r="M29" s="41">
        <f>PCC.Performance!M77</f>
        <v>158.80000000000001</v>
      </c>
      <c r="N29" s="41">
        <f>PCC.Performance!N77</f>
        <v>162.62</v>
      </c>
      <c r="O29" s="41">
        <f>PCC.Performance!O77</f>
        <v>149.00575281485101</v>
      </c>
      <c r="P29" s="41">
        <f>PCC.Performance!P77</f>
        <v>154.59016679237169</v>
      </c>
      <c r="Q29" s="41">
        <f>PCC.Performance!Q77</f>
        <v>152.6351979075838</v>
      </c>
      <c r="R29" s="41">
        <f>PCC.Performance!R77</f>
        <v>155.1320920778675</v>
      </c>
      <c r="S29" s="41">
        <f>PCC.Performance!S77</f>
        <v>149.399382448621</v>
      </c>
    </row>
    <row r="30" spans="1:19" ht="13.15" collapsed="1" x14ac:dyDescent="0.35">
      <c r="E30" s="1"/>
    </row>
    <row r="31" spans="1:19" s="91" customFormat="1" ht="13.15" x14ac:dyDescent="0.35">
      <c r="A31" s="90" t="s">
        <v>142</v>
      </c>
      <c r="B31" s="90"/>
      <c r="C31" s="90"/>
      <c r="D31" s="90"/>
      <c r="E31" s="90"/>
      <c r="F31" s="90"/>
      <c r="G31" s="90"/>
      <c r="H31" s="90"/>
      <c r="I31" s="90"/>
    </row>
    <row r="32" spans="1:19" ht="13.15" x14ac:dyDescent="0.35">
      <c r="E32" s="1"/>
    </row>
    <row r="33" spans="5:19" ht="13.15" x14ac:dyDescent="0.35">
      <c r="E33" s="1" t="s">
        <v>36</v>
      </c>
      <c r="F33" s="1" t="s">
        <v>68</v>
      </c>
      <c r="G33" s="1" t="s">
        <v>128</v>
      </c>
      <c r="H33" s="1" t="s">
        <v>39</v>
      </c>
      <c r="I33" s="11"/>
      <c r="J33" s="41">
        <f>PCC.PCL!J57</f>
        <v>133.30000000000001</v>
      </c>
      <c r="K33" s="41">
        <f>PCC.PCL!K57</f>
        <v>131.9</v>
      </c>
      <c r="L33" s="41">
        <f>PCC.PCL!L57</f>
        <v>130.5</v>
      </c>
      <c r="M33" s="41">
        <f>PCC.PCL!M57</f>
        <v>129.10000000000002</v>
      </c>
      <c r="N33" s="41">
        <f>PCC.PCL!N57</f>
        <v>127.70000000000002</v>
      </c>
      <c r="O33" s="41">
        <f>PCC.PCL!O57</f>
        <v>135.59087631573109</v>
      </c>
      <c r="P33" s="41">
        <f>PCC.PCL!P57</f>
        <v>133.92000000000002</v>
      </c>
      <c r="Q33" s="41">
        <f>PCC.PCL!Q57</f>
        <v>132.30000000000001</v>
      </c>
      <c r="R33" s="41">
        <f>PCC.PCL!R57</f>
        <v>130.68000000000004</v>
      </c>
      <c r="S33" s="41">
        <f>PCC.PCL!S57</f>
        <v>127.44</v>
      </c>
    </row>
    <row r="34" spans="5:19" ht="13.15" hidden="1" outlineLevel="1" x14ac:dyDescent="0.35">
      <c r="E34" s="1" t="s">
        <v>46</v>
      </c>
      <c r="F34" s="1" t="s">
        <v>68</v>
      </c>
      <c r="G34" s="1" t="s">
        <v>128</v>
      </c>
      <c r="H34" s="1" t="s">
        <v>39</v>
      </c>
      <c r="I34" s="8"/>
      <c r="J34" s="41" t="str">
        <f>PCC.PCL!J58</f>
        <v>-</v>
      </c>
      <c r="K34" s="41" t="str">
        <f>PCC.PCL!K58</f>
        <v>-</v>
      </c>
      <c r="L34" s="41" t="str">
        <f>PCC.PCL!L58</f>
        <v>-</v>
      </c>
      <c r="M34" s="41" t="str">
        <f>PCC.PCL!M58</f>
        <v>-</v>
      </c>
      <c r="N34" s="41" t="str">
        <f>PCC.PCL!N58</f>
        <v/>
      </c>
      <c r="O34" s="41">
        <f>PCC.PCL!O58</f>
        <v>155.81055216354875</v>
      </c>
      <c r="P34" s="41">
        <f>PCC.PCL!P58</f>
        <v>153.68099999999998</v>
      </c>
      <c r="Q34" s="41">
        <f>PCC.PCL!Q58</f>
        <v>152.12866666666665</v>
      </c>
      <c r="R34" s="41">
        <f>PCC.PCL!R58</f>
        <v>150.57633333333331</v>
      </c>
      <c r="S34" s="41">
        <f>PCC.PCL!S58</f>
        <v>145.44999999999999</v>
      </c>
    </row>
    <row r="35" spans="5:19" ht="13.15" hidden="1" outlineLevel="1" x14ac:dyDescent="0.35">
      <c r="E35" s="1" t="s">
        <v>47</v>
      </c>
      <c r="F35" s="1" t="s">
        <v>68</v>
      </c>
      <c r="G35" s="1" t="s">
        <v>128</v>
      </c>
      <c r="H35" s="1" t="s">
        <v>39</v>
      </c>
      <c r="I35" s="8"/>
      <c r="J35" s="41" t="str">
        <f>PCC.PCL!J59</f>
        <v>-</v>
      </c>
      <c r="K35" s="41" t="str">
        <f>PCC.PCL!K59</f>
        <v>-</v>
      </c>
      <c r="L35" s="41" t="str">
        <f>PCC.PCL!L59</f>
        <v>-</v>
      </c>
      <c r="M35" s="41" t="str">
        <f>PCC.PCL!M59</f>
        <v>-</v>
      </c>
      <c r="N35" s="41">
        <f>PCC.PCL!N59</f>
        <v>128.37</v>
      </c>
      <c r="O35" s="41">
        <f>PCC.PCL!O59</f>
        <v>133.39011190472544</v>
      </c>
      <c r="P35" s="41">
        <f>PCC.PCL!P59</f>
        <v>132.26546666666667</v>
      </c>
      <c r="Q35" s="41">
        <f>PCC.PCL!Q59</f>
        <v>131.06426666666667</v>
      </c>
      <c r="R35" s="41">
        <f>PCC.PCL!R59</f>
        <v>129.86306666666667</v>
      </c>
      <c r="S35" s="41">
        <f>PCC.PCL!S59</f>
        <v>127.86</v>
      </c>
    </row>
    <row r="36" spans="5:19" ht="13.15" hidden="1" outlineLevel="1" x14ac:dyDescent="0.35">
      <c r="E36" s="1" t="s">
        <v>48</v>
      </c>
      <c r="F36" s="1" t="s">
        <v>68</v>
      </c>
      <c r="G36" s="1" t="s">
        <v>128</v>
      </c>
      <c r="H36" s="1" t="s">
        <v>39</v>
      </c>
      <c r="I36" s="8"/>
      <c r="J36" s="41" t="str">
        <f>PCC.PCL!J60</f>
        <v>-</v>
      </c>
      <c r="K36" s="41" t="str">
        <f>PCC.PCL!K60</f>
        <v>-</v>
      </c>
      <c r="L36" s="41" t="str">
        <f>PCC.PCL!L60</f>
        <v>-</v>
      </c>
      <c r="M36" s="41" t="str">
        <f>PCC.PCL!M60</f>
        <v>-</v>
      </c>
      <c r="N36" s="41" t="str">
        <f>PCC.PCL!N60</f>
        <v>-</v>
      </c>
      <c r="O36" s="41">
        <f>PCC.PCL!O60</f>
        <v>151.17270927162315</v>
      </c>
      <c r="P36" s="41">
        <f>PCC.PCL!P60</f>
        <v>149.42826666666664</v>
      </c>
      <c r="Q36" s="41">
        <f>PCC.PCL!Q60</f>
        <v>147.92193333333333</v>
      </c>
      <c r="R36" s="41">
        <f>PCC.PCL!R60</f>
        <v>146.26496666666665</v>
      </c>
      <c r="S36" s="41">
        <f>PCC.PCL!S60</f>
        <v>142.65</v>
      </c>
    </row>
    <row r="37" spans="5:19" ht="13.15" hidden="1" outlineLevel="1" x14ac:dyDescent="0.35">
      <c r="E37" s="9" t="s">
        <v>70</v>
      </c>
      <c r="F37" s="1" t="s">
        <v>68</v>
      </c>
      <c r="G37" s="1" t="s">
        <v>128</v>
      </c>
      <c r="H37" s="1" t="s">
        <v>39</v>
      </c>
      <c r="I37" s="8"/>
      <c r="J37" s="41" t="str">
        <f>PCC.PCL!J61</f>
        <v>-</v>
      </c>
      <c r="K37" s="41" t="str">
        <f>PCC.PCL!K61</f>
        <v>-</v>
      </c>
      <c r="L37" s="41" t="str">
        <f>PCC.PCL!L61</f>
        <v>-</v>
      </c>
      <c r="M37" s="41" t="str">
        <f>PCC.PCL!M61</f>
        <v>-</v>
      </c>
      <c r="N37" s="41" t="str">
        <f>PCC.PCL!N61</f>
        <v>-</v>
      </c>
      <c r="O37" s="41" t="str">
        <f>PCC.PCL!O61</f>
        <v>-</v>
      </c>
      <c r="P37" s="41" t="str">
        <f>PCC.PCL!P61</f>
        <v>-</v>
      </c>
      <c r="Q37" s="41" t="str">
        <f>PCC.PCL!Q61</f>
        <v>-</v>
      </c>
      <c r="R37" s="41" t="str">
        <f>PCC.PCL!R61</f>
        <v>-</v>
      </c>
      <c r="S37" s="41" t="str">
        <f>PCC.PCL!S61</f>
        <v>-</v>
      </c>
    </row>
    <row r="38" spans="5:19" ht="13.15" hidden="1" outlineLevel="1" x14ac:dyDescent="0.35">
      <c r="E38" s="9" t="s">
        <v>72</v>
      </c>
      <c r="F38" s="1" t="s">
        <v>68</v>
      </c>
      <c r="G38" s="1" t="s">
        <v>128</v>
      </c>
      <c r="H38" s="1" t="s">
        <v>39</v>
      </c>
      <c r="I38" s="8"/>
      <c r="J38" s="41" t="str">
        <f>PCC.PCL!J62</f>
        <v>-</v>
      </c>
      <c r="K38" s="41" t="str">
        <f>PCC.PCL!K62</f>
        <v>-</v>
      </c>
      <c r="L38" s="41" t="str">
        <f>PCC.PCL!L62</f>
        <v>-</v>
      </c>
      <c r="M38" s="41" t="str">
        <f>PCC.PCL!M62</f>
        <v>-</v>
      </c>
      <c r="N38" s="41" t="str">
        <f>PCC.PCL!N62</f>
        <v>-</v>
      </c>
      <c r="O38" s="41" t="str">
        <f>PCC.PCL!O62</f>
        <v>-</v>
      </c>
      <c r="P38" s="41" t="str">
        <f>PCC.PCL!P62</f>
        <v>-</v>
      </c>
      <c r="Q38" s="41" t="str">
        <f>PCC.PCL!Q62</f>
        <v>-</v>
      </c>
      <c r="R38" s="41" t="str">
        <f>PCC.PCL!R62</f>
        <v>-</v>
      </c>
      <c r="S38" s="41" t="str">
        <f>PCC.PCL!S62</f>
        <v>-</v>
      </c>
    </row>
    <row r="39" spans="5:19" ht="13.15" hidden="1" outlineLevel="1" x14ac:dyDescent="0.35">
      <c r="E39" s="1" t="s">
        <v>49</v>
      </c>
      <c r="F39" s="1" t="s">
        <v>68</v>
      </c>
      <c r="G39" s="1" t="s">
        <v>128</v>
      </c>
      <c r="H39" s="1" t="s">
        <v>39</v>
      </c>
      <c r="I39" s="8"/>
      <c r="J39" s="41" t="str">
        <f>PCC.PCL!J63</f>
        <v>-</v>
      </c>
      <c r="K39" s="41" t="str">
        <f>PCC.PCL!K63</f>
        <v>-</v>
      </c>
      <c r="L39" s="41" t="str">
        <f>PCC.PCL!L63</f>
        <v>-</v>
      </c>
      <c r="M39" s="41" t="str">
        <f>PCC.PCL!M63</f>
        <v>-</v>
      </c>
      <c r="N39" s="41">
        <f>PCC.PCL!N63</f>
        <v>128.37</v>
      </c>
      <c r="O39" s="41">
        <f>PCC.PCL!O63</f>
        <v>130.11639719453362</v>
      </c>
      <c r="P39" s="41">
        <f>PCC.PCL!P63</f>
        <v>129.1893</v>
      </c>
      <c r="Q39" s="41">
        <f>PCC.PCL!Q63</f>
        <v>128.27859999999998</v>
      </c>
      <c r="R39" s="41">
        <f>PCC.PCL!R63</f>
        <v>127.36789999999999</v>
      </c>
      <c r="S39" s="41">
        <f>PCC.PCL!S63</f>
        <v>125.55</v>
      </c>
    </row>
    <row r="40" spans="5:19" ht="13.15" hidden="1" outlineLevel="1" x14ac:dyDescent="0.35">
      <c r="E40" s="1" t="s">
        <v>50</v>
      </c>
      <c r="F40" s="1" t="s">
        <v>68</v>
      </c>
      <c r="G40" s="1" t="s">
        <v>128</v>
      </c>
      <c r="H40" s="1" t="s">
        <v>39</v>
      </c>
      <c r="I40" s="8"/>
      <c r="J40" s="41" t="str">
        <f>PCC.PCL!J64</f>
        <v>-</v>
      </c>
      <c r="K40" s="41" t="str">
        <f>PCC.PCL!K64</f>
        <v>-</v>
      </c>
      <c r="L40" s="41" t="str">
        <f>PCC.PCL!L64</f>
        <v>-</v>
      </c>
      <c r="M40" s="41" t="str">
        <f>PCC.PCL!M64</f>
        <v>-</v>
      </c>
      <c r="N40" s="41" t="str">
        <f>PCC.PCL!N64</f>
        <v>-</v>
      </c>
      <c r="O40" s="41">
        <f>PCC.PCL!O64</f>
        <v>146.31797762547529</v>
      </c>
      <c r="P40" s="41">
        <f>PCC.PCL!P64</f>
        <v>144.39400000000001</v>
      </c>
      <c r="Q40" s="41">
        <f>PCC.PCL!Q64</f>
        <v>142.642</v>
      </c>
      <c r="R40" s="41">
        <f>PCC.PCL!R64</f>
        <v>140.744</v>
      </c>
      <c r="S40" s="41">
        <f>PCC.PCL!S64</f>
        <v>136.94999999999999</v>
      </c>
    </row>
    <row r="41" spans="5:19" ht="13.15" hidden="1" outlineLevel="1" x14ac:dyDescent="0.35">
      <c r="E41" s="1" t="s">
        <v>51</v>
      </c>
      <c r="F41" s="1" t="s">
        <v>68</v>
      </c>
      <c r="G41" s="1" t="s">
        <v>128</v>
      </c>
      <c r="H41" s="1" t="s">
        <v>39</v>
      </c>
      <c r="I41" s="8"/>
      <c r="J41" s="41">
        <f>PCC.PCL!J65</f>
        <v>147.19999999999999</v>
      </c>
      <c r="K41" s="41">
        <f>PCC.PCL!K65</f>
        <v>144.5</v>
      </c>
      <c r="L41" s="41">
        <f>PCC.PCL!L65</f>
        <v>141.80000000000001</v>
      </c>
      <c r="M41" s="41">
        <f>PCC.PCL!M65</f>
        <v>139.10000000000002</v>
      </c>
      <c r="N41" s="41">
        <f>PCC.PCL!N65</f>
        <v>136.40000000000003</v>
      </c>
      <c r="O41" s="41">
        <f>PCC.PCL!O65</f>
        <v>128.75369761639615</v>
      </c>
      <c r="P41" s="41">
        <f>PCC.PCL!P65</f>
        <v>126.68699999999998</v>
      </c>
      <c r="Q41" s="41">
        <f>PCC.PCL!Q65</f>
        <v>125.40733333333331</v>
      </c>
      <c r="R41" s="41">
        <f>PCC.PCL!R65</f>
        <v>122.46409999999999</v>
      </c>
      <c r="S41" s="41">
        <f>PCC.PCL!S65</f>
        <v>118.75</v>
      </c>
    </row>
    <row r="42" spans="5:19" ht="13.15" hidden="1" outlineLevel="1" x14ac:dyDescent="0.35">
      <c r="E42" s="1" t="s">
        <v>52</v>
      </c>
      <c r="F42" s="1" t="s">
        <v>68</v>
      </c>
      <c r="G42" s="1" t="s">
        <v>128</v>
      </c>
      <c r="H42" s="1" t="s">
        <v>39</v>
      </c>
      <c r="I42" s="8"/>
      <c r="J42" s="41" t="str">
        <f>PCC.PCL!J66</f>
        <v>-</v>
      </c>
      <c r="K42" s="41" t="str">
        <f>PCC.PCL!K66</f>
        <v>-</v>
      </c>
      <c r="L42" s="41" t="str">
        <f>PCC.PCL!L66</f>
        <v>-</v>
      </c>
      <c r="M42" s="41" t="str">
        <f>PCC.PCL!M66</f>
        <v>-</v>
      </c>
      <c r="N42" s="41" t="str">
        <f>PCC.PCL!N66</f>
        <v>-</v>
      </c>
      <c r="O42" s="41">
        <f>PCC.PCL!O66</f>
        <v>146.29119514109132</v>
      </c>
      <c r="P42" s="41">
        <f>PCC.PCL!P66</f>
        <v>144.32806666666664</v>
      </c>
      <c r="Q42" s="41">
        <f>PCC.PCL!Q66</f>
        <v>142.57686666666663</v>
      </c>
      <c r="R42" s="41">
        <f>PCC.PCL!R66</f>
        <v>140.97159999999997</v>
      </c>
      <c r="S42" s="41">
        <f>PCC.PCL!S66</f>
        <v>136.74</v>
      </c>
    </row>
    <row r="43" spans="5:19" ht="13.15" hidden="1" outlineLevel="1" x14ac:dyDescent="0.35">
      <c r="E43" s="1" t="s">
        <v>74</v>
      </c>
      <c r="F43" s="1" t="s">
        <v>68</v>
      </c>
      <c r="G43" s="1" t="s">
        <v>128</v>
      </c>
      <c r="H43" s="1" t="s">
        <v>39</v>
      </c>
      <c r="I43" s="8"/>
      <c r="J43" s="41" t="str">
        <f>PCC.PCL!J67</f>
        <v>-</v>
      </c>
      <c r="K43" s="41" t="str">
        <f>PCC.PCL!K67</f>
        <v>-</v>
      </c>
      <c r="L43" s="41" t="str">
        <f>PCC.PCL!L67</f>
        <v>-</v>
      </c>
      <c r="M43" s="41" t="str">
        <f>PCC.PCL!M67</f>
        <v>-</v>
      </c>
      <c r="N43" s="41" t="str">
        <f>PCC.PCL!N67</f>
        <v>-</v>
      </c>
      <c r="O43" s="41">
        <f>PCC.PCL!O67</f>
        <v>143.98725872038253</v>
      </c>
      <c r="P43" s="41">
        <f>PCC.PCL!P67</f>
        <v>142.12799999999999</v>
      </c>
      <c r="Q43" s="41">
        <f>PCC.PCL!Q67</f>
        <v>140.256</v>
      </c>
      <c r="R43" s="41">
        <f>PCC.PCL!R67</f>
        <v>138.38399999999999</v>
      </c>
      <c r="S43" s="41">
        <f>PCC.PCL!S67</f>
        <v>134.93</v>
      </c>
    </row>
    <row r="44" spans="5:19" ht="13.15" hidden="1" outlineLevel="1" x14ac:dyDescent="0.35">
      <c r="E44" s="1" t="s">
        <v>54</v>
      </c>
      <c r="F44" s="1" t="s">
        <v>68</v>
      </c>
      <c r="G44" s="1" t="s">
        <v>128</v>
      </c>
      <c r="H44" s="1" t="s">
        <v>39</v>
      </c>
      <c r="I44" s="8"/>
      <c r="J44" s="41">
        <f>PCC.PCL!J68</f>
        <v>137</v>
      </c>
      <c r="K44" s="41">
        <f>PCC.PCL!K68</f>
        <v>135</v>
      </c>
      <c r="L44" s="41">
        <f>PCC.PCL!L68</f>
        <v>134</v>
      </c>
      <c r="M44" s="41">
        <f>PCC.PCL!M68</f>
        <v>133</v>
      </c>
      <c r="N44" s="41">
        <f>PCC.PCL!N68</f>
        <v>132</v>
      </c>
      <c r="O44" s="41">
        <f>PCC.PCL!O68</f>
        <v>137.97276495924646</v>
      </c>
      <c r="P44" s="41">
        <f>PCC.PCL!P68</f>
        <v>137.69550000000001</v>
      </c>
      <c r="Q44" s="41">
        <f>PCC.PCL!Q68</f>
        <v>137.55766666666668</v>
      </c>
      <c r="R44" s="41">
        <f>PCC.PCL!R68</f>
        <v>137.41983333333334</v>
      </c>
      <c r="S44" s="41">
        <f>PCC.PCL!S68</f>
        <v>136.59</v>
      </c>
    </row>
    <row r="45" spans="5:19" ht="13.15" hidden="1" outlineLevel="1" x14ac:dyDescent="0.35">
      <c r="E45" s="1" t="s">
        <v>55</v>
      </c>
      <c r="F45" s="1" t="s">
        <v>68</v>
      </c>
      <c r="G45" s="1" t="s">
        <v>128</v>
      </c>
      <c r="H45" s="1" t="s">
        <v>39</v>
      </c>
      <c r="I45" s="8"/>
      <c r="J45" s="41">
        <f>PCC.PCL!J69</f>
        <v>143.69999999999999</v>
      </c>
      <c r="K45" s="41">
        <f>PCC.PCL!K69</f>
        <v>142.6</v>
      </c>
      <c r="L45" s="41">
        <f>PCC.PCL!L69</f>
        <v>141.5</v>
      </c>
      <c r="M45" s="41">
        <f>PCC.PCL!M69</f>
        <v>140.4</v>
      </c>
      <c r="N45" s="41">
        <f>PCC.PCL!N69</f>
        <v>139.30000000000001</v>
      </c>
      <c r="O45" s="41">
        <f>PCC.PCL!O69</f>
        <v>127.30305697210653</v>
      </c>
      <c r="P45" s="41">
        <f>PCC.PCL!P69</f>
        <v>125.12319999999998</v>
      </c>
      <c r="Q45" s="41">
        <f>PCC.PCL!Q69</f>
        <v>121.91819999999998</v>
      </c>
      <c r="R45" s="41">
        <f>PCC.PCL!R69</f>
        <v>118.71319999999999</v>
      </c>
      <c r="S45" s="41">
        <f>PCC.PCL!S69</f>
        <v>116.79</v>
      </c>
    </row>
    <row r="46" spans="5:19" ht="13.15" hidden="1" outlineLevel="1" x14ac:dyDescent="0.35">
      <c r="E46" s="1" t="s">
        <v>56</v>
      </c>
      <c r="F46" s="1" t="s">
        <v>68</v>
      </c>
      <c r="G46" s="1" t="s">
        <v>128</v>
      </c>
      <c r="H46" s="1" t="s">
        <v>39</v>
      </c>
      <c r="I46" s="8"/>
      <c r="J46" s="41">
        <f>PCC.PCL!J70</f>
        <v>158.4</v>
      </c>
      <c r="K46" s="41">
        <f>PCC.PCL!K70</f>
        <v>156.30000000000001</v>
      </c>
      <c r="L46" s="41">
        <f>PCC.PCL!L70</f>
        <v>155.6</v>
      </c>
      <c r="M46" s="41">
        <f>PCC.PCL!M70</f>
        <v>153.30000000000001</v>
      </c>
      <c r="N46" s="41">
        <f>PCC.PCL!N70</f>
        <v>150.30000000000001</v>
      </c>
      <c r="O46" s="41">
        <f>PCC.PCL!O70</f>
        <v>156.96516721671509</v>
      </c>
      <c r="P46" s="41">
        <f>PCC.PCL!P70</f>
        <v>152.4633</v>
      </c>
      <c r="Q46" s="41">
        <f>PCC.PCL!Q70</f>
        <v>147.50009999999997</v>
      </c>
      <c r="R46" s="41">
        <f>PCC.PCL!R70</f>
        <v>143.77770000000001</v>
      </c>
      <c r="S46" s="41">
        <f>PCC.PCL!S70</f>
        <v>135.71</v>
      </c>
    </row>
    <row r="47" spans="5:19" ht="13.15" hidden="1" outlineLevel="1" x14ac:dyDescent="0.35">
      <c r="E47" s="1" t="s">
        <v>57</v>
      </c>
      <c r="F47" s="1" t="s">
        <v>68</v>
      </c>
      <c r="G47" s="1" t="s">
        <v>128</v>
      </c>
      <c r="H47" s="1" t="s">
        <v>39</v>
      </c>
      <c r="I47" s="8"/>
      <c r="J47" s="41">
        <f>PCC.PCL!J71</f>
        <v>145.6</v>
      </c>
      <c r="K47" s="41">
        <f>PCC.PCL!K71</f>
        <v>145.4</v>
      </c>
      <c r="L47" s="41">
        <f>PCC.PCL!L71</f>
        <v>144.5</v>
      </c>
      <c r="M47" s="41">
        <f>PCC.PCL!M71</f>
        <v>143.6</v>
      </c>
      <c r="N47" s="41">
        <f>PCC.PCL!N71</f>
        <v>142.80000000000001</v>
      </c>
      <c r="O47" s="41">
        <f>PCC.PCL!O71</f>
        <v>148.85349477898805</v>
      </c>
      <c r="P47" s="41">
        <f>PCC.PCL!P71</f>
        <v>146.9314</v>
      </c>
      <c r="Q47" s="41">
        <f>PCC.PCL!Q71</f>
        <v>144.99613333333335</v>
      </c>
      <c r="R47" s="41">
        <f>PCC.PCL!R71</f>
        <v>143.06086666666667</v>
      </c>
      <c r="S47" s="41">
        <f>PCC.PCL!S71</f>
        <v>139.49</v>
      </c>
    </row>
    <row r="48" spans="5:19" ht="13.15" hidden="1" outlineLevel="1" x14ac:dyDescent="0.35">
      <c r="E48" s="1" t="s">
        <v>58</v>
      </c>
      <c r="F48" s="1" t="s">
        <v>68</v>
      </c>
      <c r="G48" s="1" t="s">
        <v>128</v>
      </c>
      <c r="H48" s="1" t="s">
        <v>39</v>
      </c>
      <c r="I48" s="8"/>
      <c r="J48" s="41" t="str">
        <f>PCC.PCL!J72</f>
        <v>-</v>
      </c>
      <c r="K48" s="41" t="str">
        <f>PCC.PCL!K72</f>
        <v>-</v>
      </c>
      <c r="L48" s="41" t="str">
        <f>PCC.PCL!L72</f>
        <v>-</v>
      </c>
      <c r="M48" s="41" t="str">
        <f>PCC.PCL!M72</f>
        <v>-</v>
      </c>
      <c r="N48" s="41" t="str">
        <f>PCC.PCL!N72</f>
        <v>-</v>
      </c>
      <c r="O48" s="41" t="str">
        <f>PCC.PCL!O72</f>
        <v>-</v>
      </c>
      <c r="P48" s="41" t="str">
        <f>PCC.PCL!P72</f>
        <v>-</v>
      </c>
      <c r="Q48" s="41" t="str">
        <f>PCC.PCL!Q72</f>
        <v>-</v>
      </c>
      <c r="R48" s="41" t="str">
        <f>PCC.PCL!R72</f>
        <v>-</v>
      </c>
      <c r="S48" s="41" t="str">
        <f>PCC.PCL!S72</f>
        <v>-</v>
      </c>
    </row>
    <row r="49" spans="1:19" ht="13.15" hidden="1" outlineLevel="1" x14ac:dyDescent="0.35">
      <c r="E49" s="1" t="s">
        <v>75</v>
      </c>
      <c r="F49" s="1" t="s">
        <v>68</v>
      </c>
      <c r="G49" s="1" t="s">
        <v>128</v>
      </c>
      <c r="H49" s="1" t="s">
        <v>39</v>
      </c>
      <c r="I49" s="8"/>
      <c r="J49" s="41" t="str">
        <f>PCC.PCL!J73</f>
        <v>-</v>
      </c>
      <c r="K49" s="41" t="str">
        <f>PCC.PCL!K73</f>
        <v>-</v>
      </c>
      <c r="L49" s="41" t="str">
        <f>PCC.PCL!L73</f>
        <v>-</v>
      </c>
      <c r="M49" s="41" t="str">
        <f>PCC.PCL!M73</f>
        <v>-</v>
      </c>
      <c r="N49" s="41" t="str">
        <f>PCC.PCL!N73</f>
        <v>-</v>
      </c>
      <c r="O49" s="41">
        <f>PCC.PCL!O73</f>
        <v>128.3124960987829</v>
      </c>
      <c r="P49" s="41">
        <f>PCC.PCL!P73</f>
        <v>128.11879999999999</v>
      </c>
      <c r="Q49" s="41">
        <f>PCC.PCL!Q73</f>
        <v>127.99016666666665</v>
      </c>
      <c r="R49" s="41">
        <f>PCC.PCL!R73</f>
        <v>127.73289999999999</v>
      </c>
      <c r="S49" s="41">
        <f>PCC.PCL!S73</f>
        <v>127.35</v>
      </c>
    </row>
    <row r="50" spans="1:19" ht="13.15" hidden="1" outlineLevel="1" x14ac:dyDescent="0.35">
      <c r="E50" s="1" t="s">
        <v>76</v>
      </c>
      <c r="F50" s="1" t="s">
        <v>68</v>
      </c>
      <c r="G50" s="1" t="s">
        <v>128</v>
      </c>
      <c r="H50" s="1" t="s">
        <v>39</v>
      </c>
      <c r="I50" s="8"/>
      <c r="J50" s="41" t="str">
        <f>PCC.PCL!J74</f>
        <v>-</v>
      </c>
      <c r="K50" s="41" t="str">
        <f>PCC.PCL!K74</f>
        <v>-</v>
      </c>
      <c r="L50" s="41" t="str">
        <f>PCC.PCL!L74</f>
        <v>-</v>
      </c>
      <c r="M50" s="41" t="str">
        <f>PCC.PCL!M74</f>
        <v>-</v>
      </c>
      <c r="N50" s="41" t="str">
        <f>PCC.PCL!N74</f>
        <v>-</v>
      </c>
      <c r="O50" s="41">
        <f>PCC.PCL!O74</f>
        <v>134.95880913322492</v>
      </c>
      <c r="P50" s="41">
        <f>PCC.PCL!P74</f>
        <v>133.18239999999997</v>
      </c>
      <c r="Q50" s="41">
        <f>PCC.PCL!Q74</f>
        <v>131.42999999999998</v>
      </c>
      <c r="R50" s="41">
        <f>PCC.PCL!R74</f>
        <v>129.81239999999997</v>
      </c>
      <c r="S50" s="41">
        <f>PCC.PCL!S74</f>
        <v>126.31</v>
      </c>
    </row>
    <row r="51" spans="1:19" ht="13.15" hidden="1" outlineLevel="1" x14ac:dyDescent="0.35">
      <c r="E51" s="1" t="s">
        <v>59</v>
      </c>
      <c r="F51" s="1" t="s">
        <v>68</v>
      </c>
      <c r="G51" s="1" t="s">
        <v>128</v>
      </c>
      <c r="H51" s="1" t="s">
        <v>39</v>
      </c>
      <c r="I51" s="8"/>
      <c r="J51" s="41">
        <f>PCC.PCL!J75</f>
        <v>147.29</v>
      </c>
      <c r="K51" s="41">
        <f>PCC.PCL!K75</f>
        <v>146.63</v>
      </c>
      <c r="L51" s="41">
        <f>PCC.PCL!L75</f>
        <v>145.96</v>
      </c>
      <c r="M51" s="41">
        <f>PCC.PCL!M75</f>
        <v>145.29</v>
      </c>
      <c r="N51" s="41">
        <f>PCC.PCL!N75</f>
        <v>144.61000000000001</v>
      </c>
      <c r="O51" s="41">
        <f>PCC.PCL!O75</f>
        <v>150.85333766738594</v>
      </c>
      <c r="P51" s="41">
        <f>PCC.PCL!P75</f>
        <v>148.90540000000001</v>
      </c>
      <c r="Q51" s="41">
        <f>PCC.PCL!Q75</f>
        <v>147.095</v>
      </c>
      <c r="R51" s="41">
        <f>PCC.PCL!R75</f>
        <v>145.13373333333334</v>
      </c>
      <c r="S51" s="41">
        <f>PCC.PCL!S75</f>
        <v>141.36000000000001</v>
      </c>
    </row>
    <row r="52" spans="1:19" ht="13.15" hidden="1" outlineLevel="1" x14ac:dyDescent="0.35">
      <c r="E52" s="1" t="s">
        <v>60</v>
      </c>
      <c r="F52" s="1" t="s">
        <v>68</v>
      </c>
      <c r="G52" s="1" t="s">
        <v>128</v>
      </c>
      <c r="H52" s="1" t="s">
        <v>39</v>
      </c>
      <c r="I52" s="8"/>
      <c r="J52" s="41" t="str">
        <f>PCC.PCL!J76</f>
        <v>-</v>
      </c>
      <c r="K52" s="41" t="str">
        <f>PCC.PCL!K76</f>
        <v>-</v>
      </c>
      <c r="L52" s="41" t="str">
        <f>PCC.PCL!L76</f>
        <v>-</v>
      </c>
      <c r="M52" s="41" t="str">
        <f>PCC.PCL!M76</f>
        <v>-</v>
      </c>
      <c r="N52" s="41" t="str">
        <f>PCC.PCL!N76</f>
        <v>-</v>
      </c>
      <c r="O52" s="41">
        <f>PCC.PCL!O76</f>
        <v>144.70114863905428</v>
      </c>
      <c r="P52" s="41">
        <f>PCC.PCL!P76</f>
        <v>142.416</v>
      </c>
      <c r="Q52" s="41">
        <f>PCC.PCL!Q76</f>
        <v>139.82399999999998</v>
      </c>
      <c r="R52" s="41">
        <f>PCC.PCL!R76</f>
        <v>137.376</v>
      </c>
      <c r="S52" s="41">
        <f>PCC.PCL!S76</f>
        <v>133.63</v>
      </c>
    </row>
    <row r="53" spans="1:19" ht="13.15" hidden="1" outlineLevel="1" x14ac:dyDescent="0.35">
      <c r="E53" s="1" t="s">
        <v>61</v>
      </c>
      <c r="F53" s="1" t="s">
        <v>68</v>
      </c>
      <c r="G53" s="1" t="s">
        <v>128</v>
      </c>
      <c r="H53" s="1" t="s">
        <v>39</v>
      </c>
      <c r="I53" s="8"/>
      <c r="J53" s="41">
        <f>PCC.PCL!J77</f>
        <v>162.80000000000001</v>
      </c>
      <c r="K53" s="41">
        <f>PCC.PCL!K77</f>
        <v>161.19999999999999</v>
      </c>
      <c r="L53" s="41">
        <f>PCC.PCL!L77</f>
        <v>160</v>
      </c>
      <c r="M53" s="41">
        <f>PCC.PCL!M77</f>
        <v>158.80000000000001</v>
      </c>
      <c r="N53" s="41">
        <f>PCC.PCL!N77</f>
        <v>157.69999999999999</v>
      </c>
      <c r="O53" s="41">
        <f>PCC.PCL!O77</f>
        <v>149.40520725792797</v>
      </c>
      <c r="P53" s="41">
        <f>PCC.PCL!P77</f>
        <v>147.24599999999998</v>
      </c>
      <c r="Q53" s="41">
        <f>PCC.PCL!Q77</f>
        <v>145.31246666666664</v>
      </c>
      <c r="R53" s="41">
        <f>PCC.PCL!R77</f>
        <v>143.08146666666664</v>
      </c>
      <c r="S53" s="41">
        <f>PCC.PCL!S77</f>
        <v>138.91999999999999</v>
      </c>
    </row>
    <row r="54" spans="1:19" ht="13.15" collapsed="1" x14ac:dyDescent="0.35">
      <c r="E54" s="1"/>
    </row>
    <row r="55" spans="1:19" s="91" customFormat="1" ht="13.15" x14ac:dyDescent="0.35">
      <c r="A55" s="90" t="s">
        <v>100</v>
      </c>
      <c r="B55" s="90"/>
      <c r="C55" s="90"/>
      <c r="D55" s="90"/>
      <c r="E55" s="90"/>
      <c r="F55" s="90"/>
      <c r="G55" s="90"/>
      <c r="H55" s="90"/>
      <c r="I55" s="90"/>
    </row>
    <row r="56" spans="1:19" ht="13.15" x14ac:dyDescent="0.35">
      <c r="E56" s="1"/>
    </row>
    <row r="57" spans="1:19" ht="13.15" x14ac:dyDescent="0.35">
      <c r="E57" s="1" t="s">
        <v>36</v>
      </c>
      <c r="F57" s="1" t="s">
        <v>68</v>
      </c>
      <c r="G57" s="1" t="s">
        <v>100</v>
      </c>
      <c r="H57" s="1" t="s">
        <v>39</v>
      </c>
      <c r="I57" s="11"/>
      <c r="J57" s="42">
        <f>IF(OR(J33="-",J9="-"),"",J33-J9)</f>
        <v>0</v>
      </c>
      <c r="K57" s="42">
        <f t="shared" ref="K57:S57" si="0">IF(OR(K33="-",K9="-"),"",K33-K9)</f>
        <v>-3.5</v>
      </c>
      <c r="L57" s="42">
        <f t="shared" si="0"/>
        <v>-5.0999999999999943</v>
      </c>
      <c r="M57" s="42">
        <f t="shared" si="0"/>
        <v>-7.6999999999999886</v>
      </c>
      <c r="N57" s="42">
        <f t="shared" si="0"/>
        <v>-9.1999999999999886</v>
      </c>
      <c r="O57" s="42">
        <f t="shared" si="0"/>
        <v>0.59697044547240807</v>
      </c>
      <c r="P57" s="42">
        <f t="shared" si="0"/>
        <v>-5.1165913311881752</v>
      </c>
      <c r="Q57" s="42">
        <f t="shared" si="0"/>
        <v>-6.4299437230759793</v>
      </c>
      <c r="R57" s="42">
        <f t="shared" si="0"/>
        <v>-7.7208883247769506</v>
      </c>
      <c r="S57" s="42">
        <f t="shared" si="0"/>
        <v>-4.5079905889409986</v>
      </c>
    </row>
    <row r="58" spans="1:19" ht="13.15" hidden="1" outlineLevel="1" x14ac:dyDescent="0.35">
      <c r="E58" s="1" t="s">
        <v>46</v>
      </c>
      <c r="F58" s="1" t="s">
        <v>68</v>
      </c>
      <c r="G58" s="1" t="s">
        <v>100</v>
      </c>
      <c r="H58" s="1" t="s">
        <v>39</v>
      </c>
      <c r="I58" s="8"/>
      <c r="J58" s="42" t="str">
        <f t="shared" ref="J58:S58" si="1">IF(OR(J34="-",J10="-"),"",J34-J10)</f>
        <v/>
      </c>
      <c r="K58" s="42" t="str">
        <f t="shared" si="1"/>
        <v/>
      </c>
      <c r="L58" s="42" t="str">
        <f t="shared" si="1"/>
        <v/>
      </c>
      <c r="M58" s="42" t="str">
        <f t="shared" si="1"/>
        <v/>
      </c>
      <c r="N58" s="42" t="str">
        <f t="shared" si="1"/>
        <v/>
      </c>
      <c r="O58" s="42">
        <f t="shared" si="1"/>
        <v>10.106145616039555</v>
      </c>
      <c r="P58" s="42">
        <f t="shared" si="1"/>
        <v>2.2272862031060754</v>
      </c>
      <c r="Q58" s="42">
        <f t="shared" si="1"/>
        <v>-1.7246563996387465</v>
      </c>
      <c r="R58" s="42">
        <f t="shared" si="1"/>
        <v>-4.2226900891691912</v>
      </c>
      <c r="S58" s="42">
        <f t="shared" si="1"/>
        <v>-5.2351666194087159</v>
      </c>
    </row>
    <row r="59" spans="1:19" ht="13.15" hidden="1" outlineLevel="1" x14ac:dyDescent="0.35">
      <c r="E59" s="1" t="s">
        <v>47</v>
      </c>
      <c r="F59" s="1" t="s">
        <v>68</v>
      </c>
      <c r="G59" s="1" t="s">
        <v>100</v>
      </c>
      <c r="H59" s="1" t="s">
        <v>39</v>
      </c>
      <c r="I59" s="8"/>
      <c r="J59" s="42" t="str">
        <f t="shared" ref="J59:S59" si="2">IF(OR(J35="-",J11="-"),"",J35-J11)</f>
        <v/>
      </c>
      <c r="K59" s="42" t="str">
        <f t="shared" si="2"/>
        <v/>
      </c>
      <c r="L59" s="42" t="str">
        <f t="shared" si="2"/>
        <v/>
      </c>
      <c r="M59" s="42" t="str">
        <f t="shared" si="2"/>
        <v/>
      </c>
      <c r="N59" s="42">
        <f t="shared" si="2"/>
        <v>-13.030000000000001</v>
      </c>
      <c r="O59" s="42">
        <f t="shared" si="2"/>
        <v>4.449121970812854</v>
      </c>
      <c r="P59" s="42">
        <f t="shared" si="2"/>
        <v>0.8856914420086639</v>
      </c>
      <c r="Q59" s="42">
        <f t="shared" si="2"/>
        <v>-2.5894059173338349</v>
      </c>
      <c r="R59" s="42">
        <f t="shared" si="2"/>
        <v>-5.2158249651954236</v>
      </c>
      <c r="S59" s="42">
        <f t="shared" si="2"/>
        <v>-2.7306608611975065</v>
      </c>
    </row>
    <row r="60" spans="1:19" ht="13.15" hidden="1" outlineLevel="1" x14ac:dyDescent="0.35">
      <c r="E60" s="1" t="s">
        <v>48</v>
      </c>
      <c r="F60" s="1" t="s">
        <v>68</v>
      </c>
      <c r="G60" s="1" t="s">
        <v>100</v>
      </c>
      <c r="H60" s="1" t="s">
        <v>39</v>
      </c>
      <c r="I60" s="8"/>
      <c r="J60" s="42" t="str">
        <f t="shared" ref="J60:S60" si="3">IF(OR(J36="-",J12="-"),"",J36-J12)</f>
        <v/>
      </c>
      <c r="K60" s="42" t="str">
        <f t="shared" si="3"/>
        <v/>
      </c>
      <c r="L60" s="42" t="str">
        <f t="shared" si="3"/>
        <v/>
      </c>
      <c r="M60" s="42" t="str">
        <f t="shared" si="3"/>
        <v/>
      </c>
      <c r="N60" s="42" t="str">
        <f t="shared" si="3"/>
        <v/>
      </c>
      <c r="O60" s="42">
        <f t="shared" si="3"/>
        <v>0.51653952543674109</v>
      </c>
      <c r="P60" s="42">
        <f t="shared" si="3"/>
        <v>-6.8706933372990591</v>
      </c>
      <c r="Q60" s="42">
        <f t="shared" si="3"/>
        <v>-9.7952079651558677</v>
      </c>
      <c r="R60" s="42">
        <f t="shared" si="3"/>
        <v>-12.835108442854136</v>
      </c>
      <c r="S60" s="42">
        <f t="shared" si="3"/>
        <v>-12.062094577246398</v>
      </c>
    </row>
    <row r="61" spans="1:19" ht="13.15" hidden="1" outlineLevel="1" x14ac:dyDescent="0.35">
      <c r="E61" s="9" t="s">
        <v>70</v>
      </c>
      <c r="F61" s="1" t="s">
        <v>68</v>
      </c>
      <c r="G61" s="1" t="s">
        <v>100</v>
      </c>
      <c r="H61" s="1" t="s">
        <v>39</v>
      </c>
      <c r="I61" s="8"/>
      <c r="J61" s="42" t="str">
        <f t="shared" ref="J61:S61" si="4">IF(OR(J37="-",J13="-"),"",J37-J13)</f>
        <v/>
      </c>
      <c r="K61" s="42" t="str">
        <f t="shared" si="4"/>
        <v/>
      </c>
      <c r="L61" s="42" t="str">
        <f t="shared" si="4"/>
        <v/>
      </c>
      <c r="M61" s="42" t="str">
        <f t="shared" si="4"/>
        <v/>
      </c>
      <c r="N61" s="42" t="str">
        <f t="shared" si="4"/>
        <v/>
      </c>
      <c r="O61" s="42" t="str">
        <f t="shared" si="4"/>
        <v/>
      </c>
      <c r="P61" s="42" t="str">
        <f t="shared" si="4"/>
        <v/>
      </c>
      <c r="Q61" s="42" t="str">
        <f t="shared" si="4"/>
        <v/>
      </c>
      <c r="R61" s="42" t="str">
        <f t="shared" si="4"/>
        <v/>
      </c>
      <c r="S61" s="42" t="str">
        <f t="shared" si="4"/>
        <v/>
      </c>
    </row>
    <row r="62" spans="1:19" ht="13.15" hidden="1" outlineLevel="1" x14ac:dyDescent="0.35">
      <c r="E62" s="9" t="s">
        <v>72</v>
      </c>
      <c r="F62" s="1" t="s">
        <v>68</v>
      </c>
      <c r="G62" s="1" t="s">
        <v>100</v>
      </c>
      <c r="H62" s="1" t="s">
        <v>39</v>
      </c>
      <c r="I62" s="8"/>
      <c r="J62" s="42" t="str">
        <f t="shared" ref="J62:S62" si="5">IF(OR(J38="-",J14="-"),"",J38-J14)</f>
        <v/>
      </c>
      <c r="K62" s="42" t="str">
        <f t="shared" si="5"/>
        <v/>
      </c>
      <c r="L62" s="42" t="str">
        <f t="shared" si="5"/>
        <v/>
      </c>
      <c r="M62" s="42" t="str">
        <f t="shared" si="5"/>
        <v/>
      </c>
      <c r="N62" s="42" t="str">
        <f t="shared" si="5"/>
        <v/>
      </c>
      <c r="O62" s="42" t="str">
        <f t="shared" si="5"/>
        <v/>
      </c>
      <c r="P62" s="42" t="str">
        <f t="shared" si="5"/>
        <v/>
      </c>
      <c r="Q62" s="42" t="str">
        <f t="shared" si="5"/>
        <v/>
      </c>
      <c r="R62" s="42" t="str">
        <f t="shared" si="5"/>
        <v/>
      </c>
      <c r="S62" s="42" t="str">
        <f t="shared" si="5"/>
        <v/>
      </c>
    </row>
    <row r="63" spans="1:19" ht="13.15" hidden="1" outlineLevel="1" x14ac:dyDescent="0.35">
      <c r="E63" s="1" t="s">
        <v>49</v>
      </c>
      <c r="F63" s="1" t="s">
        <v>68</v>
      </c>
      <c r="G63" s="1" t="s">
        <v>100</v>
      </c>
      <c r="H63" s="1" t="s">
        <v>39</v>
      </c>
      <c r="I63" s="8"/>
      <c r="J63" s="42" t="str">
        <f t="shared" ref="J63:S63" si="6">IF(OR(J39="-",J15="-"),"",J39-J15)</f>
        <v/>
      </c>
      <c r="K63" s="42" t="str">
        <f t="shared" si="6"/>
        <v/>
      </c>
      <c r="L63" s="42" t="str">
        <f t="shared" si="6"/>
        <v/>
      </c>
      <c r="M63" s="42" t="str">
        <f t="shared" si="6"/>
        <v/>
      </c>
      <c r="N63" s="42">
        <f t="shared" si="6"/>
        <v>-4.3899999999999864</v>
      </c>
      <c r="O63" s="42">
        <f t="shared" si="6"/>
        <v>-3.58360280546637</v>
      </c>
      <c r="P63" s="42">
        <f t="shared" si="6"/>
        <v>-7.9440333333334081</v>
      </c>
      <c r="Q63" s="42">
        <f t="shared" si="6"/>
        <v>-10.121400000000023</v>
      </c>
      <c r="R63" s="42">
        <f t="shared" si="6"/>
        <v>-10.164055465466419</v>
      </c>
      <c r="S63" s="42">
        <f t="shared" si="6"/>
        <v>-5.7065304762536897</v>
      </c>
    </row>
    <row r="64" spans="1:19" ht="13.15" hidden="1" outlineLevel="1" x14ac:dyDescent="0.35">
      <c r="E64" s="1" t="s">
        <v>50</v>
      </c>
      <c r="F64" s="1" t="s">
        <v>68</v>
      </c>
      <c r="G64" s="1" t="s">
        <v>100</v>
      </c>
      <c r="H64" s="1" t="s">
        <v>39</v>
      </c>
      <c r="I64" s="8"/>
      <c r="J64" s="42" t="str">
        <f t="shared" ref="J64:S64" si="7">IF(OR(J40="-",J16="-"),"",J40-J16)</f>
        <v/>
      </c>
      <c r="K64" s="42" t="str">
        <f t="shared" si="7"/>
        <v/>
      </c>
      <c r="L64" s="42" t="str">
        <f t="shared" si="7"/>
        <v/>
      </c>
      <c r="M64" s="42" t="str">
        <f t="shared" si="7"/>
        <v/>
      </c>
      <c r="N64" s="42" t="str">
        <f t="shared" si="7"/>
        <v/>
      </c>
      <c r="O64" s="42">
        <f t="shared" si="7"/>
        <v>0.30458383845368076</v>
      </c>
      <c r="P64" s="42">
        <f t="shared" si="7"/>
        <v>-0.52014120469368663</v>
      </c>
      <c r="Q64" s="42">
        <f t="shared" si="7"/>
        <v>0.56184896339559032</v>
      </c>
      <c r="R64" s="42">
        <f t="shared" si="7"/>
        <v>-4.1923212854979965</v>
      </c>
      <c r="S64" s="42">
        <f t="shared" si="7"/>
        <v>-10.84297150498071</v>
      </c>
    </row>
    <row r="65" spans="1:19" ht="13.15" hidden="1" outlineLevel="1" x14ac:dyDescent="0.35">
      <c r="E65" s="1" t="s">
        <v>51</v>
      </c>
      <c r="F65" s="1" t="s">
        <v>68</v>
      </c>
      <c r="G65" s="1" t="s">
        <v>100</v>
      </c>
      <c r="H65" s="1" t="s">
        <v>39</v>
      </c>
      <c r="I65" s="8"/>
      <c r="J65" s="42">
        <f t="shared" ref="J65:S65" si="8">IF(OR(J41="-",J17="-"),"",J41-J17)</f>
        <v>12.399999999999977</v>
      </c>
      <c r="K65" s="42">
        <f t="shared" si="8"/>
        <v>14.800000000000011</v>
      </c>
      <c r="L65" s="42">
        <f t="shared" si="8"/>
        <v>10.510000000000019</v>
      </c>
      <c r="M65" s="42">
        <f t="shared" si="8"/>
        <v>10.200000000000017</v>
      </c>
      <c r="N65" s="42">
        <f t="shared" si="8"/>
        <v>6.5000000000000284</v>
      </c>
      <c r="O65" s="42">
        <f t="shared" si="8"/>
        <v>0.79058138058825023</v>
      </c>
      <c r="P65" s="42">
        <f t="shared" si="8"/>
        <v>-5.0587647018056145</v>
      </c>
      <c r="Q65" s="42">
        <f t="shared" si="8"/>
        <v>-7.3681483949382738</v>
      </c>
      <c r="R65" s="42">
        <f t="shared" si="8"/>
        <v>-10.96261993334322</v>
      </c>
      <c r="S65" s="42">
        <f t="shared" si="8"/>
        <v>-11.572239176748809</v>
      </c>
    </row>
    <row r="66" spans="1:19" ht="13.15" hidden="1" outlineLevel="1" x14ac:dyDescent="0.35">
      <c r="E66" s="1" t="s">
        <v>52</v>
      </c>
      <c r="F66" s="1" t="s">
        <v>68</v>
      </c>
      <c r="G66" s="1" t="s">
        <v>100</v>
      </c>
      <c r="H66" s="1" t="s">
        <v>39</v>
      </c>
      <c r="I66" s="8"/>
      <c r="J66" s="42" t="str">
        <f t="shared" ref="J66:S66" si="9">IF(OR(J42="-",J18="-"),"",J42-J18)</f>
        <v/>
      </c>
      <c r="K66" s="42" t="str">
        <f t="shared" si="9"/>
        <v/>
      </c>
      <c r="L66" s="42" t="str">
        <f t="shared" si="9"/>
        <v/>
      </c>
      <c r="M66" s="42" t="str">
        <f t="shared" si="9"/>
        <v/>
      </c>
      <c r="N66" s="42" t="str">
        <f t="shared" si="9"/>
        <v/>
      </c>
      <c r="O66" s="42">
        <f t="shared" si="9"/>
        <v>1.0695402462143306</v>
      </c>
      <c r="P66" s="42">
        <f t="shared" si="9"/>
        <v>-3.2299905527595456</v>
      </c>
      <c r="Q66" s="42">
        <f t="shared" si="9"/>
        <v>-4.1374450137960821</v>
      </c>
      <c r="R66" s="42">
        <f t="shared" si="9"/>
        <v>-4.3682957698729297</v>
      </c>
      <c r="S66" s="42">
        <f t="shared" si="9"/>
        <v>-3.9156373438731862</v>
      </c>
    </row>
    <row r="67" spans="1:19" ht="13.15" hidden="1" outlineLevel="1" x14ac:dyDescent="0.35">
      <c r="E67" s="1" t="s">
        <v>74</v>
      </c>
      <c r="F67" s="1" t="s">
        <v>68</v>
      </c>
      <c r="G67" s="1" t="s">
        <v>100</v>
      </c>
      <c r="H67" s="1" t="s">
        <v>39</v>
      </c>
      <c r="I67" s="8"/>
      <c r="J67" s="42" t="str">
        <f t="shared" ref="J67:S67" si="10">IF(OR(J43="-",J19="-"),"",J43-J19)</f>
        <v/>
      </c>
      <c r="K67" s="42" t="str">
        <f t="shared" si="10"/>
        <v/>
      </c>
      <c r="L67" s="42" t="str">
        <f t="shared" si="10"/>
        <v/>
      </c>
      <c r="M67" s="42" t="str">
        <f t="shared" si="10"/>
        <v/>
      </c>
      <c r="N67" s="42" t="str">
        <f t="shared" si="10"/>
        <v/>
      </c>
      <c r="O67" s="42">
        <f t="shared" si="10"/>
        <v>-4.3310347432964136E-2</v>
      </c>
      <c r="P67" s="42">
        <f t="shared" si="10"/>
        <v>-4.4136068249944174</v>
      </c>
      <c r="Q67" s="42">
        <f t="shared" si="10"/>
        <v>-5.8045341905651924</v>
      </c>
      <c r="R67" s="42">
        <f t="shared" si="10"/>
        <v>-6.346735509601416</v>
      </c>
      <c r="S67" s="42">
        <f t="shared" si="10"/>
        <v>-5.4720803461417802</v>
      </c>
    </row>
    <row r="68" spans="1:19" ht="13.15" hidden="1" outlineLevel="1" x14ac:dyDescent="0.35">
      <c r="E68" s="1" t="s">
        <v>54</v>
      </c>
      <c r="F68" s="1" t="s">
        <v>68</v>
      </c>
      <c r="G68" s="1" t="s">
        <v>100</v>
      </c>
      <c r="H68" s="1" t="s">
        <v>39</v>
      </c>
      <c r="I68" s="8"/>
      <c r="J68" s="42">
        <f t="shared" ref="J68:S68" si="11">IF(OR(J44="-",J20="-"),"",J44-J20)</f>
        <v>-1</v>
      </c>
      <c r="K68" s="42">
        <f t="shared" si="11"/>
        <v>-2.5999999999999943</v>
      </c>
      <c r="L68" s="42">
        <f t="shared" si="11"/>
        <v>-6.6999999999999886</v>
      </c>
      <c r="M68" s="42">
        <f t="shared" si="11"/>
        <v>-9.8000000000000114</v>
      </c>
      <c r="N68" s="42">
        <f t="shared" si="11"/>
        <v>-14.199999999999989</v>
      </c>
      <c r="O68" s="42">
        <f t="shared" si="11"/>
        <v>0.14895106144425085</v>
      </c>
      <c r="P68" s="42">
        <f t="shared" si="11"/>
        <v>-5.4421284186742014</v>
      </c>
      <c r="Q68" s="42">
        <f t="shared" si="11"/>
        <v>-7.4390080682609323</v>
      </c>
      <c r="R68" s="42">
        <f t="shared" si="11"/>
        <v>-7.7349810377647543</v>
      </c>
      <c r="S68" s="42">
        <f t="shared" si="11"/>
        <v>-2.2463912294570889</v>
      </c>
    </row>
    <row r="69" spans="1:19" ht="13.15" hidden="1" outlineLevel="1" x14ac:dyDescent="0.35">
      <c r="E69" s="1" t="s">
        <v>55</v>
      </c>
      <c r="F69" s="1" t="s">
        <v>68</v>
      </c>
      <c r="G69" s="1" t="s">
        <v>100</v>
      </c>
      <c r="H69" s="1" t="s">
        <v>39</v>
      </c>
      <c r="I69" s="8"/>
      <c r="J69" s="42">
        <f t="shared" ref="J69:S69" si="12">IF(OR(J45="-",J21="-"),"",J45-J21)</f>
        <v>10.399999999999977</v>
      </c>
      <c r="K69" s="42">
        <f t="shared" si="12"/>
        <v>9.5</v>
      </c>
      <c r="L69" s="42">
        <f t="shared" si="12"/>
        <v>7</v>
      </c>
      <c r="M69" s="42">
        <f t="shared" si="12"/>
        <v>7.4000000000000057</v>
      </c>
      <c r="N69" s="42">
        <f t="shared" si="12"/>
        <v>5.8000000000000114</v>
      </c>
      <c r="O69" s="42">
        <f t="shared" si="12"/>
        <v>-0.89902877148188054</v>
      </c>
      <c r="P69" s="42">
        <f t="shared" si="12"/>
        <v>-7.3672909892954266</v>
      </c>
      <c r="Q69" s="42">
        <f t="shared" si="12"/>
        <v>-11.543272879831221</v>
      </c>
      <c r="R69" s="42">
        <f t="shared" si="12"/>
        <v>-13.46821792551161</v>
      </c>
      <c r="S69" s="42">
        <f t="shared" si="12"/>
        <v>-10.118292650909495</v>
      </c>
    </row>
    <row r="70" spans="1:19" ht="13.15" hidden="1" outlineLevel="1" x14ac:dyDescent="0.35">
      <c r="E70" s="1" t="s">
        <v>56</v>
      </c>
      <c r="F70" s="1" t="s">
        <v>68</v>
      </c>
      <c r="G70" s="1" t="s">
        <v>100</v>
      </c>
      <c r="H70" s="1" t="s">
        <v>39</v>
      </c>
      <c r="I70" s="8"/>
      <c r="J70" s="42">
        <f t="shared" ref="J70:S70" si="13">IF(OR(J46="-",J22="-"),"",J46-J22)</f>
        <v>10.099999999999994</v>
      </c>
      <c r="K70" s="42">
        <f t="shared" si="13"/>
        <v>4.7000000000000171</v>
      </c>
      <c r="L70" s="42">
        <f t="shared" si="13"/>
        <v>1.7999999999999829</v>
      </c>
      <c r="M70" s="42">
        <f t="shared" si="13"/>
        <v>2.3000000000000114</v>
      </c>
      <c r="N70" s="42">
        <f t="shared" si="13"/>
        <v>-8.5</v>
      </c>
      <c r="O70" s="42">
        <f t="shared" si="13"/>
        <v>2.9506121370881999</v>
      </c>
      <c r="P70" s="42">
        <f t="shared" si="13"/>
        <v>-6.898290317583303</v>
      </c>
      <c r="Q70" s="42">
        <f t="shared" si="13"/>
        <v>-11.733105314933823</v>
      </c>
      <c r="R70" s="42">
        <f t="shared" si="13"/>
        <v>-16.85268985149159</v>
      </c>
      <c r="S70" s="42">
        <f t="shared" si="13"/>
        <v>-20.5851144798946</v>
      </c>
    </row>
    <row r="71" spans="1:19" ht="13.15" hidden="1" outlineLevel="1" x14ac:dyDescent="0.35">
      <c r="E71" s="1" t="s">
        <v>57</v>
      </c>
      <c r="F71" s="1" t="s">
        <v>68</v>
      </c>
      <c r="G71" s="1" t="s">
        <v>100</v>
      </c>
      <c r="H71" s="1" t="s">
        <v>39</v>
      </c>
      <c r="I71" s="8"/>
      <c r="J71" s="42">
        <f t="shared" ref="J71:S71" si="14">IF(OR(J47="-",J23="-"),"",J47-J23)</f>
        <v>2.5999999999999943</v>
      </c>
      <c r="K71" s="42">
        <f t="shared" si="14"/>
        <v>4.3000000000000114</v>
      </c>
      <c r="L71" s="42">
        <f t="shared" si="14"/>
        <v>0.40000000000000568</v>
      </c>
      <c r="M71" s="42">
        <f t="shared" si="14"/>
        <v>-0.90000000000000568</v>
      </c>
      <c r="N71" s="42">
        <f t="shared" si="14"/>
        <v>-5.5</v>
      </c>
      <c r="O71" s="42">
        <f t="shared" si="14"/>
        <v>-2.9399013439643795E-2</v>
      </c>
      <c r="P71" s="42">
        <f t="shared" si="14"/>
        <v>-6.0145279059921961</v>
      </c>
      <c r="Q71" s="42">
        <f t="shared" si="14"/>
        <v>-9.0779512773047486</v>
      </c>
      <c r="R71" s="42">
        <f t="shared" si="14"/>
        <v>-11.793645173454621</v>
      </c>
      <c r="S71" s="42">
        <f t="shared" si="14"/>
        <v>-9.8989939031867777</v>
      </c>
    </row>
    <row r="72" spans="1:19" ht="13.15" hidden="1" outlineLevel="1" x14ac:dyDescent="0.35">
      <c r="E72" s="1" t="s">
        <v>58</v>
      </c>
      <c r="F72" s="1" t="s">
        <v>68</v>
      </c>
      <c r="G72" s="1" t="s">
        <v>100</v>
      </c>
      <c r="H72" s="1" t="s">
        <v>39</v>
      </c>
      <c r="I72" s="8"/>
      <c r="J72" s="42" t="str">
        <f t="shared" ref="J72:S72" si="15">IF(OR(J48="-",J24="-"),"",J48-J24)</f>
        <v/>
      </c>
      <c r="K72" s="42" t="str">
        <f t="shared" si="15"/>
        <v/>
      </c>
      <c r="L72" s="42" t="str">
        <f t="shared" si="15"/>
        <v/>
      </c>
      <c r="M72" s="42" t="str">
        <f t="shared" si="15"/>
        <v/>
      </c>
      <c r="N72" s="42" t="str">
        <f t="shared" si="15"/>
        <v/>
      </c>
      <c r="O72" s="42" t="str">
        <f t="shared" si="15"/>
        <v/>
      </c>
      <c r="P72" s="42" t="str">
        <f t="shared" si="15"/>
        <v/>
      </c>
      <c r="Q72" s="42" t="str">
        <f t="shared" si="15"/>
        <v/>
      </c>
      <c r="R72" s="42" t="str">
        <f t="shared" si="15"/>
        <v/>
      </c>
      <c r="S72" s="42" t="str">
        <f t="shared" si="15"/>
        <v/>
      </c>
    </row>
    <row r="73" spans="1:19" ht="13.15" hidden="1" outlineLevel="1" x14ac:dyDescent="0.35">
      <c r="E73" s="1" t="s">
        <v>75</v>
      </c>
      <c r="F73" s="1" t="s">
        <v>68</v>
      </c>
      <c r="G73" s="1" t="s">
        <v>100</v>
      </c>
      <c r="H73" s="1" t="s">
        <v>39</v>
      </c>
      <c r="I73" s="8"/>
      <c r="J73" s="42" t="str">
        <f t="shared" ref="J73:S73" si="16">IF(OR(J49="-",J25="-"),"",J49-J25)</f>
        <v/>
      </c>
      <c r="K73" s="42" t="str">
        <f t="shared" si="16"/>
        <v/>
      </c>
      <c r="L73" s="42" t="str">
        <f t="shared" si="16"/>
        <v/>
      </c>
      <c r="M73" s="42" t="str">
        <f t="shared" si="16"/>
        <v/>
      </c>
      <c r="N73" s="42" t="str">
        <f t="shared" si="16"/>
        <v/>
      </c>
      <c r="O73" s="42">
        <f t="shared" si="16"/>
        <v>-0.22529167886949608</v>
      </c>
      <c r="P73" s="42">
        <f t="shared" si="16"/>
        <v>-8.1929141172137179</v>
      </c>
      <c r="Q73" s="42">
        <f t="shared" si="16"/>
        <v>-14.123417392309847</v>
      </c>
      <c r="R73" s="42">
        <f t="shared" si="16"/>
        <v>-19.85404968912691</v>
      </c>
      <c r="S73" s="42">
        <f t="shared" si="16"/>
        <v>-15.571820034865908</v>
      </c>
    </row>
    <row r="74" spans="1:19" ht="13.15" hidden="1" outlineLevel="1" x14ac:dyDescent="0.35">
      <c r="E74" s="1" t="s">
        <v>76</v>
      </c>
      <c r="F74" s="1" t="s">
        <v>68</v>
      </c>
      <c r="G74" s="1" t="s">
        <v>100</v>
      </c>
      <c r="H74" s="1" t="s">
        <v>39</v>
      </c>
      <c r="I74" s="8"/>
      <c r="J74" s="42" t="str">
        <f t="shared" ref="J74:S74" si="17">IF(OR(J50="-",J26="-"),"",J50-J26)</f>
        <v/>
      </c>
      <c r="K74" s="42" t="str">
        <f t="shared" si="17"/>
        <v/>
      </c>
      <c r="L74" s="42" t="str">
        <f t="shared" si="17"/>
        <v/>
      </c>
      <c r="M74" s="42" t="str">
        <f t="shared" si="17"/>
        <v/>
      </c>
      <c r="N74" s="42" t="str">
        <f t="shared" si="17"/>
        <v/>
      </c>
      <c r="O74" s="42">
        <f t="shared" si="17"/>
        <v>0.17618637819640526</v>
      </c>
      <c r="P74" s="42">
        <f t="shared" si="17"/>
        <v>-5.9328433340446338</v>
      </c>
      <c r="Q74" s="42">
        <f t="shared" si="17"/>
        <v>-8.0442104029376083</v>
      </c>
      <c r="R74" s="42">
        <f t="shared" si="17"/>
        <v>-12.629991303469438</v>
      </c>
      <c r="S74" s="42">
        <f t="shared" si="17"/>
        <v>-5.789245702746399</v>
      </c>
    </row>
    <row r="75" spans="1:19" ht="13.15" hidden="1" outlineLevel="1" x14ac:dyDescent="0.35">
      <c r="E75" s="1" t="s">
        <v>59</v>
      </c>
      <c r="F75" s="1" t="s">
        <v>68</v>
      </c>
      <c r="G75" s="1" t="s">
        <v>100</v>
      </c>
      <c r="H75" s="1" t="s">
        <v>39</v>
      </c>
      <c r="I75" s="8"/>
      <c r="J75" s="42">
        <f t="shared" ref="J75:S75" si="18">IF(OR(J51="-",J27="-"),"",J51-J27)</f>
        <v>1.7399999999999807</v>
      </c>
      <c r="K75" s="42">
        <f t="shared" si="18"/>
        <v>3.3400000000000034</v>
      </c>
      <c r="L75" s="42">
        <f t="shared" si="18"/>
        <v>0.86000000000001364</v>
      </c>
      <c r="M75" s="42">
        <f t="shared" si="18"/>
        <v>-2.25</v>
      </c>
      <c r="N75" s="42">
        <f t="shared" si="18"/>
        <v>-7.7799999999999727</v>
      </c>
      <c r="O75" s="42">
        <f t="shared" si="18"/>
        <v>1.5430162623722481</v>
      </c>
      <c r="P75" s="42">
        <f t="shared" si="18"/>
        <v>-8.3184695964717719</v>
      </c>
      <c r="Q75" s="42">
        <f t="shared" si="18"/>
        <v>-13.169199837254695</v>
      </c>
      <c r="R75" s="42">
        <f t="shared" si="18"/>
        <v>-15.997277989584148</v>
      </c>
      <c r="S75" s="42">
        <f t="shared" si="18"/>
        <v>-14.377551992401692</v>
      </c>
    </row>
    <row r="76" spans="1:19" ht="13.15" hidden="1" outlineLevel="1" x14ac:dyDescent="0.35">
      <c r="E76" s="1" t="s">
        <v>60</v>
      </c>
      <c r="F76" s="1" t="s">
        <v>68</v>
      </c>
      <c r="G76" s="1" t="s">
        <v>100</v>
      </c>
      <c r="H76" s="1" t="s">
        <v>39</v>
      </c>
      <c r="I76" s="8"/>
      <c r="J76" s="42" t="str">
        <f t="shared" ref="J76:S76" si="19">IF(OR(J52="-",J28="-"),"",J52-J28)</f>
        <v/>
      </c>
      <c r="K76" s="42" t="str">
        <f t="shared" si="19"/>
        <v/>
      </c>
      <c r="L76" s="42" t="str">
        <f t="shared" si="19"/>
        <v/>
      </c>
      <c r="M76" s="42" t="str">
        <f t="shared" si="19"/>
        <v/>
      </c>
      <c r="N76" s="42" t="str">
        <f t="shared" si="19"/>
        <v/>
      </c>
      <c r="O76" s="42">
        <f t="shared" si="19"/>
        <v>-2.3491022202912291</v>
      </c>
      <c r="P76" s="42">
        <f t="shared" si="19"/>
        <v>-11.026944286702303</v>
      </c>
      <c r="Q76" s="42">
        <f t="shared" si="19"/>
        <v>-17.085782455738808</v>
      </c>
      <c r="R76" s="42">
        <f t="shared" si="19"/>
        <v>-20.881987850540185</v>
      </c>
      <c r="S76" s="42">
        <f t="shared" si="19"/>
        <v>-17.132352620779415</v>
      </c>
    </row>
    <row r="77" spans="1:19" ht="13.15" hidden="1" outlineLevel="1" x14ac:dyDescent="0.35">
      <c r="E77" s="1" t="s">
        <v>61</v>
      </c>
      <c r="F77" s="1" t="s">
        <v>68</v>
      </c>
      <c r="G77" s="1" t="s">
        <v>100</v>
      </c>
      <c r="H77" s="1" t="s">
        <v>39</v>
      </c>
      <c r="I77" s="8"/>
      <c r="J77" s="42">
        <f t="shared" ref="J77:S77" si="20">IF(OR(J53="-",J29="-"),"",J53-J29)</f>
        <v>1.7000000000000171</v>
      </c>
      <c r="K77" s="42">
        <f t="shared" si="20"/>
        <v>0.29999999999998295</v>
      </c>
      <c r="L77" s="42">
        <f t="shared" si="20"/>
        <v>0.27000000000001023</v>
      </c>
      <c r="M77" s="42">
        <f t="shared" si="20"/>
        <v>0</v>
      </c>
      <c r="N77" s="42">
        <f t="shared" si="20"/>
        <v>-4.9200000000000159</v>
      </c>
      <c r="O77" s="42">
        <f t="shared" si="20"/>
        <v>0.39945444307696221</v>
      </c>
      <c r="P77" s="42">
        <f t="shared" si="20"/>
        <v>-7.3441667923717091</v>
      </c>
      <c r="Q77" s="42">
        <f t="shared" si="20"/>
        <v>-7.3227312409171645</v>
      </c>
      <c r="R77" s="42">
        <f t="shared" si="20"/>
        <v>-12.050625411200855</v>
      </c>
      <c r="S77" s="42">
        <f t="shared" si="20"/>
        <v>-10.47938244862101</v>
      </c>
    </row>
    <row r="78" spans="1:19" ht="13.15" collapsed="1" x14ac:dyDescent="0.35">
      <c r="E78" s="1"/>
    </row>
    <row r="79" spans="1:19" s="91" customFormat="1" ht="13.15" x14ac:dyDescent="0.35">
      <c r="A79" s="90" t="s">
        <v>101</v>
      </c>
      <c r="B79" s="90"/>
      <c r="C79" s="90"/>
      <c r="D79" s="90"/>
      <c r="E79" s="90"/>
      <c r="F79" s="90"/>
      <c r="G79" s="90"/>
      <c r="H79" s="90"/>
      <c r="I79" s="90"/>
    </row>
    <row r="80" spans="1:19" ht="13.15" x14ac:dyDescent="0.35">
      <c r="E80" s="1"/>
    </row>
    <row r="81" spans="5:22" ht="13.15" x14ac:dyDescent="0.35">
      <c r="E81" s="1" t="s">
        <v>36</v>
      </c>
      <c r="F81" s="1" t="s">
        <v>68</v>
      </c>
      <c r="G81" s="1" t="s">
        <v>101</v>
      </c>
      <c r="H81" s="1" t="s">
        <v>102</v>
      </c>
      <c r="I81" s="11"/>
      <c r="J81" s="109">
        <f>IF(J57="","",J57/J33)</f>
        <v>0</v>
      </c>
      <c r="K81" s="109">
        <f t="shared" ref="K81:S81" si="21">IF(K57="","",K57/K33)</f>
        <v>-2.6535253980288095E-2</v>
      </c>
      <c r="L81" s="109">
        <f t="shared" si="21"/>
        <v>-3.90804597701149E-2</v>
      </c>
      <c r="M81" s="109">
        <f t="shared" si="21"/>
        <v>-5.964368706429115E-2</v>
      </c>
      <c r="N81" s="109">
        <f t="shared" si="21"/>
        <v>-7.2043852779952913E-2</v>
      </c>
      <c r="O81" s="109">
        <f t="shared" si="21"/>
        <v>4.4027331461619018E-3</v>
      </c>
      <c r="P81" s="109">
        <f t="shared" si="21"/>
        <v>-3.8206327144475617E-2</v>
      </c>
      <c r="Q81" s="109">
        <f t="shared" si="21"/>
        <v>-4.8601237513801805E-2</v>
      </c>
      <c r="R81" s="109">
        <f t="shared" si="21"/>
        <v>-5.9082402240411301E-2</v>
      </c>
      <c r="S81" s="109">
        <f t="shared" si="21"/>
        <v>-3.5373435255343678E-2</v>
      </c>
      <c r="T81" s="55"/>
      <c r="U81" s="55"/>
      <c r="V81" s="55"/>
    </row>
    <row r="82" spans="5:22" ht="13.15" hidden="1" outlineLevel="1" x14ac:dyDescent="0.35">
      <c r="E82" s="1" t="s">
        <v>46</v>
      </c>
      <c r="F82" s="1" t="s">
        <v>68</v>
      </c>
      <c r="G82" s="1" t="s">
        <v>101</v>
      </c>
      <c r="H82" s="1" t="s">
        <v>102</v>
      </c>
      <c r="I82" s="8"/>
      <c r="J82" s="109" t="str">
        <f t="shared" ref="J82:S82" si="22">IF(J58="","",J58/J34)</f>
        <v/>
      </c>
      <c r="K82" s="109" t="str">
        <f t="shared" si="22"/>
        <v/>
      </c>
      <c r="L82" s="109" t="str">
        <f t="shared" si="22"/>
        <v/>
      </c>
      <c r="M82" s="109" t="str">
        <f t="shared" si="22"/>
        <v/>
      </c>
      <c r="N82" s="109" t="str">
        <f t="shared" si="22"/>
        <v/>
      </c>
      <c r="O82" s="109">
        <f t="shared" si="22"/>
        <v>6.4861753428814603E-2</v>
      </c>
      <c r="P82" s="109">
        <f t="shared" si="22"/>
        <v>1.4492918468165066E-2</v>
      </c>
      <c r="Q82" s="109">
        <f t="shared" si="22"/>
        <v>-1.1336827157091235E-2</v>
      </c>
      <c r="R82" s="109">
        <f t="shared" si="22"/>
        <v>-2.8043517833717949E-2</v>
      </c>
      <c r="S82" s="109">
        <f t="shared" si="22"/>
        <v>-3.5992895286412627E-2</v>
      </c>
      <c r="T82" s="55"/>
      <c r="U82" s="55"/>
      <c r="V82" s="55"/>
    </row>
    <row r="83" spans="5:22" ht="13.15" hidden="1" outlineLevel="1" x14ac:dyDescent="0.35">
      <c r="E83" s="1" t="s">
        <v>47</v>
      </c>
      <c r="F83" s="1" t="s">
        <v>68</v>
      </c>
      <c r="G83" s="1" t="s">
        <v>101</v>
      </c>
      <c r="H83" s="1" t="s">
        <v>102</v>
      </c>
      <c r="I83" s="8"/>
      <c r="J83" s="109" t="str">
        <f t="shared" ref="J83:S83" si="23">IF(J59="","",J59/J35)</f>
        <v/>
      </c>
      <c r="K83" s="109" t="str">
        <f t="shared" si="23"/>
        <v/>
      </c>
      <c r="L83" s="109" t="str">
        <f t="shared" si="23"/>
        <v/>
      </c>
      <c r="M83" s="109" t="str">
        <f t="shared" si="23"/>
        <v/>
      </c>
      <c r="N83" s="109">
        <f t="shared" si="23"/>
        <v>-0.10150346654202697</v>
      </c>
      <c r="O83" s="109">
        <f t="shared" si="23"/>
        <v>3.335421124761228E-2</v>
      </c>
      <c r="P83" s="109">
        <f t="shared" si="23"/>
        <v>6.6963166148331782E-3</v>
      </c>
      <c r="Q83" s="109">
        <f t="shared" si="23"/>
        <v>-1.9756765006891032E-2</v>
      </c>
      <c r="R83" s="109">
        <f t="shared" si="23"/>
        <v>-4.0164036620076407E-2</v>
      </c>
      <c r="S83" s="109">
        <f t="shared" si="23"/>
        <v>-2.1356646810554564E-2</v>
      </c>
      <c r="T83" s="55"/>
      <c r="U83" s="55"/>
      <c r="V83" s="55"/>
    </row>
    <row r="84" spans="5:22" ht="13.15" hidden="1" outlineLevel="1" x14ac:dyDescent="0.35">
      <c r="E84" s="1" t="s">
        <v>48</v>
      </c>
      <c r="F84" s="1" t="s">
        <v>68</v>
      </c>
      <c r="G84" s="1" t="s">
        <v>101</v>
      </c>
      <c r="H84" s="1" t="s">
        <v>102</v>
      </c>
      <c r="I84" s="8"/>
      <c r="J84" s="109" t="str">
        <f t="shared" ref="J84:S84" si="24">IF(J60="","",J60/J36)</f>
        <v/>
      </c>
      <c r="K84" s="109" t="str">
        <f t="shared" si="24"/>
        <v/>
      </c>
      <c r="L84" s="109" t="str">
        <f t="shared" si="24"/>
        <v/>
      </c>
      <c r="M84" s="109" t="str">
        <f t="shared" si="24"/>
        <v/>
      </c>
      <c r="N84" s="109" t="str">
        <f t="shared" si="24"/>
        <v/>
      </c>
      <c r="O84" s="109">
        <f t="shared" si="24"/>
        <v>3.4168834303858141E-3</v>
      </c>
      <c r="P84" s="109">
        <f t="shared" si="24"/>
        <v>-4.5979877104682515E-2</v>
      </c>
      <c r="Q84" s="109">
        <f t="shared" si="24"/>
        <v>-6.6218766510325044E-2</v>
      </c>
      <c r="R84" s="109">
        <f t="shared" si="24"/>
        <v>-8.7752445000072718E-2</v>
      </c>
      <c r="S84" s="109">
        <f t="shared" si="24"/>
        <v>-8.4557270082344191E-2</v>
      </c>
      <c r="T84" s="55"/>
      <c r="U84" s="55"/>
      <c r="V84" s="55"/>
    </row>
    <row r="85" spans="5:22" ht="13.15" hidden="1" outlineLevel="1" x14ac:dyDescent="0.35">
      <c r="E85" s="9" t="s">
        <v>70</v>
      </c>
      <c r="F85" s="1" t="s">
        <v>68</v>
      </c>
      <c r="G85" s="1" t="s">
        <v>101</v>
      </c>
      <c r="H85" s="1" t="s">
        <v>102</v>
      </c>
      <c r="I85" s="8"/>
      <c r="J85" s="109" t="str">
        <f t="shared" ref="J85:S85" si="25">IF(J61="","",J61/J37)</f>
        <v/>
      </c>
      <c r="K85" s="109" t="str">
        <f t="shared" si="25"/>
        <v/>
      </c>
      <c r="L85" s="109" t="str">
        <f t="shared" si="25"/>
        <v/>
      </c>
      <c r="M85" s="109" t="str">
        <f t="shared" si="25"/>
        <v/>
      </c>
      <c r="N85" s="109" t="str">
        <f t="shared" si="25"/>
        <v/>
      </c>
      <c r="O85" s="109" t="str">
        <f t="shared" si="25"/>
        <v/>
      </c>
      <c r="P85" s="109" t="str">
        <f t="shared" si="25"/>
        <v/>
      </c>
      <c r="Q85" s="109" t="str">
        <f t="shared" si="25"/>
        <v/>
      </c>
      <c r="R85" s="109" t="str">
        <f t="shared" si="25"/>
        <v/>
      </c>
      <c r="S85" s="109" t="str">
        <f t="shared" si="25"/>
        <v/>
      </c>
      <c r="T85" s="55"/>
      <c r="U85" s="55"/>
      <c r="V85" s="55"/>
    </row>
    <row r="86" spans="5:22" ht="13.15" hidden="1" outlineLevel="1" x14ac:dyDescent="0.35">
      <c r="E86" s="9" t="s">
        <v>72</v>
      </c>
      <c r="F86" s="1" t="s">
        <v>68</v>
      </c>
      <c r="G86" s="1" t="s">
        <v>101</v>
      </c>
      <c r="H86" s="1" t="s">
        <v>102</v>
      </c>
      <c r="I86" s="8"/>
      <c r="J86" s="109" t="str">
        <f t="shared" ref="J86:S86" si="26">IF(J62="","",J62/J38)</f>
        <v/>
      </c>
      <c r="K86" s="109" t="str">
        <f t="shared" si="26"/>
        <v/>
      </c>
      <c r="L86" s="109" t="str">
        <f t="shared" si="26"/>
        <v/>
      </c>
      <c r="M86" s="109" t="str">
        <f t="shared" si="26"/>
        <v/>
      </c>
      <c r="N86" s="109" t="str">
        <f t="shared" si="26"/>
        <v/>
      </c>
      <c r="O86" s="109" t="str">
        <f t="shared" si="26"/>
        <v/>
      </c>
      <c r="P86" s="109" t="str">
        <f t="shared" si="26"/>
        <v/>
      </c>
      <c r="Q86" s="109" t="str">
        <f t="shared" si="26"/>
        <v/>
      </c>
      <c r="R86" s="109" t="str">
        <f t="shared" si="26"/>
        <v/>
      </c>
      <c r="S86" s="109" t="str">
        <f t="shared" si="26"/>
        <v/>
      </c>
      <c r="T86" s="55"/>
      <c r="U86" s="55"/>
      <c r="V86" s="55"/>
    </row>
    <row r="87" spans="5:22" ht="13.15" hidden="1" outlineLevel="1" x14ac:dyDescent="0.35">
      <c r="E87" s="1" t="s">
        <v>49</v>
      </c>
      <c r="F87" s="1" t="s">
        <v>68</v>
      </c>
      <c r="G87" s="1" t="s">
        <v>101</v>
      </c>
      <c r="H87" s="1" t="s">
        <v>102</v>
      </c>
      <c r="I87" s="8"/>
      <c r="J87" s="109" t="str">
        <f t="shared" ref="J87:S87" si="27">IF(J63="","",J63/J39)</f>
        <v/>
      </c>
      <c r="K87" s="109" t="str">
        <f t="shared" si="27"/>
        <v/>
      </c>
      <c r="L87" s="109" t="str">
        <f t="shared" si="27"/>
        <v/>
      </c>
      <c r="M87" s="109" t="str">
        <f t="shared" si="27"/>
        <v/>
      </c>
      <c r="N87" s="109">
        <f t="shared" si="27"/>
        <v>-3.41980213445508E-2</v>
      </c>
      <c r="O87" s="109">
        <f t="shared" si="27"/>
        <v>-2.7541515771518168E-2</v>
      </c>
      <c r="P87" s="109">
        <f t="shared" si="27"/>
        <v>-6.1491418664962251E-2</v>
      </c>
      <c r="Q87" s="109">
        <f t="shared" si="27"/>
        <v>-7.8901703012038055E-2</v>
      </c>
      <c r="R87" s="109">
        <f t="shared" si="27"/>
        <v>-7.980076193033267E-2</v>
      </c>
      <c r="S87" s="109">
        <f t="shared" si="27"/>
        <v>-4.5452253892900758E-2</v>
      </c>
      <c r="T87" s="55"/>
      <c r="U87" s="55"/>
      <c r="V87" s="55"/>
    </row>
    <row r="88" spans="5:22" ht="13.15" hidden="1" outlineLevel="1" x14ac:dyDescent="0.35">
      <c r="E88" s="1" t="s">
        <v>50</v>
      </c>
      <c r="F88" s="1" t="s">
        <v>68</v>
      </c>
      <c r="G88" s="1" t="s">
        <v>101</v>
      </c>
      <c r="H88" s="1" t="s">
        <v>102</v>
      </c>
      <c r="I88" s="8"/>
      <c r="J88" s="109" t="str">
        <f t="shared" ref="J88:S88" si="28">IF(J64="","",J64/J40)</f>
        <v/>
      </c>
      <c r="K88" s="109" t="str">
        <f t="shared" si="28"/>
        <v/>
      </c>
      <c r="L88" s="109" t="str">
        <f t="shared" si="28"/>
        <v/>
      </c>
      <c r="M88" s="109" t="str">
        <f t="shared" si="28"/>
        <v/>
      </c>
      <c r="N88" s="109" t="str">
        <f t="shared" si="28"/>
        <v/>
      </c>
      <c r="O88" s="109">
        <f t="shared" si="28"/>
        <v>2.0816569733714658E-3</v>
      </c>
      <c r="P88" s="109">
        <f t="shared" si="28"/>
        <v>-3.6022355824597047E-3</v>
      </c>
      <c r="Q88" s="109">
        <f t="shared" si="28"/>
        <v>3.9388746890508426E-3</v>
      </c>
      <c r="R88" s="109">
        <f t="shared" si="28"/>
        <v>-2.9786856175026976E-2</v>
      </c>
      <c r="S88" s="109">
        <f t="shared" si="28"/>
        <v>-7.9174673274777008E-2</v>
      </c>
      <c r="T88" s="55"/>
      <c r="U88" s="55"/>
      <c r="V88" s="55"/>
    </row>
    <row r="89" spans="5:22" ht="13.15" hidden="1" outlineLevel="1" x14ac:dyDescent="0.35">
      <c r="E89" s="1" t="s">
        <v>51</v>
      </c>
      <c r="F89" s="1" t="s">
        <v>68</v>
      </c>
      <c r="G89" s="1" t="s">
        <v>101</v>
      </c>
      <c r="H89" s="1" t="s">
        <v>102</v>
      </c>
      <c r="I89" s="8"/>
      <c r="J89" s="109">
        <f t="shared" ref="J89:S89" si="29">IF(J65="","",J65/J41)</f>
        <v>8.4239130434782455E-2</v>
      </c>
      <c r="K89" s="109">
        <f t="shared" si="29"/>
        <v>0.10242214532871981</v>
      </c>
      <c r="L89" s="109">
        <f t="shared" si="29"/>
        <v>7.4118476727785737E-2</v>
      </c>
      <c r="M89" s="109">
        <f t="shared" si="29"/>
        <v>7.3328540618260357E-2</v>
      </c>
      <c r="N89" s="109">
        <f t="shared" si="29"/>
        <v>4.7653958944281719E-2</v>
      </c>
      <c r="O89" s="109">
        <f t="shared" si="29"/>
        <v>6.1402615631566421E-3</v>
      </c>
      <c r="P89" s="109">
        <f t="shared" si="29"/>
        <v>-3.9931206057492993E-2</v>
      </c>
      <c r="Q89" s="109">
        <f t="shared" si="29"/>
        <v>-5.8753728343411138E-2</v>
      </c>
      <c r="R89" s="109">
        <f t="shared" si="29"/>
        <v>-8.9517008930316888E-2</v>
      </c>
      <c r="S89" s="109">
        <f t="shared" si="29"/>
        <v>-9.7450435172621544E-2</v>
      </c>
      <c r="T89" s="55"/>
      <c r="U89" s="55"/>
      <c r="V89" s="55"/>
    </row>
    <row r="90" spans="5:22" ht="13.15" hidden="1" outlineLevel="1" x14ac:dyDescent="0.35">
      <c r="E90" s="1" t="s">
        <v>52</v>
      </c>
      <c r="F90" s="1" t="s">
        <v>68</v>
      </c>
      <c r="G90" s="1" t="s">
        <v>101</v>
      </c>
      <c r="H90" s="1" t="s">
        <v>102</v>
      </c>
      <c r="I90" s="8"/>
      <c r="J90" s="109" t="str">
        <f t="shared" ref="J90:S90" si="30">IF(J66="","",J66/J42)</f>
        <v/>
      </c>
      <c r="K90" s="109" t="str">
        <f t="shared" si="30"/>
        <v/>
      </c>
      <c r="L90" s="109" t="str">
        <f t="shared" si="30"/>
        <v/>
      </c>
      <c r="M90" s="109" t="str">
        <f t="shared" si="30"/>
        <v/>
      </c>
      <c r="N90" s="109" t="str">
        <f t="shared" si="30"/>
        <v/>
      </c>
      <c r="O90" s="109">
        <f t="shared" si="30"/>
        <v>7.3110363558299384E-3</v>
      </c>
      <c r="P90" s="109">
        <f t="shared" si="30"/>
        <v>-2.2379504051830618E-2</v>
      </c>
      <c r="Q90" s="109">
        <f t="shared" si="30"/>
        <v>-2.9019048535195401E-2</v>
      </c>
      <c r="R90" s="109">
        <f t="shared" si="30"/>
        <v>-3.0987062428694367E-2</v>
      </c>
      <c r="S90" s="109">
        <f t="shared" si="30"/>
        <v>-2.8635639490077417E-2</v>
      </c>
      <c r="T90" s="55"/>
      <c r="U90" s="55"/>
      <c r="V90" s="55"/>
    </row>
    <row r="91" spans="5:22" ht="13.15" hidden="1" outlineLevel="1" x14ac:dyDescent="0.35">
      <c r="E91" s="1" t="s">
        <v>74</v>
      </c>
      <c r="F91" s="1" t="s">
        <v>68</v>
      </c>
      <c r="G91" s="1" t="s">
        <v>101</v>
      </c>
      <c r="H91" s="1" t="s">
        <v>102</v>
      </c>
      <c r="I91" s="8"/>
      <c r="J91" s="109" t="str">
        <f t="shared" ref="J91:S91" si="31">IF(J67="","",J67/J43)</f>
        <v/>
      </c>
      <c r="K91" s="109" t="str">
        <f t="shared" si="31"/>
        <v/>
      </c>
      <c r="L91" s="109" t="str">
        <f t="shared" si="31"/>
        <v/>
      </c>
      <c r="M91" s="109" t="str">
        <f t="shared" si="31"/>
        <v/>
      </c>
      <c r="N91" s="109" t="str">
        <f t="shared" si="31"/>
        <v/>
      </c>
      <c r="O91" s="109">
        <f t="shared" si="31"/>
        <v>-3.0079291610843908E-4</v>
      </c>
      <c r="P91" s="109">
        <f t="shared" si="31"/>
        <v>-3.1053746095029956E-2</v>
      </c>
      <c r="Q91" s="109">
        <f t="shared" si="31"/>
        <v>-4.1385282558786735E-2</v>
      </c>
      <c r="R91" s="109">
        <f t="shared" si="31"/>
        <v>-4.5863217637887449E-2</v>
      </c>
      <c r="S91" s="109">
        <f t="shared" si="31"/>
        <v>-4.0554956986154155E-2</v>
      </c>
      <c r="T91" s="55"/>
      <c r="U91" s="55"/>
      <c r="V91" s="55"/>
    </row>
    <row r="92" spans="5:22" ht="13.15" hidden="1" outlineLevel="1" x14ac:dyDescent="0.35">
      <c r="E92" s="1" t="s">
        <v>54</v>
      </c>
      <c r="F92" s="1" t="s">
        <v>68</v>
      </c>
      <c r="G92" s="1" t="s">
        <v>101</v>
      </c>
      <c r="H92" s="1" t="s">
        <v>102</v>
      </c>
      <c r="I92" s="8"/>
      <c r="J92" s="109">
        <f t="shared" ref="J92:S92" si="32">IF(J68="","",J68/J44)</f>
        <v>-7.2992700729927005E-3</v>
      </c>
      <c r="K92" s="109">
        <f t="shared" si="32"/>
        <v>-1.9259259259259216E-2</v>
      </c>
      <c r="L92" s="109">
        <f t="shared" si="32"/>
        <v>-4.9999999999999913E-2</v>
      </c>
      <c r="M92" s="109">
        <f t="shared" si="32"/>
        <v>-7.368421052631588E-2</v>
      </c>
      <c r="N92" s="109">
        <f t="shared" si="32"/>
        <v>-0.10757575757575749</v>
      </c>
      <c r="O92" s="109">
        <f t="shared" si="32"/>
        <v>1.0795685763653941E-3</v>
      </c>
      <c r="P92" s="109">
        <f t="shared" si="32"/>
        <v>-3.9522921363982125E-2</v>
      </c>
      <c r="Q92" s="109">
        <f t="shared" si="32"/>
        <v>-5.4079196372873423E-2</v>
      </c>
      <c r="R92" s="109">
        <f t="shared" si="32"/>
        <v>-5.6287224705056552E-2</v>
      </c>
      <c r="S92" s="109">
        <f t="shared" si="32"/>
        <v>-1.6446234932697042E-2</v>
      </c>
      <c r="T92" s="55"/>
      <c r="U92" s="55"/>
      <c r="V92" s="55"/>
    </row>
    <row r="93" spans="5:22" ht="13.15" hidden="1" outlineLevel="1" x14ac:dyDescent="0.35">
      <c r="E93" s="1" t="s">
        <v>55</v>
      </c>
      <c r="F93" s="1" t="s">
        <v>68</v>
      </c>
      <c r="G93" s="1" t="s">
        <v>101</v>
      </c>
      <c r="H93" s="1" t="s">
        <v>102</v>
      </c>
      <c r="I93" s="8"/>
      <c r="J93" s="109">
        <f t="shared" ref="J93:S93" si="33">IF(J69="","",J69/J45)</f>
        <v>7.2372999304105623E-2</v>
      </c>
      <c r="K93" s="109">
        <f t="shared" si="33"/>
        <v>6.6619915848527347E-2</v>
      </c>
      <c r="L93" s="109">
        <f t="shared" si="33"/>
        <v>4.9469964664310952E-2</v>
      </c>
      <c r="M93" s="109">
        <f t="shared" si="33"/>
        <v>5.2706552706552744E-2</v>
      </c>
      <c r="N93" s="109">
        <f t="shared" si="33"/>
        <v>4.1636755204594478E-2</v>
      </c>
      <c r="O93" s="109">
        <f t="shared" si="33"/>
        <v>-7.0621145545536066E-3</v>
      </c>
      <c r="P93" s="109">
        <f t="shared" si="33"/>
        <v>-5.8880295495123428E-2</v>
      </c>
      <c r="Q93" s="109">
        <f t="shared" si="33"/>
        <v>-9.4680473299566623E-2</v>
      </c>
      <c r="R93" s="109">
        <f t="shared" si="33"/>
        <v>-0.11345173009835141</v>
      </c>
      <c r="S93" s="109">
        <f t="shared" si="33"/>
        <v>-8.6636635421778366E-2</v>
      </c>
      <c r="T93" s="55"/>
      <c r="U93" s="55"/>
      <c r="V93" s="55"/>
    </row>
    <row r="94" spans="5:22" ht="13.15" hidden="1" outlineLevel="1" x14ac:dyDescent="0.35">
      <c r="E94" s="1" t="s">
        <v>56</v>
      </c>
      <c r="F94" s="1" t="s">
        <v>68</v>
      </c>
      <c r="G94" s="1" t="s">
        <v>101</v>
      </c>
      <c r="H94" s="1" t="s">
        <v>102</v>
      </c>
      <c r="I94" s="8"/>
      <c r="J94" s="109">
        <f t="shared" ref="J94:S94" si="34">IF(J70="","",J70/J46)</f>
        <v>6.3762626262626229E-2</v>
      </c>
      <c r="K94" s="109">
        <f t="shared" si="34"/>
        <v>3.007037747920676E-2</v>
      </c>
      <c r="L94" s="109">
        <f t="shared" si="34"/>
        <v>1.1568123393316086E-2</v>
      </c>
      <c r="M94" s="109">
        <f t="shared" si="34"/>
        <v>1.5003261578604118E-2</v>
      </c>
      <c r="N94" s="109">
        <f t="shared" si="34"/>
        <v>-5.6553559547571519E-2</v>
      </c>
      <c r="O94" s="109">
        <f t="shared" si="34"/>
        <v>1.8797878468249048E-2</v>
      </c>
      <c r="P94" s="109">
        <f t="shared" si="34"/>
        <v>-4.5245579215347581E-2</v>
      </c>
      <c r="Q94" s="109">
        <f t="shared" si="34"/>
        <v>-7.9546422781637607E-2</v>
      </c>
      <c r="R94" s="109">
        <f t="shared" si="34"/>
        <v>-0.11721351677966464</v>
      </c>
      <c r="S94" s="109">
        <f t="shared" si="34"/>
        <v>-0.15168458094388473</v>
      </c>
      <c r="T94" s="55"/>
      <c r="U94" s="55"/>
      <c r="V94" s="55"/>
    </row>
    <row r="95" spans="5:22" ht="13.15" hidden="1" outlineLevel="1" x14ac:dyDescent="0.35">
      <c r="E95" s="1" t="s">
        <v>57</v>
      </c>
      <c r="F95" s="1" t="s">
        <v>68</v>
      </c>
      <c r="G95" s="1" t="s">
        <v>101</v>
      </c>
      <c r="H95" s="1" t="s">
        <v>102</v>
      </c>
      <c r="I95" s="8"/>
      <c r="J95" s="109">
        <f t="shared" ref="J95:S95" si="35">IF(J71="","",J71/J47)</f>
        <v>1.7857142857142818E-2</v>
      </c>
      <c r="K95" s="109">
        <f t="shared" si="35"/>
        <v>2.9573590096286184E-2</v>
      </c>
      <c r="L95" s="109">
        <f t="shared" si="35"/>
        <v>2.7681660899654373E-3</v>
      </c>
      <c r="M95" s="109">
        <f t="shared" si="35"/>
        <v>-6.2674094707521289E-3</v>
      </c>
      <c r="N95" s="109">
        <f t="shared" si="35"/>
        <v>-3.8515406162464981E-2</v>
      </c>
      <c r="O95" s="109">
        <f t="shared" si="35"/>
        <v>-1.9750301115398279E-4</v>
      </c>
      <c r="P95" s="109">
        <f t="shared" si="35"/>
        <v>-4.0934258477032116E-2</v>
      </c>
      <c r="Q95" s="109">
        <f t="shared" si="35"/>
        <v>-6.2608230085938479E-2</v>
      </c>
      <c r="R95" s="109">
        <f t="shared" si="35"/>
        <v>-8.2437954195635751E-2</v>
      </c>
      <c r="S95" s="109">
        <f t="shared" si="35"/>
        <v>-7.0965616912945562E-2</v>
      </c>
      <c r="T95" s="55"/>
      <c r="U95" s="55"/>
      <c r="V95" s="55"/>
    </row>
    <row r="96" spans="5:22" ht="13.15" hidden="1" outlineLevel="1" x14ac:dyDescent="0.35">
      <c r="E96" s="1" t="s">
        <v>58</v>
      </c>
      <c r="F96" s="1" t="s">
        <v>68</v>
      </c>
      <c r="G96" s="1" t="s">
        <v>101</v>
      </c>
      <c r="H96" s="1" t="s">
        <v>102</v>
      </c>
      <c r="I96" s="8"/>
      <c r="J96" s="109" t="str">
        <f t="shared" ref="J96:S96" si="36">IF(J72="","",J72/J48)</f>
        <v/>
      </c>
      <c r="K96" s="109" t="str">
        <f t="shared" si="36"/>
        <v/>
      </c>
      <c r="L96" s="109" t="str">
        <f t="shared" si="36"/>
        <v/>
      </c>
      <c r="M96" s="109" t="str">
        <f t="shared" si="36"/>
        <v/>
      </c>
      <c r="N96" s="109" t="str">
        <f t="shared" si="36"/>
        <v/>
      </c>
      <c r="O96" s="109" t="str">
        <f t="shared" si="36"/>
        <v/>
      </c>
      <c r="P96" s="109" t="str">
        <f t="shared" si="36"/>
        <v/>
      </c>
      <c r="Q96" s="109" t="str">
        <f t="shared" si="36"/>
        <v/>
      </c>
      <c r="R96" s="109" t="str">
        <f t="shared" si="36"/>
        <v/>
      </c>
      <c r="S96" s="109" t="str">
        <f t="shared" si="36"/>
        <v/>
      </c>
      <c r="T96" s="55"/>
      <c r="U96" s="55"/>
      <c r="V96" s="55"/>
    </row>
    <row r="97" spans="1:22" ht="13.15" hidden="1" outlineLevel="1" x14ac:dyDescent="0.35">
      <c r="E97" s="1" t="s">
        <v>75</v>
      </c>
      <c r="F97" s="1" t="s">
        <v>68</v>
      </c>
      <c r="G97" s="1" t="s">
        <v>101</v>
      </c>
      <c r="H97" s="1" t="s">
        <v>102</v>
      </c>
      <c r="I97" s="8"/>
      <c r="J97" s="109" t="str">
        <f t="shared" ref="J97:S97" si="37">IF(J73="","",J73/J49)</f>
        <v/>
      </c>
      <c r="K97" s="109" t="str">
        <f t="shared" si="37"/>
        <v/>
      </c>
      <c r="L97" s="109" t="str">
        <f t="shared" si="37"/>
        <v/>
      </c>
      <c r="M97" s="109" t="str">
        <f t="shared" si="37"/>
        <v/>
      </c>
      <c r="N97" s="109" t="str">
        <f t="shared" si="37"/>
        <v/>
      </c>
      <c r="O97" s="109">
        <f t="shared" si="37"/>
        <v>-1.7558046622057186E-3</v>
      </c>
      <c r="P97" s="109">
        <f t="shared" si="37"/>
        <v>-6.3947789998140145E-2</v>
      </c>
      <c r="Q97" s="109">
        <f t="shared" si="37"/>
        <v>-0.11034767560770826</v>
      </c>
      <c r="R97" s="109">
        <f t="shared" si="37"/>
        <v>-0.15543411046900926</v>
      </c>
      <c r="S97" s="109">
        <f t="shared" si="37"/>
        <v>-0.12227577569584538</v>
      </c>
      <c r="T97" s="55"/>
      <c r="U97" s="55"/>
      <c r="V97" s="55"/>
    </row>
    <row r="98" spans="1:22" ht="13.15" hidden="1" outlineLevel="1" x14ac:dyDescent="0.35">
      <c r="E98" s="1" t="s">
        <v>76</v>
      </c>
      <c r="F98" s="1" t="s">
        <v>68</v>
      </c>
      <c r="G98" s="1" t="s">
        <v>101</v>
      </c>
      <c r="H98" s="1" t="s">
        <v>102</v>
      </c>
      <c r="I98" s="8"/>
      <c r="J98" s="109" t="str">
        <f t="shared" ref="J98:S98" si="38">IF(J74="","",J74/J50)</f>
        <v/>
      </c>
      <c r="K98" s="109" t="str">
        <f t="shared" si="38"/>
        <v/>
      </c>
      <c r="L98" s="109" t="str">
        <f t="shared" si="38"/>
        <v/>
      </c>
      <c r="M98" s="109" t="str">
        <f t="shared" si="38"/>
        <v/>
      </c>
      <c r="N98" s="109" t="str">
        <f t="shared" si="38"/>
        <v/>
      </c>
      <c r="O98" s="109">
        <f t="shared" si="38"/>
        <v>1.3054826085674958E-3</v>
      </c>
      <c r="P98" s="109">
        <f t="shared" si="38"/>
        <v>-4.4546751928517841E-2</v>
      </c>
      <c r="Q98" s="109">
        <f t="shared" si="38"/>
        <v>-6.1205283443183517E-2</v>
      </c>
      <c r="R98" s="109">
        <f t="shared" si="38"/>
        <v>-9.7294182246606964E-2</v>
      </c>
      <c r="S98" s="109">
        <f t="shared" si="38"/>
        <v>-4.5833629188080115E-2</v>
      </c>
      <c r="T98" s="55"/>
      <c r="U98" s="55"/>
      <c r="V98" s="55"/>
    </row>
    <row r="99" spans="1:22" ht="13.15" hidden="1" outlineLevel="1" x14ac:dyDescent="0.35">
      <c r="E99" s="1" t="s">
        <v>59</v>
      </c>
      <c r="F99" s="1" t="s">
        <v>68</v>
      </c>
      <c r="G99" s="1" t="s">
        <v>101</v>
      </c>
      <c r="H99" s="1" t="s">
        <v>102</v>
      </c>
      <c r="I99" s="8"/>
      <c r="J99" s="109">
        <f t="shared" ref="J99:S99" si="39">IF(J75="","",J75/J51)</f>
        <v>1.1813429289157315E-2</v>
      </c>
      <c r="K99" s="109">
        <f t="shared" si="39"/>
        <v>2.2778421878196845E-2</v>
      </c>
      <c r="L99" s="109">
        <f t="shared" si="39"/>
        <v>5.8920252123870484E-3</v>
      </c>
      <c r="M99" s="109">
        <f t="shared" si="39"/>
        <v>-1.5486268841627092E-2</v>
      </c>
      <c r="N99" s="109">
        <f t="shared" si="39"/>
        <v>-5.3799875527280078E-2</v>
      </c>
      <c r="O99" s="109">
        <f t="shared" si="39"/>
        <v>1.0228585500537081E-2</v>
      </c>
      <c r="P99" s="109">
        <f t="shared" si="39"/>
        <v>-5.5864123104143779E-2</v>
      </c>
      <c r="Q99" s="109">
        <f t="shared" si="39"/>
        <v>-8.952853487375298E-2</v>
      </c>
      <c r="R99" s="109">
        <f t="shared" si="39"/>
        <v>-0.1102243952675198</v>
      </c>
      <c r="S99" s="109">
        <f t="shared" si="39"/>
        <v>-0.10170877187607308</v>
      </c>
      <c r="T99" s="55"/>
      <c r="U99" s="55"/>
      <c r="V99" s="55"/>
    </row>
    <row r="100" spans="1:22" ht="13.15" hidden="1" outlineLevel="1" x14ac:dyDescent="0.35">
      <c r="E100" s="1" t="s">
        <v>60</v>
      </c>
      <c r="F100" s="1" t="s">
        <v>68</v>
      </c>
      <c r="G100" s="1" t="s">
        <v>101</v>
      </c>
      <c r="H100" s="1" t="s">
        <v>102</v>
      </c>
      <c r="I100" s="8"/>
      <c r="J100" s="109" t="str">
        <f t="shared" ref="J100:S100" si="40">IF(J76="","",J76/J52)</f>
        <v/>
      </c>
      <c r="K100" s="109" t="str">
        <f t="shared" si="40"/>
        <v/>
      </c>
      <c r="L100" s="109" t="str">
        <f t="shared" si="40"/>
        <v/>
      </c>
      <c r="M100" s="109" t="str">
        <f t="shared" si="40"/>
        <v/>
      </c>
      <c r="N100" s="109" t="str">
        <f t="shared" si="40"/>
        <v/>
      </c>
      <c r="O100" s="109">
        <f t="shared" si="40"/>
        <v>-1.6234164292302067E-2</v>
      </c>
      <c r="P100" s="109">
        <f t="shared" si="40"/>
        <v>-7.7427706765407708E-2</v>
      </c>
      <c r="Q100" s="109">
        <f t="shared" si="40"/>
        <v>-0.12219491972578964</v>
      </c>
      <c r="R100" s="109">
        <f t="shared" si="40"/>
        <v>-0.1520060844000421</v>
      </c>
      <c r="S100" s="109">
        <f t="shared" si="40"/>
        <v>-0.12820738322816294</v>
      </c>
      <c r="T100" s="55"/>
      <c r="U100" s="55"/>
      <c r="V100" s="55"/>
    </row>
    <row r="101" spans="1:22" ht="13.15" hidden="1" outlineLevel="1" x14ac:dyDescent="0.35">
      <c r="E101" s="1" t="s">
        <v>61</v>
      </c>
      <c r="F101" s="1" t="s">
        <v>68</v>
      </c>
      <c r="G101" s="1" t="s">
        <v>101</v>
      </c>
      <c r="H101" s="1" t="s">
        <v>102</v>
      </c>
      <c r="I101" s="8"/>
      <c r="J101" s="109">
        <f t="shared" ref="J101:S101" si="41">IF(J77="","",J77/J53)</f>
        <v>1.0442260442260546E-2</v>
      </c>
      <c r="K101" s="109">
        <f t="shared" si="41"/>
        <v>1.8610421836227232E-3</v>
      </c>
      <c r="L101" s="109">
        <f t="shared" si="41"/>
        <v>1.6875000000000639E-3</v>
      </c>
      <c r="M101" s="109">
        <f t="shared" si="41"/>
        <v>0</v>
      </c>
      <c r="N101" s="109">
        <f t="shared" si="41"/>
        <v>-3.1198478123018493E-2</v>
      </c>
      <c r="O101" s="109">
        <f t="shared" si="41"/>
        <v>2.6736313305824604E-3</v>
      </c>
      <c r="P101" s="109">
        <f t="shared" si="41"/>
        <v>-4.9876850932261046E-2</v>
      </c>
      <c r="Q101" s="109">
        <f t="shared" si="41"/>
        <v>-5.0393000744491059E-2</v>
      </c>
      <c r="R101" s="109">
        <f t="shared" si="41"/>
        <v>-8.4222126680284171E-2</v>
      </c>
      <c r="S101" s="109">
        <f t="shared" si="41"/>
        <v>-7.5434656267067454E-2</v>
      </c>
      <c r="T101" s="55"/>
      <c r="U101" s="55"/>
      <c r="V101" s="55"/>
    </row>
    <row r="102" spans="1:22" ht="13.15" collapsed="1" x14ac:dyDescent="0.35">
      <c r="E102" s="1"/>
    </row>
    <row r="103" spans="1:22" s="101" customFormat="1" ht="13.15" x14ac:dyDescent="0.4">
      <c r="A103" s="100" t="s">
        <v>83</v>
      </c>
      <c r="B103" s="100"/>
      <c r="C103" s="100"/>
      <c r="D103" s="100"/>
      <c r="E103" s="100"/>
      <c r="F103" s="100"/>
      <c r="G103" s="100"/>
      <c r="H103" s="100"/>
      <c r="I103" s="100"/>
    </row>
  </sheetData>
  <phoneticPr fontId="7"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1474-B33C-403E-8E3C-90CFA82649FA}">
  <sheetPr codeName="Sheet13">
    <tabColor rgb="FFCCCCCE"/>
  </sheetPr>
  <dimension ref="A1:Z91"/>
  <sheetViews>
    <sheetView showGridLines="0" zoomScale="80" zoomScaleNormal="80" workbookViewId="0">
      <pane ySplit="5" topLeftCell="A7"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8.125" style="86" customWidth="1"/>
    <col min="6" max="6" width="20.375" style="1" bestFit="1" customWidth="1"/>
    <col min="7" max="7" width="36.5" style="1" bestFit="1" customWidth="1"/>
    <col min="8" max="8" width="12" style="1" bestFit="1" customWidth="1"/>
    <col min="9" max="9" width="8.75" style="1" bestFit="1" customWidth="1"/>
    <col min="10" max="10" width="9.125" style="1" bestFit="1" customWidth="1"/>
    <col min="11" max="11" width="9" style="1" customWidth="1"/>
    <col min="12" max="12" width="4.5" style="1" bestFit="1" customWidth="1"/>
    <col min="13" max="22" width="9" style="38" customWidth="1"/>
    <col min="23" max="26" width="0" style="38" hidden="1" customWidth="1"/>
    <col min="27" max="16384" width="9" style="38" hidden="1"/>
  </cols>
  <sheetData>
    <row r="1" spans="1:22" s="37" customFormat="1" ht="30.75" x14ac:dyDescent="0.35">
      <c r="A1" s="4" t="str">
        <f ca="1">RIGHT(CELL("filename", A1), LEN(CELL("filename", A1)) - SEARCH("]", CELL("filename", A1)))</f>
        <v>PCC.Percentiles</v>
      </c>
      <c r="B1" s="4"/>
      <c r="C1" s="4"/>
      <c r="D1" s="5"/>
      <c r="E1" s="4"/>
      <c r="F1" s="4"/>
      <c r="G1" s="4"/>
      <c r="H1" s="4"/>
      <c r="I1" s="4"/>
      <c r="J1" s="4"/>
      <c r="K1" s="4"/>
      <c r="L1" s="4"/>
    </row>
    <row r="2" spans="1:22" ht="13.15" x14ac:dyDescent="0.35">
      <c r="E2" s="1"/>
      <c r="K2" s="6"/>
      <c r="M2" s="43" t="s">
        <v>18</v>
      </c>
      <c r="N2" s="43" t="s">
        <v>19</v>
      </c>
      <c r="O2" s="43" t="s">
        <v>20</v>
      </c>
      <c r="P2" s="43" t="s">
        <v>21</v>
      </c>
      <c r="Q2" s="43" t="s">
        <v>22</v>
      </c>
      <c r="R2" s="43" t="s">
        <v>23</v>
      </c>
      <c r="S2" s="43" t="s">
        <v>24</v>
      </c>
      <c r="T2" s="43" t="s">
        <v>25</v>
      </c>
      <c r="U2" s="43" t="s">
        <v>26</v>
      </c>
      <c r="V2" s="43" t="s">
        <v>27</v>
      </c>
    </row>
    <row r="3" spans="1:22" ht="13.15" x14ac:dyDescent="0.35">
      <c r="E3" s="7" t="s">
        <v>62</v>
      </c>
      <c r="F3" s="7" t="s">
        <v>63</v>
      </c>
      <c r="G3" s="7" t="s">
        <v>64</v>
      </c>
      <c r="H3" s="7" t="s">
        <v>103</v>
      </c>
      <c r="I3" s="25" t="s">
        <v>65</v>
      </c>
      <c r="J3" s="25" t="s">
        <v>66</v>
      </c>
      <c r="K3" s="7" t="s">
        <v>104</v>
      </c>
    </row>
    <row r="4" spans="1:22" ht="13.15" x14ac:dyDescent="0.35">
      <c r="E4" s="1"/>
    </row>
    <row r="5" spans="1:22" ht="13.15" x14ac:dyDescent="0.35">
      <c r="E5" s="1"/>
      <c r="I5" s="3"/>
      <c r="J5" s="3"/>
      <c r="L5" s="3"/>
    </row>
    <row r="6" spans="1:22" ht="13.15" x14ac:dyDescent="0.35">
      <c r="E6" s="1"/>
      <c r="K6" s="3"/>
    </row>
    <row r="7" spans="1:22" s="91" customFormat="1" ht="13.15" x14ac:dyDescent="0.35">
      <c r="A7" s="90" t="s">
        <v>105</v>
      </c>
      <c r="B7" s="90"/>
      <c r="C7" s="90"/>
      <c r="D7" s="90"/>
      <c r="E7" s="90"/>
      <c r="F7" s="90"/>
      <c r="G7" s="90"/>
      <c r="H7" s="90"/>
      <c r="I7" s="90"/>
      <c r="J7" s="90"/>
      <c r="K7" s="90"/>
      <c r="L7" s="90"/>
    </row>
    <row r="8" spans="1:22" ht="13.15" x14ac:dyDescent="0.35">
      <c r="E8" s="1"/>
    </row>
    <row r="9" spans="1:22" ht="13.15" x14ac:dyDescent="0.35">
      <c r="E9" s="1" t="s">
        <v>36</v>
      </c>
      <c r="F9" s="1" t="s">
        <v>68</v>
      </c>
      <c r="G9" s="1" t="s">
        <v>101</v>
      </c>
      <c r="H9" s="29"/>
      <c r="I9" s="30"/>
      <c r="J9" s="30"/>
      <c r="K9" s="35"/>
      <c r="L9" s="8"/>
      <c r="M9" s="56">
        <f>'PCC.P.Range'!J81</f>
        <v>0</v>
      </c>
      <c r="N9" s="56">
        <f>'PCC.P.Range'!K81</f>
        <v>-2.6535253980288095E-2</v>
      </c>
      <c r="O9" s="56">
        <f>'PCC.P.Range'!L81</f>
        <v>-3.90804597701149E-2</v>
      </c>
      <c r="P9" s="56">
        <f>'PCC.P.Range'!M81</f>
        <v>-5.964368706429115E-2</v>
      </c>
      <c r="Q9" s="56">
        <f>'PCC.P.Range'!N81</f>
        <v>-7.2043852779952913E-2</v>
      </c>
      <c r="R9" s="56">
        <f>'PCC.P.Range'!O81</f>
        <v>4.4027331461619018E-3</v>
      </c>
      <c r="S9" s="56">
        <f>'PCC.P.Range'!P81</f>
        <v>-3.8206327144475617E-2</v>
      </c>
      <c r="T9" s="56">
        <f>'PCC.P.Range'!Q81</f>
        <v>-4.8601237513801805E-2</v>
      </c>
      <c r="U9" s="56">
        <f>'PCC.P.Range'!R81</f>
        <v>-5.9082402240411301E-2</v>
      </c>
      <c r="V9" s="56">
        <f>'PCC.P.Range'!S81</f>
        <v>-3.5373435255343678E-2</v>
      </c>
    </row>
    <row r="10" spans="1:22" ht="13.15" hidden="1" outlineLevel="1" x14ac:dyDescent="0.35">
      <c r="E10" s="1" t="s">
        <v>46</v>
      </c>
      <c r="F10" s="1" t="s">
        <v>68</v>
      </c>
      <c r="G10" s="1" t="s">
        <v>101</v>
      </c>
      <c r="H10" s="29"/>
      <c r="I10" s="30"/>
      <c r="J10" s="30"/>
      <c r="K10" s="35"/>
      <c r="L10" s="8"/>
      <c r="M10" s="56" t="str">
        <f>'PCC.P.Range'!J82</f>
        <v/>
      </c>
      <c r="N10" s="56" t="str">
        <f>'PCC.P.Range'!K82</f>
        <v/>
      </c>
      <c r="O10" s="56" t="str">
        <f>'PCC.P.Range'!L82</f>
        <v/>
      </c>
      <c r="P10" s="56" t="str">
        <f>'PCC.P.Range'!M82</f>
        <v/>
      </c>
      <c r="Q10" s="56" t="str">
        <f>'PCC.P.Range'!N82</f>
        <v/>
      </c>
      <c r="R10" s="56">
        <f>'PCC.P.Range'!O82</f>
        <v>6.4861753428814603E-2</v>
      </c>
      <c r="S10" s="56">
        <f>'PCC.P.Range'!P82</f>
        <v>1.4492918468165066E-2</v>
      </c>
      <c r="T10" s="56">
        <f>'PCC.P.Range'!Q82</f>
        <v>-1.1336827157091235E-2</v>
      </c>
      <c r="U10" s="56">
        <f>'PCC.P.Range'!R82</f>
        <v>-2.8043517833717949E-2</v>
      </c>
      <c r="V10" s="56">
        <f>'PCC.P.Range'!S82</f>
        <v>-3.5992895286412627E-2</v>
      </c>
    </row>
    <row r="11" spans="1:22" ht="13.15" hidden="1" outlineLevel="1" x14ac:dyDescent="0.35">
      <c r="E11" s="1" t="s">
        <v>47</v>
      </c>
      <c r="F11" s="1" t="s">
        <v>68</v>
      </c>
      <c r="G11" s="1" t="s">
        <v>101</v>
      </c>
      <c r="H11" s="29"/>
      <c r="I11" s="30"/>
      <c r="J11" s="30"/>
      <c r="K11" s="35"/>
      <c r="L11" s="8"/>
      <c r="M11" s="56" t="str">
        <f>'PCC.P.Range'!J83</f>
        <v/>
      </c>
      <c r="N11" s="56" t="str">
        <f>'PCC.P.Range'!K83</f>
        <v/>
      </c>
      <c r="O11" s="56" t="str">
        <f>'PCC.P.Range'!L83</f>
        <v/>
      </c>
      <c r="P11" s="56" t="str">
        <f>'PCC.P.Range'!M83</f>
        <v/>
      </c>
      <c r="Q11" s="56">
        <f>'PCC.P.Range'!N83</f>
        <v>-0.10150346654202697</v>
      </c>
      <c r="R11" s="56">
        <f>'PCC.P.Range'!O83</f>
        <v>3.335421124761228E-2</v>
      </c>
      <c r="S11" s="56">
        <f>'PCC.P.Range'!P83</f>
        <v>6.6963166148331782E-3</v>
      </c>
      <c r="T11" s="56">
        <f>'PCC.P.Range'!Q83</f>
        <v>-1.9756765006891032E-2</v>
      </c>
      <c r="U11" s="56">
        <f>'PCC.P.Range'!R83</f>
        <v>-4.0164036620076407E-2</v>
      </c>
      <c r="V11" s="56">
        <f>'PCC.P.Range'!S83</f>
        <v>-2.1356646810554564E-2</v>
      </c>
    </row>
    <row r="12" spans="1:22" ht="13.15" hidden="1" outlineLevel="1" x14ac:dyDescent="0.35">
      <c r="E12" s="1" t="s">
        <v>48</v>
      </c>
      <c r="F12" s="1" t="s">
        <v>68</v>
      </c>
      <c r="G12" s="1" t="s">
        <v>101</v>
      </c>
      <c r="H12" s="29"/>
      <c r="I12" s="30"/>
      <c r="J12" s="30"/>
      <c r="K12" s="35"/>
      <c r="L12" s="8"/>
      <c r="M12" s="56" t="str">
        <f>'PCC.P.Range'!J84</f>
        <v/>
      </c>
      <c r="N12" s="56" t="str">
        <f>'PCC.P.Range'!K84</f>
        <v/>
      </c>
      <c r="O12" s="56" t="str">
        <f>'PCC.P.Range'!L84</f>
        <v/>
      </c>
      <c r="P12" s="56" t="str">
        <f>'PCC.P.Range'!M84</f>
        <v/>
      </c>
      <c r="Q12" s="56" t="str">
        <f>'PCC.P.Range'!N84</f>
        <v/>
      </c>
      <c r="R12" s="56">
        <f>'PCC.P.Range'!O84</f>
        <v>3.4168834303858141E-3</v>
      </c>
      <c r="S12" s="56">
        <f>'PCC.P.Range'!P84</f>
        <v>-4.5979877104682515E-2</v>
      </c>
      <c r="T12" s="56">
        <f>'PCC.P.Range'!Q84</f>
        <v>-6.6218766510325044E-2</v>
      </c>
      <c r="U12" s="56">
        <f>'PCC.P.Range'!R84</f>
        <v>-8.7752445000072718E-2</v>
      </c>
      <c r="V12" s="56">
        <f>'PCC.P.Range'!S84</f>
        <v>-8.4557270082344191E-2</v>
      </c>
    </row>
    <row r="13" spans="1:22" ht="13.15" hidden="1" outlineLevel="1" x14ac:dyDescent="0.35">
      <c r="E13" s="9" t="s">
        <v>70</v>
      </c>
      <c r="F13" s="1" t="s">
        <v>68</v>
      </c>
      <c r="G13" s="1" t="s">
        <v>101</v>
      </c>
      <c r="H13" s="29"/>
      <c r="I13" s="30"/>
      <c r="J13" s="30"/>
      <c r="K13" s="35"/>
      <c r="L13" s="8"/>
      <c r="M13" s="56" t="str">
        <f>'PCC.P.Range'!J85</f>
        <v/>
      </c>
      <c r="N13" s="56" t="str">
        <f>'PCC.P.Range'!K85</f>
        <v/>
      </c>
      <c r="O13" s="56" t="str">
        <f>'PCC.P.Range'!L85</f>
        <v/>
      </c>
      <c r="P13" s="56" t="str">
        <f>'PCC.P.Range'!M85</f>
        <v/>
      </c>
      <c r="Q13" s="56" t="str">
        <f>'PCC.P.Range'!N85</f>
        <v/>
      </c>
      <c r="R13" s="56" t="str">
        <f>'PCC.P.Range'!O85</f>
        <v/>
      </c>
      <c r="S13" s="56" t="str">
        <f>'PCC.P.Range'!P85</f>
        <v/>
      </c>
      <c r="T13" s="56" t="str">
        <f>'PCC.P.Range'!Q85</f>
        <v/>
      </c>
      <c r="U13" s="56" t="str">
        <f>'PCC.P.Range'!R85</f>
        <v/>
      </c>
      <c r="V13" s="56" t="str">
        <f>'PCC.P.Range'!S85</f>
        <v/>
      </c>
    </row>
    <row r="14" spans="1:22" ht="13.15" hidden="1" outlineLevel="1" x14ac:dyDescent="0.35">
      <c r="E14" s="9" t="s">
        <v>72</v>
      </c>
      <c r="F14" s="1" t="s">
        <v>68</v>
      </c>
      <c r="G14" s="1" t="s">
        <v>101</v>
      </c>
      <c r="H14" s="29"/>
      <c r="I14" s="30"/>
      <c r="J14" s="30"/>
      <c r="K14" s="35"/>
      <c r="L14" s="8"/>
      <c r="M14" s="56" t="str">
        <f>'PCC.P.Range'!J86</f>
        <v/>
      </c>
      <c r="N14" s="56" t="str">
        <f>'PCC.P.Range'!K86</f>
        <v/>
      </c>
      <c r="O14" s="56" t="str">
        <f>'PCC.P.Range'!L86</f>
        <v/>
      </c>
      <c r="P14" s="56" t="str">
        <f>'PCC.P.Range'!M86</f>
        <v/>
      </c>
      <c r="Q14" s="56" t="str">
        <f>'PCC.P.Range'!N86</f>
        <v/>
      </c>
      <c r="R14" s="56" t="str">
        <f>'PCC.P.Range'!O86</f>
        <v/>
      </c>
      <c r="S14" s="56" t="str">
        <f>'PCC.P.Range'!P86</f>
        <v/>
      </c>
      <c r="T14" s="56" t="str">
        <f>'PCC.P.Range'!Q86</f>
        <v/>
      </c>
      <c r="U14" s="56" t="str">
        <f>'PCC.P.Range'!R86</f>
        <v/>
      </c>
      <c r="V14" s="56" t="str">
        <f>'PCC.P.Range'!S86</f>
        <v/>
      </c>
    </row>
    <row r="15" spans="1:22" ht="13.15" hidden="1" outlineLevel="1" x14ac:dyDescent="0.35">
      <c r="E15" s="1" t="s">
        <v>49</v>
      </c>
      <c r="F15" s="1" t="s">
        <v>68</v>
      </c>
      <c r="G15" s="1" t="s">
        <v>101</v>
      </c>
      <c r="H15" s="29"/>
      <c r="I15" s="30"/>
      <c r="J15" s="30"/>
      <c r="K15" s="35"/>
      <c r="L15" s="8"/>
      <c r="M15" s="56" t="str">
        <f>'PCC.P.Range'!J87</f>
        <v/>
      </c>
      <c r="N15" s="56" t="str">
        <f>'PCC.P.Range'!K87</f>
        <v/>
      </c>
      <c r="O15" s="56" t="str">
        <f>'PCC.P.Range'!L87</f>
        <v/>
      </c>
      <c r="P15" s="56" t="str">
        <f>'PCC.P.Range'!M87</f>
        <v/>
      </c>
      <c r="Q15" s="56">
        <f>'PCC.P.Range'!N87</f>
        <v>-3.41980213445508E-2</v>
      </c>
      <c r="R15" s="56">
        <f>'PCC.P.Range'!O87</f>
        <v>-2.7541515771518168E-2</v>
      </c>
      <c r="S15" s="56">
        <f>'PCC.P.Range'!P87</f>
        <v>-6.1491418664962251E-2</v>
      </c>
      <c r="T15" s="56">
        <f>'PCC.P.Range'!Q87</f>
        <v>-7.8901703012038055E-2</v>
      </c>
      <c r="U15" s="56">
        <f>'PCC.P.Range'!R87</f>
        <v>-7.980076193033267E-2</v>
      </c>
      <c r="V15" s="56">
        <f>'PCC.P.Range'!S87</f>
        <v>-4.5452253892900758E-2</v>
      </c>
    </row>
    <row r="16" spans="1:22" ht="13.15" hidden="1" outlineLevel="1" x14ac:dyDescent="0.35">
      <c r="E16" s="1" t="s">
        <v>50</v>
      </c>
      <c r="F16" s="1" t="s">
        <v>68</v>
      </c>
      <c r="G16" s="1" t="s">
        <v>101</v>
      </c>
      <c r="H16" s="29"/>
      <c r="I16" s="30"/>
      <c r="J16" s="30"/>
      <c r="K16" s="35"/>
      <c r="L16" s="8"/>
      <c r="M16" s="56" t="str">
        <f>'PCC.P.Range'!J88</f>
        <v/>
      </c>
      <c r="N16" s="56" t="str">
        <f>'PCC.P.Range'!K88</f>
        <v/>
      </c>
      <c r="O16" s="56" t="str">
        <f>'PCC.P.Range'!L88</f>
        <v/>
      </c>
      <c r="P16" s="56" t="str">
        <f>'PCC.P.Range'!M88</f>
        <v/>
      </c>
      <c r="Q16" s="56" t="str">
        <f>'PCC.P.Range'!N88</f>
        <v/>
      </c>
      <c r="R16" s="56">
        <f>'PCC.P.Range'!O88</f>
        <v>2.0816569733714658E-3</v>
      </c>
      <c r="S16" s="56">
        <f>'PCC.P.Range'!P88</f>
        <v>-3.6022355824597047E-3</v>
      </c>
      <c r="T16" s="56">
        <f>'PCC.P.Range'!Q88</f>
        <v>3.9388746890508426E-3</v>
      </c>
      <c r="U16" s="56">
        <f>'PCC.P.Range'!R88</f>
        <v>-2.9786856175026976E-2</v>
      </c>
      <c r="V16" s="56">
        <f>'PCC.P.Range'!S88</f>
        <v>-7.9174673274777008E-2</v>
      </c>
    </row>
    <row r="17" spans="1:22" ht="13.15" hidden="1" outlineLevel="1" x14ac:dyDescent="0.35">
      <c r="E17" s="1" t="s">
        <v>51</v>
      </c>
      <c r="F17" s="1" t="s">
        <v>68</v>
      </c>
      <c r="G17" s="1" t="s">
        <v>101</v>
      </c>
      <c r="H17" s="29"/>
      <c r="I17" s="30"/>
      <c r="J17" s="30"/>
      <c r="K17" s="35"/>
      <c r="L17" s="8"/>
      <c r="M17" s="56">
        <f>'PCC.P.Range'!J89</f>
        <v>8.4239130434782455E-2</v>
      </c>
      <c r="N17" s="56">
        <f>'PCC.P.Range'!K89</f>
        <v>0.10242214532871981</v>
      </c>
      <c r="O17" s="56">
        <f>'PCC.P.Range'!L89</f>
        <v>7.4118476727785737E-2</v>
      </c>
      <c r="P17" s="56">
        <f>'PCC.P.Range'!M89</f>
        <v>7.3328540618260357E-2</v>
      </c>
      <c r="Q17" s="56">
        <f>'PCC.P.Range'!N89</f>
        <v>4.7653958944281719E-2</v>
      </c>
      <c r="R17" s="56">
        <f>'PCC.P.Range'!O89</f>
        <v>6.1402615631566421E-3</v>
      </c>
      <c r="S17" s="56">
        <f>'PCC.P.Range'!P89</f>
        <v>-3.9931206057492993E-2</v>
      </c>
      <c r="T17" s="56">
        <f>'PCC.P.Range'!Q89</f>
        <v>-5.8753728343411138E-2</v>
      </c>
      <c r="U17" s="56">
        <f>'PCC.P.Range'!R89</f>
        <v>-8.9517008930316888E-2</v>
      </c>
      <c r="V17" s="56">
        <f>'PCC.P.Range'!S89</f>
        <v>-9.7450435172621544E-2</v>
      </c>
    </row>
    <row r="18" spans="1:22" ht="13.15" hidden="1" outlineLevel="1" x14ac:dyDescent="0.35">
      <c r="E18" s="1" t="s">
        <v>52</v>
      </c>
      <c r="F18" s="1" t="s">
        <v>68</v>
      </c>
      <c r="G18" s="1" t="s">
        <v>101</v>
      </c>
      <c r="H18" s="29"/>
      <c r="I18" s="30"/>
      <c r="J18" s="30"/>
      <c r="K18" s="35"/>
      <c r="L18" s="8"/>
      <c r="M18" s="56" t="str">
        <f>'PCC.P.Range'!J90</f>
        <v/>
      </c>
      <c r="N18" s="56" t="str">
        <f>'PCC.P.Range'!K90</f>
        <v/>
      </c>
      <c r="O18" s="56" t="str">
        <f>'PCC.P.Range'!L90</f>
        <v/>
      </c>
      <c r="P18" s="56" t="str">
        <f>'PCC.P.Range'!M90</f>
        <v/>
      </c>
      <c r="Q18" s="56" t="str">
        <f>'PCC.P.Range'!N90</f>
        <v/>
      </c>
      <c r="R18" s="56">
        <f>'PCC.P.Range'!O90</f>
        <v>7.3110363558299384E-3</v>
      </c>
      <c r="S18" s="56">
        <f>'PCC.P.Range'!P90</f>
        <v>-2.2379504051830618E-2</v>
      </c>
      <c r="T18" s="56">
        <f>'PCC.P.Range'!Q90</f>
        <v>-2.9019048535195401E-2</v>
      </c>
      <c r="U18" s="56">
        <f>'PCC.P.Range'!R90</f>
        <v>-3.0987062428694367E-2</v>
      </c>
      <c r="V18" s="56">
        <f>'PCC.P.Range'!S90</f>
        <v>-2.8635639490077417E-2</v>
      </c>
    </row>
    <row r="19" spans="1:22" ht="13.15" hidden="1" outlineLevel="1" x14ac:dyDescent="0.35">
      <c r="E19" s="1" t="s">
        <v>74</v>
      </c>
      <c r="F19" s="1" t="s">
        <v>68</v>
      </c>
      <c r="G19" s="1" t="s">
        <v>101</v>
      </c>
      <c r="H19" s="29"/>
      <c r="I19" s="30"/>
      <c r="J19" s="30"/>
      <c r="K19" s="35"/>
      <c r="L19" s="8"/>
      <c r="M19" s="56" t="str">
        <f>'PCC.P.Range'!J91</f>
        <v/>
      </c>
      <c r="N19" s="56" t="str">
        <f>'PCC.P.Range'!K91</f>
        <v/>
      </c>
      <c r="O19" s="56" t="str">
        <f>'PCC.P.Range'!L91</f>
        <v/>
      </c>
      <c r="P19" s="56" t="str">
        <f>'PCC.P.Range'!M91</f>
        <v/>
      </c>
      <c r="Q19" s="56" t="str">
        <f>'PCC.P.Range'!N91</f>
        <v/>
      </c>
      <c r="R19" s="56">
        <f>'PCC.P.Range'!O91</f>
        <v>-3.0079291610843908E-4</v>
      </c>
      <c r="S19" s="56">
        <f>'PCC.P.Range'!P91</f>
        <v>-3.1053746095029956E-2</v>
      </c>
      <c r="T19" s="56">
        <f>'PCC.P.Range'!Q91</f>
        <v>-4.1385282558786735E-2</v>
      </c>
      <c r="U19" s="56">
        <f>'PCC.P.Range'!R91</f>
        <v>-4.5863217637887449E-2</v>
      </c>
      <c r="V19" s="56">
        <f>'PCC.P.Range'!S91</f>
        <v>-4.0554956986154155E-2</v>
      </c>
    </row>
    <row r="20" spans="1:22" ht="13.15" hidden="1" outlineLevel="1" x14ac:dyDescent="0.35">
      <c r="E20" s="1" t="s">
        <v>54</v>
      </c>
      <c r="F20" s="1" t="s">
        <v>68</v>
      </c>
      <c r="G20" s="1" t="s">
        <v>101</v>
      </c>
      <c r="H20" s="29"/>
      <c r="I20" s="30"/>
      <c r="J20" s="30"/>
      <c r="K20" s="35"/>
      <c r="L20" s="8"/>
      <c r="M20" s="56">
        <f>'PCC.P.Range'!J92</f>
        <v>-7.2992700729927005E-3</v>
      </c>
      <c r="N20" s="56">
        <f>'PCC.P.Range'!K92</f>
        <v>-1.9259259259259216E-2</v>
      </c>
      <c r="O20" s="56">
        <f>'PCC.P.Range'!L92</f>
        <v>-4.9999999999999913E-2</v>
      </c>
      <c r="P20" s="56">
        <f>'PCC.P.Range'!M92</f>
        <v>-7.368421052631588E-2</v>
      </c>
      <c r="Q20" s="56">
        <f>'PCC.P.Range'!N92</f>
        <v>-0.10757575757575749</v>
      </c>
      <c r="R20" s="56">
        <f>'PCC.P.Range'!O92</f>
        <v>1.0795685763653941E-3</v>
      </c>
      <c r="S20" s="56">
        <f>'PCC.P.Range'!P92</f>
        <v>-3.9522921363982125E-2</v>
      </c>
      <c r="T20" s="56">
        <f>'PCC.P.Range'!Q92</f>
        <v>-5.4079196372873423E-2</v>
      </c>
      <c r="U20" s="56">
        <f>'PCC.P.Range'!R92</f>
        <v>-5.6287224705056552E-2</v>
      </c>
      <c r="V20" s="56">
        <f>'PCC.P.Range'!S92</f>
        <v>-1.6446234932697042E-2</v>
      </c>
    </row>
    <row r="21" spans="1:22" ht="13.15" hidden="1" outlineLevel="1" x14ac:dyDescent="0.35">
      <c r="E21" s="1" t="s">
        <v>55</v>
      </c>
      <c r="F21" s="1" t="s">
        <v>68</v>
      </c>
      <c r="G21" s="1" t="s">
        <v>101</v>
      </c>
      <c r="H21" s="29"/>
      <c r="I21" s="30"/>
      <c r="J21" s="30"/>
      <c r="K21" s="35"/>
      <c r="L21" s="8"/>
      <c r="M21" s="56">
        <f>'PCC.P.Range'!J93</f>
        <v>7.2372999304105623E-2</v>
      </c>
      <c r="N21" s="56">
        <f>'PCC.P.Range'!K93</f>
        <v>6.6619915848527347E-2</v>
      </c>
      <c r="O21" s="56">
        <f>'PCC.P.Range'!L93</f>
        <v>4.9469964664310952E-2</v>
      </c>
      <c r="P21" s="56">
        <f>'PCC.P.Range'!M93</f>
        <v>5.2706552706552744E-2</v>
      </c>
      <c r="Q21" s="56">
        <f>'PCC.P.Range'!N93</f>
        <v>4.1636755204594478E-2</v>
      </c>
      <c r="R21" s="56">
        <f>'PCC.P.Range'!O93</f>
        <v>-7.0621145545536066E-3</v>
      </c>
      <c r="S21" s="56">
        <f>'PCC.P.Range'!P93</f>
        <v>-5.8880295495123428E-2</v>
      </c>
      <c r="T21" s="56">
        <f>'PCC.P.Range'!Q93</f>
        <v>-9.4680473299566623E-2</v>
      </c>
      <c r="U21" s="56">
        <f>'PCC.P.Range'!R93</f>
        <v>-0.11345173009835141</v>
      </c>
      <c r="V21" s="56">
        <f>'PCC.P.Range'!S93</f>
        <v>-8.6636635421778366E-2</v>
      </c>
    </row>
    <row r="22" spans="1:22" ht="13.15" hidden="1" outlineLevel="1" x14ac:dyDescent="0.35">
      <c r="E22" s="1" t="s">
        <v>56</v>
      </c>
      <c r="F22" s="1" t="s">
        <v>68</v>
      </c>
      <c r="G22" s="1" t="s">
        <v>101</v>
      </c>
      <c r="H22" s="29"/>
      <c r="I22" s="30"/>
      <c r="J22" s="30"/>
      <c r="K22" s="35"/>
      <c r="L22" s="8"/>
      <c r="M22" s="56">
        <f>'PCC.P.Range'!J94</f>
        <v>6.3762626262626229E-2</v>
      </c>
      <c r="N22" s="56">
        <f>'PCC.P.Range'!K94</f>
        <v>3.007037747920676E-2</v>
      </c>
      <c r="O22" s="56">
        <f>'PCC.P.Range'!L94</f>
        <v>1.1568123393316086E-2</v>
      </c>
      <c r="P22" s="56">
        <f>'PCC.P.Range'!M94</f>
        <v>1.5003261578604118E-2</v>
      </c>
      <c r="Q22" s="56">
        <f>'PCC.P.Range'!N94</f>
        <v>-5.6553559547571519E-2</v>
      </c>
      <c r="R22" s="56">
        <f>'PCC.P.Range'!O94</f>
        <v>1.8797878468249048E-2</v>
      </c>
      <c r="S22" s="56">
        <f>'PCC.P.Range'!P94</f>
        <v>-4.5245579215347581E-2</v>
      </c>
      <c r="T22" s="56">
        <f>'PCC.P.Range'!Q94</f>
        <v>-7.9546422781637607E-2</v>
      </c>
      <c r="U22" s="56">
        <f>'PCC.P.Range'!R94</f>
        <v>-0.11721351677966464</v>
      </c>
      <c r="V22" s="56">
        <f>'PCC.P.Range'!S94</f>
        <v>-0.15168458094388473</v>
      </c>
    </row>
    <row r="23" spans="1:22" ht="13.15" hidden="1" outlineLevel="1" x14ac:dyDescent="0.35">
      <c r="E23" s="1" t="s">
        <v>57</v>
      </c>
      <c r="F23" s="1" t="s">
        <v>68</v>
      </c>
      <c r="G23" s="1" t="s">
        <v>101</v>
      </c>
      <c r="H23" s="29"/>
      <c r="I23" s="30"/>
      <c r="J23" s="30"/>
      <c r="K23" s="35"/>
      <c r="L23" s="8"/>
      <c r="M23" s="56">
        <f>'PCC.P.Range'!J95</f>
        <v>1.7857142857142818E-2</v>
      </c>
      <c r="N23" s="56">
        <f>'PCC.P.Range'!K95</f>
        <v>2.9573590096286184E-2</v>
      </c>
      <c r="O23" s="56">
        <f>'PCC.P.Range'!L95</f>
        <v>2.7681660899654373E-3</v>
      </c>
      <c r="P23" s="56">
        <f>'PCC.P.Range'!M95</f>
        <v>-6.2674094707521289E-3</v>
      </c>
      <c r="Q23" s="56">
        <f>'PCC.P.Range'!N95</f>
        <v>-3.8515406162464981E-2</v>
      </c>
      <c r="R23" s="56">
        <f>'PCC.P.Range'!O95</f>
        <v>-1.9750301115398279E-4</v>
      </c>
      <c r="S23" s="56">
        <f>'PCC.P.Range'!P95</f>
        <v>-4.0934258477032116E-2</v>
      </c>
      <c r="T23" s="56">
        <f>'PCC.P.Range'!Q95</f>
        <v>-6.2608230085938479E-2</v>
      </c>
      <c r="U23" s="56">
        <f>'PCC.P.Range'!R95</f>
        <v>-8.2437954195635751E-2</v>
      </c>
      <c r="V23" s="56">
        <f>'PCC.P.Range'!S95</f>
        <v>-7.0965616912945562E-2</v>
      </c>
    </row>
    <row r="24" spans="1:22" ht="13.15" hidden="1" outlineLevel="1" x14ac:dyDescent="0.35">
      <c r="E24" s="1" t="s">
        <v>58</v>
      </c>
      <c r="F24" s="1" t="s">
        <v>68</v>
      </c>
      <c r="G24" s="1" t="s">
        <v>101</v>
      </c>
      <c r="H24" s="29"/>
      <c r="I24" s="30"/>
      <c r="J24" s="30"/>
      <c r="K24" s="35"/>
      <c r="L24" s="8"/>
      <c r="M24" s="56" t="str">
        <f>'PCC.P.Range'!J96</f>
        <v/>
      </c>
      <c r="N24" s="56" t="str">
        <f>'PCC.P.Range'!K96</f>
        <v/>
      </c>
      <c r="O24" s="56" t="str">
        <f>'PCC.P.Range'!L96</f>
        <v/>
      </c>
      <c r="P24" s="56" t="str">
        <f>'PCC.P.Range'!M96</f>
        <v/>
      </c>
      <c r="Q24" s="56" t="str">
        <f>'PCC.P.Range'!N96</f>
        <v/>
      </c>
      <c r="R24" s="56" t="str">
        <f>'PCC.P.Range'!O96</f>
        <v/>
      </c>
      <c r="S24" s="56" t="str">
        <f>'PCC.P.Range'!P96</f>
        <v/>
      </c>
      <c r="T24" s="56" t="str">
        <f>'PCC.P.Range'!Q96</f>
        <v/>
      </c>
      <c r="U24" s="56" t="str">
        <f>'PCC.P.Range'!R96</f>
        <v/>
      </c>
      <c r="V24" s="56" t="str">
        <f>'PCC.P.Range'!S96</f>
        <v/>
      </c>
    </row>
    <row r="25" spans="1:22" ht="13.15" hidden="1" outlineLevel="1" x14ac:dyDescent="0.35">
      <c r="E25" s="1" t="s">
        <v>75</v>
      </c>
      <c r="F25" s="1" t="s">
        <v>68</v>
      </c>
      <c r="G25" s="1" t="s">
        <v>101</v>
      </c>
      <c r="H25" s="29"/>
      <c r="I25" s="30"/>
      <c r="J25" s="30"/>
      <c r="K25" s="35"/>
      <c r="L25" s="8"/>
      <c r="M25" s="56" t="str">
        <f>'PCC.P.Range'!J97</f>
        <v/>
      </c>
      <c r="N25" s="56" t="str">
        <f>'PCC.P.Range'!K97</f>
        <v/>
      </c>
      <c r="O25" s="56" t="str">
        <f>'PCC.P.Range'!L97</f>
        <v/>
      </c>
      <c r="P25" s="56" t="str">
        <f>'PCC.P.Range'!M97</f>
        <v/>
      </c>
      <c r="Q25" s="56" t="str">
        <f>'PCC.P.Range'!N97</f>
        <v/>
      </c>
      <c r="R25" s="56">
        <f>'PCC.P.Range'!O97</f>
        <v>-1.7558046622057186E-3</v>
      </c>
      <c r="S25" s="56">
        <f>'PCC.P.Range'!P97</f>
        <v>-6.3947789998140145E-2</v>
      </c>
      <c r="T25" s="56">
        <f>'PCC.P.Range'!Q97</f>
        <v>-0.11034767560770826</v>
      </c>
      <c r="U25" s="56">
        <f>'PCC.P.Range'!R97</f>
        <v>-0.15543411046900926</v>
      </c>
      <c r="V25" s="56">
        <f>'PCC.P.Range'!S97</f>
        <v>-0.12227577569584538</v>
      </c>
    </row>
    <row r="26" spans="1:22" ht="13.15" hidden="1" outlineLevel="1" x14ac:dyDescent="0.35">
      <c r="E26" s="1" t="s">
        <v>76</v>
      </c>
      <c r="F26" s="1" t="s">
        <v>68</v>
      </c>
      <c r="G26" s="1" t="s">
        <v>101</v>
      </c>
      <c r="H26" s="29"/>
      <c r="I26" s="30"/>
      <c r="J26" s="30"/>
      <c r="K26" s="35"/>
      <c r="L26" s="8"/>
      <c r="M26" s="56" t="str">
        <f>'PCC.P.Range'!J98</f>
        <v/>
      </c>
      <c r="N26" s="56" t="str">
        <f>'PCC.P.Range'!K98</f>
        <v/>
      </c>
      <c r="O26" s="56" t="str">
        <f>'PCC.P.Range'!L98</f>
        <v/>
      </c>
      <c r="P26" s="56" t="str">
        <f>'PCC.P.Range'!M98</f>
        <v/>
      </c>
      <c r="Q26" s="56" t="str">
        <f>'PCC.P.Range'!N98</f>
        <v/>
      </c>
      <c r="R26" s="56">
        <f>'PCC.P.Range'!O98</f>
        <v>1.3054826085674958E-3</v>
      </c>
      <c r="S26" s="56">
        <f>'PCC.P.Range'!P98</f>
        <v>-4.4546751928517841E-2</v>
      </c>
      <c r="T26" s="56">
        <f>'PCC.P.Range'!Q98</f>
        <v>-6.1205283443183517E-2</v>
      </c>
      <c r="U26" s="56">
        <f>'PCC.P.Range'!R98</f>
        <v>-9.7294182246606964E-2</v>
      </c>
      <c r="V26" s="56">
        <f>'PCC.P.Range'!S98</f>
        <v>-4.5833629188080115E-2</v>
      </c>
    </row>
    <row r="27" spans="1:22" ht="13.15" hidden="1" outlineLevel="1" x14ac:dyDescent="0.35">
      <c r="E27" s="1" t="s">
        <v>59</v>
      </c>
      <c r="F27" s="1" t="s">
        <v>68</v>
      </c>
      <c r="G27" s="1" t="s">
        <v>101</v>
      </c>
      <c r="H27" s="29"/>
      <c r="I27" s="30"/>
      <c r="J27" s="30"/>
      <c r="K27" s="35"/>
      <c r="L27" s="8"/>
      <c r="M27" s="56">
        <f>'PCC.P.Range'!J99</f>
        <v>1.1813429289157315E-2</v>
      </c>
      <c r="N27" s="56">
        <f>'PCC.P.Range'!K99</f>
        <v>2.2778421878196845E-2</v>
      </c>
      <c r="O27" s="56">
        <f>'PCC.P.Range'!L99</f>
        <v>5.8920252123870484E-3</v>
      </c>
      <c r="P27" s="56">
        <f>'PCC.P.Range'!M99</f>
        <v>-1.5486268841627092E-2</v>
      </c>
      <c r="Q27" s="56">
        <f>'PCC.P.Range'!N99</f>
        <v>-5.3799875527280078E-2</v>
      </c>
      <c r="R27" s="56">
        <f>'PCC.P.Range'!O99</f>
        <v>1.0228585500537081E-2</v>
      </c>
      <c r="S27" s="56">
        <f>'PCC.P.Range'!P99</f>
        <v>-5.5864123104143779E-2</v>
      </c>
      <c r="T27" s="56">
        <f>'PCC.P.Range'!Q99</f>
        <v>-8.952853487375298E-2</v>
      </c>
      <c r="U27" s="56">
        <f>'PCC.P.Range'!R99</f>
        <v>-0.1102243952675198</v>
      </c>
      <c r="V27" s="56">
        <f>'PCC.P.Range'!S99</f>
        <v>-0.10170877187607308</v>
      </c>
    </row>
    <row r="28" spans="1:22" ht="13.15" hidden="1" outlineLevel="1" x14ac:dyDescent="0.35">
      <c r="E28" s="1" t="s">
        <v>60</v>
      </c>
      <c r="F28" s="1" t="s">
        <v>68</v>
      </c>
      <c r="G28" s="1" t="s">
        <v>101</v>
      </c>
      <c r="H28" s="29"/>
      <c r="I28" s="30"/>
      <c r="J28" s="30"/>
      <c r="K28" s="35"/>
      <c r="L28" s="8"/>
      <c r="M28" s="56" t="str">
        <f>'PCC.P.Range'!J100</f>
        <v/>
      </c>
      <c r="N28" s="56" t="str">
        <f>'PCC.P.Range'!K100</f>
        <v/>
      </c>
      <c r="O28" s="56" t="str">
        <f>'PCC.P.Range'!L100</f>
        <v/>
      </c>
      <c r="P28" s="56" t="str">
        <f>'PCC.P.Range'!M100</f>
        <v/>
      </c>
      <c r="Q28" s="56" t="str">
        <f>'PCC.P.Range'!N100</f>
        <v/>
      </c>
      <c r="R28" s="56">
        <f>'PCC.P.Range'!O100</f>
        <v>-1.6234164292302067E-2</v>
      </c>
      <c r="S28" s="56">
        <f>'PCC.P.Range'!P100</f>
        <v>-7.7427706765407708E-2</v>
      </c>
      <c r="T28" s="56">
        <f>'PCC.P.Range'!Q100</f>
        <v>-0.12219491972578964</v>
      </c>
      <c r="U28" s="56">
        <f>'PCC.P.Range'!R100</f>
        <v>-0.1520060844000421</v>
      </c>
      <c r="V28" s="56">
        <f>'PCC.P.Range'!S100</f>
        <v>-0.12820738322816294</v>
      </c>
    </row>
    <row r="29" spans="1:22" ht="13.15" hidden="1" outlineLevel="1" x14ac:dyDescent="0.35">
      <c r="E29" s="1" t="s">
        <v>61</v>
      </c>
      <c r="F29" s="1" t="s">
        <v>68</v>
      </c>
      <c r="G29" s="1" t="s">
        <v>101</v>
      </c>
      <c r="H29" s="29"/>
      <c r="I29" s="30"/>
      <c r="J29" s="30"/>
      <c r="K29" s="35"/>
      <c r="L29" s="8"/>
      <c r="M29" s="56">
        <f>'PCC.P.Range'!J101</f>
        <v>1.0442260442260546E-2</v>
      </c>
      <c r="N29" s="56">
        <f>'PCC.P.Range'!K101</f>
        <v>1.8610421836227232E-3</v>
      </c>
      <c r="O29" s="56">
        <f>'PCC.P.Range'!L101</f>
        <v>1.6875000000000639E-3</v>
      </c>
      <c r="P29" s="56">
        <f>'PCC.P.Range'!M101</f>
        <v>0</v>
      </c>
      <c r="Q29" s="56">
        <f>'PCC.P.Range'!N101</f>
        <v>-3.1198478123018493E-2</v>
      </c>
      <c r="R29" s="56">
        <f>'PCC.P.Range'!O101</f>
        <v>2.6736313305824604E-3</v>
      </c>
      <c r="S29" s="56">
        <f>'PCC.P.Range'!P101</f>
        <v>-4.9876850932261046E-2</v>
      </c>
      <c r="T29" s="56">
        <f>'PCC.P.Range'!Q101</f>
        <v>-5.0393000744491059E-2</v>
      </c>
      <c r="U29" s="56">
        <f>'PCC.P.Range'!R101</f>
        <v>-8.4222126680284171E-2</v>
      </c>
      <c r="V29" s="56">
        <f>'PCC.P.Range'!S101</f>
        <v>-7.5434656267067454E-2</v>
      </c>
    </row>
    <row r="30" spans="1:22" ht="13.5" customHeight="1" collapsed="1" x14ac:dyDescent="0.35">
      <c r="E30" s="1"/>
    </row>
    <row r="31" spans="1:22" s="91" customFormat="1" ht="13.15" x14ac:dyDescent="0.35">
      <c r="A31" s="90" t="s">
        <v>106</v>
      </c>
      <c r="B31" s="90"/>
      <c r="C31" s="90"/>
      <c r="D31" s="90"/>
      <c r="E31" s="90"/>
      <c r="F31" s="90"/>
      <c r="G31" s="90"/>
      <c r="H31" s="90"/>
      <c r="I31" s="90"/>
      <c r="J31" s="90"/>
      <c r="K31" s="90"/>
      <c r="L31" s="90"/>
    </row>
    <row r="32" spans="1:22" ht="13.15" x14ac:dyDescent="0.35">
      <c r="E32" s="1"/>
    </row>
    <row r="33" spans="5:12" ht="13.15" x14ac:dyDescent="0.35">
      <c r="E33" s="1"/>
      <c r="F33" s="1" t="s">
        <v>68</v>
      </c>
      <c r="G33" s="1" t="s">
        <v>101</v>
      </c>
      <c r="H33" s="1" t="s">
        <v>107</v>
      </c>
      <c r="I33" s="23">
        <v>0.1</v>
      </c>
      <c r="J33" s="29"/>
      <c r="K33" s="26">
        <f>_xlfn.PERCENTILE.INC($M$9:$V$29,I33)</f>
        <v>-9.7434809880020082E-2</v>
      </c>
      <c r="L33" s="11"/>
    </row>
    <row r="34" spans="5:12" ht="13.15" hidden="1" outlineLevel="1" x14ac:dyDescent="0.35">
      <c r="E34" s="1"/>
      <c r="F34" s="1" t="s">
        <v>68</v>
      </c>
      <c r="G34" s="1" t="s">
        <v>101</v>
      </c>
      <c r="H34" s="1" t="s">
        <v>108</v>
      </c>
      <c r="I34" s="23">
        <v>0.15</v>
      </c>
      <c r="J34" s="29"/>
      <c r="K34" s="26">
        <f t="shared" ref="K34:K49" si="0">_xlfn.PERCENTILE.INC($M$9:$V$29,I34)</f>
        <v>-8.5285047951146151E-2</v>
      </c>
      <c r="L34" s="8"/>
    </row>
    <row r="35" spans="5:12" ht="13.15" hidden="1" outlineLevel="1" x14ac:dyDescent="0.35">
      <c r="E35" s="1"/>
      <c r="F35" s="1" t="s">
        <v>68</v>
      </c>
      <c r="G35" s="1" t="s">
        <v>101</v>
      </c>
      <c r="H35" s="1" t="s">
        <v>109</v>
      </c>
      <c r="I35" s="23">
        <v>0.2</v>
      </c>
      <c r="J35" s="29"/>
      <c r="K35" s="26">
        <f t="shared" si="0"/>
        <v>-7.8606903762711983E-2</v>
      </c>
      <c r="L35" s="8"/>
    </row>
    <row r="36" spans="5:12" ht="13.15" hidden="1" outlineLevel="1" x14ac:dyDescent="0.35">
      <c r="E36" s="1"/>
      <c r="F36" s="1" t="s">
        <v>68</v>
      </c>
      <c r="G36" s="1" t="s">
        <v>101</v>
      </c>
      <c r="H36" s="1" t="s">
        <v>110</v>
      </c>
      <c r="I36" s="23">
        <v>0.25</v>
      </c>
      <c r="J36" s="29"/>
      <c r="K36" s="26">
        <f t="shared" si="0"/>
        <v>-6.4515534126186366E-2</v>
      </c>
      <c r="L36" s="8"/>
    </row>
    <row r="37" spans="5:12" ht="13.15" hidden="1" outlineLevel="1" x14ac:dyDescent="0.35">
      <c r="E37" s="1"/>
      <c r="F37" s="1" t="s">
        <v>68</v>
      </c>
      <c r="G37" s="1" t="s">
        <v>101</v>
      </c>
      <c r="H37" s="1" t="s">
        <v>111</v>
      </c>
      <c r="I37" s="23">
        <v>0.3</v>
      </c>
      <c r="J37" s="29"/>
      <c r="K37" s="26">
        <f t="shared" si="0"/>
        <v>-5.8842325349609738E-2</v>
      </c>
      <c r="L37" s="8"/>
    </row>
    <row r="38" spans="5:12" ht="13.15" hidden="1" outlineLevel="1" x14ac:dyDescent="0.35">
      <c r="E38" s="1"/>
      <c r="F38" s="1" t="s">
        <v>68</v>
      </c>
      <c r="G38" s="1" t="s">
        <v>101</v>
      </c>
      <c r="H38" s="1" t="s">
        <v>112</v>
      </c>
      <c r="I38" s="23">
        <v>0.35</v>
      </c>
      <c r="J38" s="29"/>
      <c r="K38" s="26">
        <f t="shared" si="0"/>
        <v>-5.0904031961909429E-2</v>
      </c>
      <c r="L38" s="8"/>
    </row>
    <row r="39" spans="5:12" ht="13.15" hidden="1" outlineLevel="1" x14ac:dyDescent="0.35">
      <c r="E39" s="1"/>
      <c r="F39" s="1" t="s">
        <v>68</v>
      </c>
      <c r="G39" s="1" t="s">
        <v>101</v>
      </c>
      <c r="H39" s="1" t="s">
        <v>113</v>
      </c>
      <c r="I39" s="23">
        <v>0.4</v>
      </c>
      <c r="J39" s="29"/>
      <c r="K39" s="26">
        <f t="shared" si="0"/>
        <v>-4.5681079070008367E-2</v>
      </c>
      <c r="L39" s="8"/>
    </row>
    <row r="40" spans="5:12" ht="13.15" hidden="1" outlineLevel="1" x14ac:dyDescent="0.35">
      <c r="E40" s="1"/>
      <c r="F40" s="1" t="s">
        <v>68</v>
      </c>
      <c r="G40" s="1" t="s">
        <v>101</v>
      </c>
      <c r="H40" s="1" t="s">
        <v>114</v>
      </c>
      <c r="I40" s="23">
        <v>0.45</v>
      </c>
      <c r="J40" s="29"/>
      <c r="K40" s="26">
        <f t="shared" si="0"/>
        <v>-4.0183582638380295E-2</v>
      </c>
      <c r="L40" s="8"/>
    </row>
    <row r="41" spans="5:12" ht="13.15" hidden="1" outlineLevel="1" x14ac:dyDescent="0.35">
      <c r="E41" s="1"/>
      <c r="F41" s="1" t="s">
        <v>68</v>
      </c>
      <c r="G41" s="1" t="s">
        <v>101</v>
      </c>
      <c r="H41" s="1" t="s">
        <v>115</v>
      </c>
      <c r="I41" s="23">
        <v>0.5</v>
      </c>
      <c r="J41" s="29"/>
      <c r="K41" s="26">
        <f t="shared" si="0"/>
        <v>-3.5683165270878156E-2</v>
      </c>
      <c r="L41" s="8"/>
    </row>
    <row r="42" spans="5:12" ht="13.15" hidden="1" outlineLevel="1" x14ac:dyDescent="0.35">
      <c r="E42" s="1"/>
      <c r="F42" s="1" t="s">
        <v>68</v>
      </c>
      <c r="G42" s="1" t="s">
        <v>101</v>
      </c>
      <c r="H42" s="1" t="s">
        <v>116</v>
      </c>
      <c r="I42" s="23">
        <v>0.55000000000000004</v>
      </c>
      <c r="J42" s="29"/>
      <c r="K42" s="26">
        <f t="shared" si="0"/>
        <v>-2.8999878082939495E-2</v>
      </c>
      <c r="L42" s="8"/>
    </row>
    <row r="43" spans="5:12" ht="13.15" hidden="1" outlineLevel="1" x14ac:dyDescent="0.35">
      <c r="E43" s="1"/>
      <c r="F43" s="1" t="s">
        <v>68</v>
      </c>
      <c r="G43" s="1" t="s">
        <v>101</v>
      </c>
      <c r="H43" s="1" t="s">
        <v>117</v>
      </c>
      <c r="I43" s="23">
        <v>0.6</v>
      </c>
      <c r="J43" s="29"/>
      <c r="K43" s="26">
        <f t="shared" si="0"/>
        <v>-2.0396717728356453E-2</v>
      </c>
      <c r="L43" s="8"/>
    </row>
    <row r="44" spans="5:12" ht="13.15" hidden="1" outlineLevel="1" x14ac:dyDescent="0.35">
      <c r="E44" s="1"/>
      <c r="F44" s="1" t="s">
        <v>68</v>
      </c>
      <c r="G44" s="1" t="s">
        <v>101</v>
      </c>
      <c r="H44" s="1" t="s">
        <v>118</v>
      </c>
      <c r="I44" s="23">
        <v>0.65</v>
      </c>
      <c r="J44" s="29"/>
      <c r="K44" s="26">
        <f t="shared" si="0"/>
        <v>-7.2636967452268351E-3</v>
      </c>
      <c r="L44" s="8"/>
    </row>
    <row r="45" spans="5:12" ht="13.15" hidden="1" outlineLevel="1" x14ac:dyDescent="0.35">
      <c r="E45" s="1"/>
      <c r="F45" s="1" t="s">
        <v>68</v>
      </c>
      <c r="G45" s="1" t="s">
        <v>101</v>
      </c>
      <c r="H45" s="1" t="s">
        <v>119</v>
      </c>
      <c r="I45" s="23">
        <v>0.7</v>
      </c>
      <c r="J45" s="29"/>
      <c r="K45" s="26">
        <f t="shared" si="0"/>
        <v>-5.9250903346197084E-5</v>
      </c>
      <c r="L45" s="8"/>
    </row>
    <row r="46" spans="5:12" ht="13.15" hidden="1" outlineLevel="1" x14ac:dyDescent="0.35">
      <c r="E46" s="1"/>
      <c r="F46" s="1" t="s">
        <v>68</v>
      </c>
      <c r="G46" s="1" t="s">
        <v>101</v>
      </c>
      <c r="H46" s="1" t="s">
        <v>120</v>
      </c>
      <c r="I46" s="23">
        <v>0.75</v>
      </c>
      <c r="J46" s="29"/>
      <c r="K46" s="26">
        <f t="shared" si="0"/>
        <v>2.2296505626742142E-3</v>
      </c>
      <c r="L46" s="8"/>
    </row>
    <row r="47" spans="5:12" ht="13.15" hidden="1" outlineLevel="1" x14ac:dyDescent="0.35">
      <c r="E47" s="1"/>
      <c r="F47" s="1" t="s">
        <v>68</v>
      </c>
      <c r="G47" s="1" t="s">
        <v>101</v>
      </c>
      <c r="H47" s="1" t="s">
        <v>121</v>
      </c>
      <c r="I47" s="23">
        <v>0.8</v>
      </c>
      <c r="J47" s="29"/>
      <c r="K47" s="26">
        <f t="shared" si="0"/>
        <v>6.0906142930027265E-3</v>
      </c>
      <c r="L47" s="8"/>
    </row>
    <row r="48" spans="5:12" ht="13.15" hidden="1" outlineLevel="1" x14ac:dyDescent="0.35">
      <c r="E48" s="1"/>
      <c r="F48" s="1" t="s">
        <v>68</v>
      </c>
      <c r="G48" s="1" t="s">
        <v>101</v>
      </c>
      <c r="H48" s="1" t="s">
        <v>122</v>
      </c>
      <c r="I48" s="23">
        <v>0.85</v>
      </c>
      <c r="J48" s="29"/>
      <c r="K48" s="26">
        <f t="shared" si="0"/>
        <v>1.2751250501810012E-2</v>
      </c>
      <c r="L48" s="8"/>
    </row>
    <row r="49" spans="1:15" ht="13.15" hidden="1" outlineLevel="1" x14ac:dyDescent="0.35">
      <c r="E49" s="1"/>
      <c r="F49" s="1" t="s">
        <v>68</v>
      </c>
      <c r="G49" s="1" t="s">
        <v>101</v>
      </c>
      <c r="H49" s="1" t="s">
        <v>123</v>
      </c>
      <c r="I49" s="23">
        <v>0.9</v>
      </c>
      <c r="J49" s="29"/>
      <c r="K49" s="26">
        <f t="shared" si="0"/>
        <v>3.0020698740914706E-2</v>
      </c>
      <c r="L49" s="8"/>
    </row>
    <row r="50" spans="1:15" ht="13.15" collapsed="1" x14ac:dyDescent="0.35">
      <c r="E50" s="1"/>
      <c r="K50" s="9"/>
    </row>
    <row r="51" spans="1:15" s="91" customFormat="1" ht="13.15" x14ac:dyDescent="0.35">
      <c r="A51" s="90" t="s">
        <v>124</v>
      </c>
      <c r="B51" s="90"/>
      <c r="C51" s="90"/>
      <c r="D51" s="90"/>
      <c r="E51" s="90"/>
      <c r="F51" s="90"/>
      <c r="G51" s="90"/>
      <c r="H51" s="90"/>
      <c r="I51" s="90"/>
      <c r="J51" s="90"/>
      <c r="K51" s="90"/>
      <c r="L51" s="90"/>
    </row>
    <row r="52" spans="1:15" ht="13.15" x14ac:dyDescent="0.35">
      <c r="E52" s="1"/>
      <c r="M52" s="53">
        <f>K41</f>
        <v>-3.5683165270878156E-2</v>
      </c>
      <c r="N52" s="115" t="s">
        <v>125</v>
      </c>
      <c r="O52" s="115"/>
    </row>
    <row r="53" spans="1:15" ht="13.15" x14ac:dyDescent="0.35">
      <c r="E53" s="1"/>
      <c r="F53" s="1" t="s">
        <v>68</v>
      </c>
      <c r="G53" s="1" t="s">
        <v>101</v>
      </c>
      <c r="H53" s="1" t="s">
        <v>107</v>
      </c>
      <c r="I53" s="23">
        <v>0.1</v>
      </c>
      <c r="J53" s="29"/>
      <c r="K53" s="26">
        <f>K33-$M$52</f>
        <v>-6.1751644609141926E-2</v>
      </c>
      <c r="L53" s="11"/>
    </row>
    <row r="54" spans="1:15" ht="13.15" hidden="1" outlineLevel="1" x14ac:dyDescent="0.35">
      <c r="E54" s="1"/>
      <c r="F54" s="1" t="s">
        <v>68</v>
      </c>
      <c r="G54" s="1" t="s">
        <v>101</v>
      </c>
      <c r="H54" s="1" t="s">
        <v>108</v>
      </c>
      <c r="I54" s="23">
        <v>0.15</v>
      </c>
      <c r="J54" s="29"/>
      <c r="K54" s="26">
        <f t="shared" ref="K54:K69" si="1">K34-$M$52</f>
        <v>-4.9601882680267995E-2</v>
      </c>
      <c r="L54" s="8"/>
    </row>
    <row r="55" spans="1:15" ht="13.15" hidden="1" outlineLevel="1" x14ac:dyDescent="0.35">
      <c r="E55" s="1"/>
      <c r="F55" s="1" t="s">
        <v>68</v>
      </c>
      <c r="G55" s="1" t="s">
        <v>101</v>
      </c>
      <c r="H55" s="1" t="s">
        <v>109</v>
      </c>
      <c r="I55" s="23">
        <v>0.2</v>
      </c>
      <c r="J55" s="29"/>
      <c r="K55" s="26">
        <f t="shared" si="1"/>
        <v>-4.2923738491833827E-2</v>
      </c>
      <c r="L55" s="8"/>
    </row>
    <row r="56" spans="1:15" ht="13.15" hidden="1" outlineLevel="1" x14ac:dyDescent="0.35">
      <c r="E56" s="1"/>
      <c r="F56" s="1" t="s">
        <v>68</v>
      </c>
      <c r="G56" s="1" t="s">
        <v>101</v>
      </c>
      <c r="H56" s="1" t="s">
        <v>110</v>
      </c>
      <c r="I56" s="23">
        <v>0.25</v>
      </c>
      <c r="J56" s="29"/>
      <c r="K56" s="26">
        <f t="shared" si="1"/>
        <v>-2.883236885530821E-2</v>
      </c>
      <c r="L56" s="8"/>
    </row>
    <row r="57" spans="1:15" ht="13.15" hidden="1" outlineLevel="1" x14ac:dyDescent="0.35">
      <c r="E57" s="1"/>
      <c r="F57" s="1" t="s">
        <v>68</v>
      </c>
      <c r="G57" s="1" t="s">
        <v>101</v>
      </c>
      <c r="H57" s="1" t="s">
        <v>111</v>
      </c>
      <c r="I57" s="23">
        <v>0.3</v>
      </c>
      <c r="J57" s="29"/>
      <c r="K57" s="26">
        <f t="shared" si="1"/>
        <v>-2.3159160078731582E-2</v>
      </c>
      <c r="L57" s="8"/>
    </row>
    <row r="58" spans="1:15" ht="13.15" hidden="1" outlineLevel="1" x14ac:dyDescent="0.35">
      <c r="E58" s="1"/>
      <c r="F58" s="1" t="s">
        <v>68</v>
      </c>
      <c r="G58" s="1" t="s">
        <v>101</v>
      </c>
      <c r="H58" s="1" t="s">
        <v>112</v>
      </c>
      <c r="I58" s="23">
        <v>0.35</v>
      </c>
      <c r="J58" s="29"/>
      <c r="K58" s="26">
        <f t="shared" si="1"/>
        <v>-1.5220866691031273E-2</v>
      </c>
      <c r="L58" s="8"/>
    </row>
    <row r="59" spans="1:15" ht="13.15" hidden="1" outlineLevel="1" x14ac:dyDescent="0.35">
      <c r="E59" s="1"/>
      <c r="F59" s="1" t="s">
        <v>68</v>
      </c>
      <c r="G59" s="1" t="s">
        <v>101</v>
      </c>
      <c r="H59" s="1" t="s">
        <v>113</v>
      </c>
      <c r="I59" s="23">
        <v>0.4</v>
      </c>
      <c r="J59" s="29"/>
      <c r="K59" s="26">
        <f t="shared" si="1"/>
        <v>-9.9979137991302106E-3</v>
      </c>
      <c r="L59" s="8"/>
    </row>
    <row r="60" spans="1:15" ht="13.15" hidden="1" outlineLevel="1" x14ac:dyDescent="0.35">
      <c r="E60" s="1"/>
      <c r="F60" s="1" t="s">
        <v>68</v>
      </c>
      <c r="G60" s="1" t="s">
        <v>101</v>
      </c>
      <c r="H60" s="1" t="s">
        <v>114</v>
      </c>
      <c r="I60" s="23">
        <v>0.45</v>
      </c>
      <c r="J60" s="29"/>
      <c r="K60" s="26">
        <f t="shared" si="1"/>
        <v>-4.5004173675021394E-3</v>
      </c>
      <c r="L60" s="8"/>
    </row>
    <row r="61" spans="1:15" ht="13.15" hidden="1" outlineLevel="1" x14ac:dyDescent="0.35">
      <c r="E61" s="1"/>
      <c r="F61" s="1" t="s">
        <v>68</v>
      </c>
      <c r="G61" s="1" t="s">
        <v>101</v>
      </c>
      <c r="H61" s="1" t="s">
        <v>115</v>
      </c>
      <c r="I61" s="23">
        <v>0.5</v>
      </c>
      <c r="J61" s="29"/>
      <c r="K61" s="26">
        <f t="shared" si="1"/>
        <v>0</v>
      </c>
      <c r="L61" s="8"/>
    </row>
    <row r="62" spans="1:15" ht="13.15" hidden="1" outlineLevel="1" x14ac:dyDescent="0.35">
      <c r="E62" s="1"/>
      <c r="F62" s="1" t="s">
        <v>68</v>
      </c>
      <c r="G62" s="1" t="s">
        <v>101</v>
      </c>
      <c r="H62" s="1" t="s">
        <v>116</v>
      </c>
      <c r="I62" s="23">
        <v>0.55000000000000004</v>
      </c>
      <c r="J62" s="29"/>
      <c r="K62" s="26">
        <f t="shared" si="1"/>
        <v>6.6832871879386607E-3</v>
      </c>
      <c r="L62" s="8"/>
    </row>
    <row r="63" spans="1:15" ht="13.15" hidden="1" outlineLevel="1" x14ac:dyDescent="0.35">
      <c r="E63" s="1"/>
      <c r="F63" s="1" t="s">
        <v>68</v>
      </c>
      <c r="G63" s="1" t="s">
        <v>101</v>
      </c>
      <c r="H63" s="1" t="s">
        <v>117</v>
      </c>
      <c r="I63" s="23">
        <v>0.6</v>
      </c>
      <c r="J63" s="29"/>
      <c r="K63" s="26">
        <f t="shared" si="1"/>
        <v>1.5286447542521703E-2</v>
      </c>
      <c r="L63" s="8"/>
    </row>
    <row r="64" spans="1:15" ht="13.15" hidden="1" outlineLevel="1" x14ac:dyDescent="0.35">
      <c r="E64" s="1"/>
      <c r="F64" s="1" t="s">
        <v>68</v>
      </c>
      <c r="G64" s="1" t="s">
        <v>101</v>
      </c>
      <c r="H64" s="1" t="s">
        <v>118</v>
      </c>
      <c r="I64" s="23">
        <v>0.65</v>
      </c>
      <c r="J64" s="29"/>
      <c r="K64" s="26">
        <f t="shared" si="1"/>
        <v>2.8419468525651321E-2</v>
      </c>
      <c r="L64" s="8"/>
    </row>
    <row r="65" spans="1:12" ht="13.15" hidden="1" outlineLevel="1" x14ac:dyDescent="0.35">
      <c r="E65" s="1"/>
      <c r="F65" s="1" t="s">
        <v>68</v>
      </c>
      <c r="G65" s="1" t="s">
        <v>101</v>
      </c>
      <c r="H65" s="1" t="s">
        <v>119</v>
      </c>
      <c r="I65" s="23">
        <v>0.7</v>
      </c>
      <c r="J65" s="29"/>
      <c r="K65" s="26">
        <f t="shared" si="1"/>
        <v>3.5623914367531956E-2</v>
      </c>
      <c r="L65" s="8"/>
    </row>
    <row r="66" spans="1:12" ht="13.15" hidden="1" outlineLevel="1" x14ac:dyDescent="0.35">
      <c r="E66" s="1"/>
      <c r="F66" s="1" t="s">
        <v>68</v>
      </c>
      <c r="G66" s="1" t="s">
        <v>101</v>
      </c>
      <c r="H66" s="1" t="s">
        <v>120</v>
      </c>
      <c r="I66" s="23">
        <v>0.75</v>
      </c>
      <c r="J66" s="29"/>
      <c r="K66" s="26">
        <f t="shared" si="1"/>
        <v>3.7912815833552369E-2</v>
      </c>
      <c r="L66" s="8"/>
    </row>
    <row r="67" spans="1:12" ht="13.15" hidden="1" outlineLevel="1" x14ac:dyDescent="0.35">
      <c r="E67" s="1"/>
      <c r="F67" s="1" t="s">
        <v>68</v>
      </c>
      <c r="G67" s="1" t="s">
        <v>101</v>
      </c>
      <c r="H67" s="1" t="s">
        <v>121</v>
      </c>
      <c r="I67" s="23">
        <v>0.8</v>
      </c>
      <c r="J67" s="29"/>
      <c r="K67" s="26">
        <f t="shared" si="1"/>
        <v>4.1773779563880883E-2</v>
      </c>
      <c r="L67" s="8"/>
    </row>
    <row r="68" spans="1:12" ht="13.15" hidden="1" outlineLevel="1" x14ac:dyDescent="0.35">
      <c r="E68" s="1"/>
      <c r="F68" s="1" t="s">
        <v>68</v>
      </c>
      <c r="G68" s="1" t="s">
        <v>101</v>
      </c>
      <c r="H68" s="1" t="s">
        <v>122</v>
      </c>
      <c r="I68" s="23">
        <v>0.85</v>
      </c>
      <c r="J68" s="29"/>
      <c r="K68" s="26">
        <f t="shared" si="1"/>
        <v>4.8434415772688172E-2</v>
      </c>
      <c r="L68" s="8"/>
    </row>
    <row r="69" spans="1:12" ht="13.15" hidden="1" outlineLevel="1" x14ac:dyDescent="0.35">
      <c r="E69" s="1"/>
      <c r="F69" s="1" t="s">
        <v>68</v>
      </c>
      <c r="G69" s="1" t="s">
        <v>101</v>
      </c>
      <c r="H69" s="1" t="s">
        <v>123</v>
      </c>
      <c r="I69" s="23">
        <v>0.9</v>
      </c>
      <c r="J69" s="29"/>
      <c r="K69" s="26">
        <f t="shared" si="1"/>
        <v>6.5703864011792859E-2</v>
      </c>
      <c r="L69" s="8"/>
    </row>
    <row r="70" spans="1:12" ht="13.15" collapsed="1" x14ac:dyDescent="0.35">
      <c r="E70" s="1"/>
      <c r="K70" s="9"/>
    </row>
    <row r="71" spans="1:12" s="91" customFormat="1" ht="13.15" x14ac:dyDescent="0.35">
      <c r="A71" s="90" t="s">
        <v>143</v>
      </c>
      <c r="B71" s="90"/>
      <c r="C71" s="90"/>
      <c r="D71" s="90"/>
      <c r="E71" s="90"/>
      <c r="F71" s="90"/>
      <c r="G71" s="90"/>
      <c r="H71" s="90"/>
      <c r="I71" s="90"/>
      <c r="J71" s="90"/>
      <c r="K71" s="90"/>
      <c r="L71" s="90"/>
    </row>
    <row r="72" spans="1:12" ht="13.15" x14ac:dyDescent="0.35">
      <c r="E72" s="1"/>
      <c r="G72" s="7"/>
      <c r="H72" s="7"/>
      <c r="I72" s="7"/>
      <c r="J72" s="7"/>
      <c r="K72" s="7"/>
      <c r="L72" s="7"/>
    </row>
    <row r="73" spans="1:12" ht="13.15" x14ac:dyDescent="0.35">
      <c r="E73" s="1"/>
      <c r="F73" s="1" t="s">
        <v>68</v>
      </c>
      <c r="G73" s="1" t="s">
        <v>101</v>
      </c>
      <c r="H73" s="1" t="s">
        <v>107</v>
      </c>
      <c r="I73" s="23">
        <v>0.9</v>
      </c>
      <c r="J73" s="24">
        <v>-1</v>
      </c>
      <c r="K73" s="110">
        <f>INDEX($K$53:$K$69,MATCH(I73,$I$53:$I$69,0))*J73</f>
        <v>-6.5703864011792859E-2</v>
      </c>
    </row>
    <row r="74" spans="1:12" ht="13.15" hidden="1" outlineLevel="1" x14ac:dyDescent="0.35">
      <c r="E74" s="1"/>
      <c r="F74" s="1" t="s">
        <v>68</v>
      </c>
      <c r="G74" s="1" t="s">
        <v>101</v>
      </c>
      <c r="H74" s="1" t="s">
        <v>108</v>
      </c>
      <c r="I74" s="23">
        <v>0.85</v>
      </c>
      <c r="J74" s="24">
        <v>-1</v>
      </c>
      <c r="K74" s="110">
        <f t="shared" ref="K74:K89" si="2">INDEX($K$53:$K$69,MATCH(I74,$I$53:$I$69,0))*J74</f>
        <v>-4.8434415772688172E-2</v>
      </c>
    </row>
    <row r="75" spans="1:12" ht="13.15" hidden="1" outlineLevel="1" x14ac:dyDescent="0.35">
      <c r="E75" s="1"/>
      <c r="F75" s="1" t="s">
        <v>68</v>
      </c>
      <c r="G75" s="1" t="s">
        <v>101</v>
      </c>
      <c r="H75" s="1" t="s">
        <v>109</v>
      </c>
      <c r="I75" s="23">
        <v>0.8</v>
      </c>
      <c r="J75" s="24">
        <v>-1</v>
      </c>
      <c r="K75" s="110">
        <f t="shared" si="2"/>
        <v>-4.1773779563880883E-2</v>
      </c>
    </row>
    <row r="76" spans="1:12" ht="13.15" hidden="1" outlineLevel="1" x14ac:dyDescent="0.35">
      <c r="E76" s="1"/>
      <c r="F76" s="1" t="s">
        <v>68</v>
      </c>
      <c r="G76" s="1" t="s">
        <v>101</v>
      </c>
      <c r="H76" s="1" t="s">
        <v>110</v>
      </c>
      <c r="I76" s="23">
        <v>0.75</v>
      </c>
      <c r="J76" s="24">
        <v>-1</v>
      </c>
      <c r="K76" s="110">
        <f t="shared" si="2"/>
        <v>-3.7912815833552369E-2</v>
      </c>
    </row>
    <row r="77" spans="1:12" ht="13.15" hidden="1" outlineLevel="1" x14ac:dyDescent="0.35">
      <c r="E77" s="1"/>
      <c r="F77" s="1" t="s">
        <v>68</v>
      </c>
      <c r="G77" s="1" t="s">
        <v>101</v>
      </c>
      <c r="H77" s="1" t="s">
        <v>111</v>
      </c>
      <c r="I77" s="23">
        <v>0.7</v>
      </c>
      <c r="J77" s="24">
        <v>-1</v>
      </c>
      <c r="K77" s="110">
        <f t="shared" si="2"/>
        <v>-3.5623914367531956E-2</v>
      </c>
    </row>
    <row r="78" spans="1:12" ht="13.15" hidden="1" outlineLevel="1" x14ac:dyDescent="0.35">
      <c r="E78" s="1"/>
      <c r="F78" s="1" t="s">
        <v>68</v>
      </c>
      <c r="G78" s="1" t="s">
        <v>101</v>
      </c>
      <c r="H78" s="1" t="s">
        <v>112</v>
      </c>
      <c r="I78" s="23">
        <v>0.65</v>
      </c>
      <c r="J78" s="24">
        <v>-1</v>
      </c>
      <c r="K78" s="110">
        <f t="shared" si="2"/>
        <v>-2.8419468525651321E-2</v>
      </c>
    </row>
    <row r="79" spans="1:12" ht="13.15" hidden="1" outlineLevel="1" x14ac:dyDescent="0.35">
      <c r="E79" s="1"/>
      <c r="F79" s="1" t="s">
        <v>68</v>
      </c>
      <c r="G79" s="1" t="s">
        <v>101</v>
      </c>
      <c r="H79" s="1" t="s">
        <v>113</v>
      </c>
      <c r="I79" s="23">
        <v>0.6</v>
      </c>
      <c r="J79" s="24">
        <v>-1</v>
      </c>
      <c r="K79" s="110">
        <f t="shared" si="2"/>
        <v>-1.5286447542521703E-2</v>
      </c>
    </row>
    <row r="80" spans="1:12" ht="13.15" hidden="1" outlineLevel="1" x14ac:dyDescent="0.35">
      <c r="E80" s="1"/>
      <c r="F80" s="1" t="s">
        <v>68</v>
      </c>
      <c r="G80" s="1" t="s">
        <v>101</v>
      </c>
      <c r="H80" s="1" t="s">
        <v>114</v>
      </c>
      <c r="I80" s="23">
        <v>0.55000000000000004</v>
      </c>
      <c r="J80" s="24">
        <v>-1</v>
      </c>
      <c r="K80" s="110">
        <f t="shared" si="2"/>
        <v>-6.6832871879386607E-3</v>
      </c>
    </row>
    <row r="81" spans="1:12" ht="13.15" hidden="1" outlineLevel="1" x14ac:dyDescent="0.35">
      <c r="E81" s="1"/>
      <c r="F81" s="1" t="s">
        <v>68</v>
      </c>
      <c r="G81" s="1" t="s">
        <v>101</v>
      </c>
      <c r="H81" s="1" t="s">
        <v>115</v>
      </c>
      <c r="I81" s="23">
        <v>0.5</v>
      </c>
      <c r="J81" s="24">
        <v>1</v>
      </c>
      <c r="K81" s="110">
        <f t="shared" si="2"/>
        <v>0</v>
      </c>
    </row>
    <row r="82" spans="1:12" ht="13.15" hidden="1" outlineLevel="1" x14ac:dyDescent="0.35">
      <c r="E82" s="1"/>
      <c r="F82" s="1" t="s">
        <v>68</v>
      </c>
      <c r="G82" s="1" t="s">
        <v>101</v>
      </c>
      <c r="H82" s="1" t="s">
        <v>116</v>
      </c>
      <c r="I82" s="22">
        <v>0.55000000000000004</v>
      </c>
      <c r="J82" s="24">
        <v>1</v>
      </c>
      <c r="K82" s="110">
        <f t="shared" si="2"/>
        <v>6.6832871879386607E-3</v>
      </c>
    </row>
    <row r="83" spans="1:12" ht="13.15" hidden="1" outlineLevel="1" x14ac:dyDescent="0.35">
      <c r="E83" s="1"/>
      <c r="F83" s="1" t="s">
        <v>68</v>
      </c>
      <c r="G83" s="1" t="s">
        <v>101</v>
      </c>
      <c r="H83" s="1" t="s">
        <v>117</v>
      </c>
      <c r="I83" s="23">
        <v>0.6</v>
      </c>
      <c r="J83" s="24">
        <v>1</v>
      </c>
      <c r="K83" s="110">
        <f t="shared" si="2"/>
        <v>1.5286447542521703E-2</v>
      </c>
    </row>
    <row r="84" spans="1:12" ht="13.15" hidden="1" outlineLevel="1" x14ac:dyDescent="0.35">
      <c r="E84" s="1"/>
      <c r="F84" s="1" t="s">
        <v>68</v>
      </c>
      <c r="G84" s="1" t="s">
        <v>101</v>
      </c>
      <c r="H84" s="1" t="s">
        <v>118</v>
      </c>
      <c r="I84" s="22">
        <v>0.65</v>
      </c>
      <c r="J84" s="24">
        <v>1</v>
      </c>
      <c r="K84" s="110">
        <f t="shared" si="2"/>
        <v>2.8419468525651321E-2</v>
      </c>
    </row>
    <row r="85" spans="1:12" ht="13.15" hidden="1" outlineLevel="1" x14ac:dyDescent="0.35">
      <c r="E85" s="1"/>
      <c r="F85" s="1" t="s">
        <v>68</v>
      </c>
      <c r="G85" s="1" t="s">
        <v>101</v>
      </c>
      <c r="H85" s="1" t="s">
        <v>119</v>
      </c>
      <c r="I85" s="23">
        <v>0.7</v>
      </c>
      <c r="J85" s="24">
        <v>1</v>
      </c>
      <c r="K85" s="110">
        <f t="shared" si="2"/>
        <v>3.5623914367531956E-2</v>
      </c>
    </row>
    <row r="86" spans="1:12" ht="13.15" hidden="1" outlineLevel="1" x14ac:dyDescent="0.35">
      <c r="E86" s="1"/>
      <c r="F86" s="1" t="s">
        <v>68</v>
      </c>
      <c r="G86" s="1" t="s">
        <v>101</v>
      </c>
      <c r="H86" s="1" t="s">
        <v>120</v>
      </c>
      <c r="I86" s="22">
        <v>0.75</v>
      </c>
      <c r="J86" s="24">
        <v>1</v>
      </c>
      <c r="K86" s="110">
        <f t="shared" si="2"/>
        <v>3.7912815833552369E-2</v>
      </c>
    </row>
    <row r="87" spans="1:12" ht="13.15" hidden="1" outlineLevel="1" x14ac:dyDescent="0.35">
      <c r="E87" s="1"/>
      <c r="F87" s="1" t="s">
        <v>68</v>
      </c>
      <c r="G87" s="1" t="s">
        <v>101</v>
      </c>
      <c r="H87" s="1" t="s">
        <v>121</v>
      </c>
      <c r="I87" s="23">
        <v>0.8</v>
      </c>
      <c r="J87" s="24">
        <v>1</v>
      </c>
      <c r="K87" s="110">
        <f t="shared" si="2"/>
        <v>4.1773779563880883E-2</v>
      </c>
    </row>
    <row r="88" spans="1:12" ht="13.15" hidden="1" outlineLevel="1" x14ac:dyDescent="0.35">
      <c r="E88" s="1"/>
      <c r="F88" s="1" t="s">
        <v>68</v>
      </c>
      <c r="G88" s="1" t="s">
        <v>101</v>
      </c>
      <c r="H88" s="1" t="s">
        <v>122</v>
      </c>
      <c r="I88" s="22">
        <v>0.85</v>
      </c>
      <c r="J88" s="24">
        <v>1</v>
      </c>
      <c r="K88" s="110">
        <f t="shared" si="2"/>
        <v>4.8434415772688172E-2</v>
      </c>
    </row>
    <row r="89" spans="1:12" ht="13.15" hidden="1" outlineLevel="1" x14ac:dyDescent="0.35">
      <c r="E89" s="1"/>
      <c r="F89" s="1" t="s">
        <v>68</v>
      </c>
      <c r="G89" s="1" t="s">
        <v>101</v>
      </c>
      <c r="H89" s="1" t="s">
        <v>123</v>
      </c>
      <c r="I89" s="23">
        <v>0.9</v>
      </c>
      <c r="J89" s="24">
        <v>1</v>
      </c>
      <c r="K89" s="110">
        <f t="shared" si="2"/>
        <v>6.5703864011792859E-2</v>
      </c>
    </row>
    <row r="90" spans="1:12" collapsed="1" x14ac:dyDescent="0.45">
      <c r="I90" s="22"/>
      <c r="J90" s="22"/>
      <c r="K90" s="9"/>
      <c r="L90" s="22"/>
    </row>
    <row r="91" spans="1:12" s="101" customFormat="1" ht="13.15" x14ac:dyDescent="0.4">
      <c r="A91" s="100" t="s">
        <v>83</v>
      </c>
      <c r="B91" s="100"/>
      <c r="C91" s="100"/>
      <c r="D91" s="100"/>
      <c r="E91" s="100"/>
      <c r="F91" s="100"/>
      <c r="G91" s="100"/>
      <c r="H91" s="100"/>
      <c r="I91" s="100"/>
      <c r="J91" s="100"/>
      <c r="K91" s="100"/>
      <c r="L91" s="100"/>
    </row>
  </sheetData>
  <mergeCells count="1">
    <mergeCell ref="N52:O52"/>
  </mergeCells>
  <phoneticPr fontId="7"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5880-EC68-401C-8E27-32FEED2F2AEC}">
  <sheetPr codeName="Sheet14">
    <tabColor rgb="FF98C561"/>
  </sheetPr>
  <dimension ref="A1:Z50"/>
  <sheetViews>
    <sheetView showGridLines="0" zoomScale="80" zoomScaleNormal="80" workbookViewId="0">
      <pane ySplit="5" topLeftCell="A6" activePane="bottomLeft" state="frozen"/>
      <selection pane="bottomLeft"/>
    </sheetView>
  </sheetViews>
  <sheetFormatPr defaultColWidth="0" defaultRowHeight="14.25" zeroHeight="1" outlineLevelRow="1" x14ac:dyDescent="0.45"/>
  <cols>
    <col min="1" max="1" width="1" style="6" customWidth="1"/>
    <col min="2" max="4" width="1" style="1" customWidth="1"/>
    <col min="5" max="5" width="9" style="86" customWidth="1"/>
    <col min="6" max="6" width="20.375" style="86" bestFit="1" customWidth="1"/>
    <col min="7" max="7" width="49.875" style="86" bestFit="1" customWidth="1"/>
    <col min="8" max="9" width="9" style="86" customWidth="1"/>
    <col min="10" max="10" width="2.25" style="86" customWidth="1"/>
    <col min="11" max="11" width="9" style="99" customWidth="1"/>
    <col min="12" max="12" width="9" style="86" customWidth="1"/>
    <col min="13" max="13" width="0" style="1" hidden="1" customWidth="1"/>
    <col min="14" max="26" width="0" style="86" hidden="1" customWidth="1"/>
    <col min="27" max="16384" width="9" style="86" hidden="1"/>
  </cols>
  <sheetData>
    <row r="1" spans="1:11" s="4" customFormat="1" ht="30.75" x14ac:dyDescent="0.35">
      <c r="A1" s="4" t="str">
        <f ca="1">RIGHT(CELL("filename", A1), LEN(CELL("filename", A1)) - SEARCH("]", CELL("filename", A1)))</f>
        <v>Final Output</v>
      </c>
      <c r="D1" s="5"/>
      <c r="K1" s="37"/>
    </row>
    <row r="2" spans="1:11" s="1" customFormat="1" ht="13.15" x14ac:dyDescent="0.35">
      <c r="A2" s="6"/>
      <c r="K2" s="38"/>
    </row>
    <row r="3" spans="1:11" s="1" customFormat="1" ht="13.15" x14ac:dyDescent="0.35">
      <c r="A3" s="6"/>
      <c r="E3" s="7" t="s">
        <v>62</v>
      </c>
      <c r="F3" s="7" t="s">
        <v>63</v>
      </c>
      <c r="G3" s="7" t="s">
        <v>64</v>
      </c>
      <c r="H3" s="7" t="s">
        <v>13</v>
      </c>
      <c r="I3" s="7" t="s">
        <v>103</v>
      </c>
      <c r="K3" s="39" t="s">
        <v>104</v>
      </c>
    </row>
    <row r="4" spans="1:11" s="1" customFormat="1" ht="13.15" x14ac:dyDescent="0.35">
      <c r="A4" s="6"/>
      <c r="F4" s="6"/>
      <c r="K4" s="38"/>
    </row>
    <row r="5" spans="1:11" s="1" customFormat="1" ht="13.15" x14ac:dyDescent="0.35">
      <c r="A5" s="6"/>
      <c r="J5" s="3"/>
      <c r="K5" s="38"/>
    </row>
    <row r="6" spans="1:11" s="1" customFormat="1" ht="13.15" x14ac:dyDescent="0.35">
      <c r="A6" s="6"/>
      <c r="J6" s="3"/>
      <c r="K6" s="38"/>
    </row>
    <row r="7" spans="1:11" s="90" customFormat="1" ht="13.15" x14ac:dyDescent="0.35">
      <c r="A7" s="90" t="s">
        <v>144</v>
      </c>
      <c r="K7" s="91"/>
    </row>
    <row r="8" spans="1:11" s="1" customFormat="1" ht="13.15" x14ac:dyDescent="0.35">
      <c r="A8" s="6"/>
      <c r="K8" s="38"/>
    </row>
    <row r="9" spans="1:11" s="1" customFormat="1" ht="13.15" x14ac:dyDescent="0.35">
      <c r="A9" s="6"/>
      <c r="E9" s="10"/>
      <c r="F9" s="1" t="s">
        <v>68</v>
      </c>
      <c r="G9" s="1" t="s">
        <v>101</v>
      </c>
      <c r="H9" s="1" t="s">
        <v>102</v>
      </c>
      <c r="I9" s="1" t="s">
        <v>107</v>
      </c>
      <c r="K9" s="40">
        <f>PCC.Percentiles!K73</f>
        <v>-6.5703864011792859E-2</v>
      </c>
    </row>
    <row r="10" spans="1:11" s="1" customFormat="1" ht="13.15" hidden="1" outlineLevel="1" x14ac:dyDescent="0.35">
      <c r="A10" s="6"/>
      <c r="E10" s="10"/>
      <c r="F10" s="1" t="s">
        <v>68</v>
      </c>
      <c r="G10" s="1" t="s">
        <v>101</v>
      </c>
      <c r="H10" s="1" t="s">
        <v>102</v>
      </c>
      <c r="I10" s="1" t="s">
        <v>108</v>
      </c>
      <c r="K10" s="40">
        <f>PCC.Percentiles!K74</f>
        <v>-4.8434415772688172E-2</v>
      </c>
    </row>
    <row r="11" spans="1:11" s="1" customFormat="1" ht="13.15" hidden="1" outlineLevel="1" x14ac:dyDescent="0.35">
      <c r="A11" s="6"/>
      <c r="E11" s="10"/>
      <c r="F11" s="1" t="s">
        <v>68</v>
      </c>
      <c r="G11" s="1" t="s">
        <v>101</v>
      </c>
      <c r="H11" s="1" t="s">
        <v>102</v>
      </c>
      <c r="I11" s="1" t="s">
        <v>109</v>
      </c>
      <c r="K11" s="40">
        <f>PCC.Percentiles!K75</f>
        <v>-4.1773779563880883E-2</v>
      </c>
    </row>
    <row r="12" spans="1:11" s="1" customFormat="1" ht="13.15" hidden="1" outlineLevel="1" x14ac:dyDescent="0.35">
      <c r="A12" s="6"/>
      <c r="E12" s="10"/>
      <c r="F12" s="1" t="s">
        <v>68</v>
      </c>
      <c r="G12" s="1" t="s">
        <v>101</v>
      </c>
      <c r="H12" s="1" t="s">
        <v>102</v>
      </c>
      <c r="I12" s="1" t="s">
        <v>110</v>
      </c>
      <c r="K12" s="40">
        <f>PCC.Percentiles!K76</f>
        <v>-3.7912815833552369E-2</v>
      </c>
    </row>
    <row r="13" spans="1:11" s="1" customFormat="1" ht="13.15" hidden="1" outlineLevel="1" x14ac:dyDescent="0.35">
      <c r="A13" s="6"/>
      <c r="E13" s="10"/>
      <c r="F13" s="1" t="s">
        <v>68</v>
      </c>
      <c r="G13" s="1" t="s">
        <v>101</v>
      </c>
      <c r="H13" s="1" t="s">
        <v>102</v>
      </c>
      <c r="I13" s="1" t="s">
        <v>111</v>
      </c>
      <c r="K13" s="40">
        <f>PCC.Percentiles!K77</f>
        <v>-3.5623914367531956E-2</v>
      </c>
    </row>
    <row r="14" spans="1:11" s="1" customFormat="1" ht="13.15" hidden="1" outlineLevel="1" x14ac:dyDescent="0.35">
      <c r="A14" s="6"/>
      <c r="E14" s="10"/>
      <c r="F14" s="1" t="s">
        <v>68</v>
      </c>
      <c r="G14" s="1" t="s">
        <v>101</v>
      </c>
      <c r="H14" s="1" t="s">
        <v>102</v>
      </c>
      <c r="I14" s="1" t="s">
        <v>112</v>
      </c>
      <c r="K14" s="40">
        <f>PCC.Percentiles!K78</f>
        <v>-2.8419468525651321E-2</v>
      </c>
    </row>
    <row r="15" spans="1:11" s="1" customFormat="1" ht="13.15" hidden="1" outlineLevel="1" x14ac:dyDescent="0.35">
      <c r="A15" s="6"/>
      <c r="E15" s="10"/>
      <c r="F15" s="1" t="s">
        <v>68</v>
      </c>
      <c r="G15" s="1" t="s">
        <v>101</v>
      </c>
      <c r="H15" s="1" t="s">
        <v>102</v>
      </c>
      <c r="I15" s="1" t="s">
        <v>113</v>
      </c>
      <c r="K15" s="40">
        <f>PCC.Percentiles!K79</f>
        <v>-1.5286447542521703E-2</v>
      </c>
    </row>
    <row r="16" spans="1:11" s="1" customFormat="1" ht="13.15" hidden="1" outlineLevel="1" x14ac:dyDescent="0.35">
      <c r="A16" s="6"/>
      <c r="E16" s="10"/>
      <c r="F16" s="1" t="s">
        <v>68</v>
      </c>
      <c r="G16" s="1" t="s">
        <v>101</v>
      </c>
      <c r="H16" s="1" t="s">
        <v>102</v>
      </c>
      <c r="I16" s="1" t="s">
        <v>114</v>
      </c>
      <c r="K16" s="40">
        <f>PCC.Percentiles!K80</f>
        <v>-6.6832871879386607E-3</v>
      </c>
    </row>
    <row r="17" spans="1:11" s="1" customFormat="1" ht="13.15" hidden="1" outlineLevel="1" x14ac:dyDescent="0.35">
      <c r="A17" s="6"/>
      <c r="E17" s="10"/>
      <c r="F17" s="1" t="s">
        <v>68</v>
      </c>
      <c r="G17" s="1" t="s">
        <v>101</v>
      </c>
      <c r="H17" s="1" t="s">
        <v>102</v>
      </c>
      <c r="I17" s="1" t="s">
        <v>115</v>
      </c>
      <c r="K17" s="40">
        <f>PCC.Percentiles!K81</f>
        <v>0</v>
      </c>
    </row>
    <row r="18" spans="1:11" s="1" customFormat="1" ht="13.15" hidden="1" outlineLevel="1" x14ac:dyDescent="0.35">
      <c r="A18" s="6"/>
      <c r="E18" s="10"/>
      <c r="F18" s="1" t="s">
        <v>68</v>
      </c>
      <c r="G18" s="1" t="s">
        <v>101</v>
      </c>
      <c r="H18" s="1" t="s">
        <v>102</v>
      </c>
      <c r="I18" s="1" t="s">
        <v>116</v>
      </c>
      <c r="K18" s="40">
        <f>PCC.Percentiles!K82</f>
        <v>6.6832871879386607E-3</v>
      </c>
    </row>
    <row r="19" spans="1:11" s="1" customFormat="1" ht="13.15" hidden="1" outlineLevel="1" x14ac:dyDescent="0.35">
      <c r="A19" s="6"/>
      <c r="E19" s="10"/>
      <c r="F19" s="1" t="s">
        <v>68</v>
      </c>
      <c r="G19" s="1" t="s">
        <v>101</v>
      </c>
      <c r="H19" s="1" t="s">
        <v>102</v>
      </c>
      <c r="I19" s="1" t="s">
        <v>117</v>
      </c>
      <c r="K19" s="40">
        <f>PCC.Percentiles!K83</f>
        <v>1.5286447542521703E-2</v>
      </c>
    </row>
    <row r="20" spans="1:11" s="1" customFormat="1" ht="13.15" hidden="1" outlineLevel="1" x14ac:dyDescent="0.35">
      <c r="A20" s="6"/>
      <c r="E20" s="10"/>
      <c r="F20" s="1" t="s">
        <v>68</v>
      </c>
      <c r="G20" s="1" t="s">
        <v>101</v>
      </c>
      <c r="H20" s="1" t="s">
        <v>102</v>
      </c>
      <c r="I20" s="1" t="s">
        <v>118</v>
      </c>
      <c r="K20" s="40">
        <f>PCC.Percentiles!K84</f>
        <v>2.8419468525651321E-2</v>
      </c>
    </row>
    <row r="21" spans="1:11" s="1" customFormat="1" ht="13.15" hidden="1" outlineLevel="1" x14ac:dyDescent="0.35">
      <c r="A21" s="6"/>
      <c r="E21" s="10"/>
      <c r="F21" s="1" t="s">
        <v>68</v>
      </c>
      <c r="G21" s="1" t="s">
        <v>101</v>
      </c>
      <c r="H21" s="1" t="s">
        <v>102</v>
      </c>
      <c r="I21" s="1" t="s">
        <v>119</v>
      </c>
      <c r="K21" s="40">
        <f>PCC.Percentiles!K85</f>
        <v>3.5623914367531956E-2</v>
      </c>
    </row>
    <row r="22" spans="1:11" s="1" customFormat="1" ht="13.15" hidden="1" outlineLevel="1" x14ac:dyDescent="0.35">
      <c r="A22" s="6"/>
      <c r="E22" s="10"/>
      <c r="F22" s="1" t="s">
        <v>68</v>
      </c>
      <c r="G22" s="1" t="s">
        <v>101</v>
      </c>
      <c r="H22" s="1" t="s">
        <v>102</v>
      </c>
      <c r="I22" s="1" t="s">
        <v>120</v>
      </c>
      <c r="K22" s="40">
        <f>PCC.Percentiles!K86</f>
        <v>3.7912815833552369E-2</v>
      </c>
    </row>
    <row r="23" spans="1:11" s="1" customFormat="1" ht="13.15" hidden="1" outlineLevel="1" x14ac:dyDescent="0.35">
      <c r="A23" s="6"/>
      <c r="E23" s="10"/>
      <c r="F23" s="1" t="s">
        <v>68</v>
      </c>
      <c r="G23" s="1" t="s">
        <v>101</v>
      </c>
      <c r="H23" s="1" t="s">
        <v>102</v>
      </c>
      <c r="I23" s="1" t="s">
        <v>121</v>
      </c>
      <c r="K23" s="40">
        <f>PCC.Percentiles!K87</f>
        <v>4.1773779563880883E-2</v>
      </c>
    </row>
    <row r="24" spans="1:11" s="1" customFormat="1" ht="13.15" hidden="1" outlineLevel="1" x14ac:dyDescent="0.35">
      <c r="A24" s="6"/>
      <c r="E24" s="10"/>
      <c r="F24" s="1" t="s">
        <v>68</v>
      </c>
      <c r="G24" s="1" t="s">
        <v>101</v>
      </c>
      <c r="H24" s="1" t="s">
        <v>102</v>
      </c>
      <c r="I24" s="1" t="s">
        <v>122</v>
      </c>
      <c r="K24" s="40">
        <f>PCC.Percentiles!K88</f>
        <v>4.8434415772688172E-2</v>
      </c>
    </row>
    <row r="25" spans="1:11" s="1" customFormat="1" ht="13.15" hidden="1" outlineLevel="1" x14ac:dyDescent="0.35">
      <c r="A25" s="6"/>
      <c r="E25" s="10"/>
      <c r="F25" s="1" t="s">
        <v>68</v>
      </c>
      <c r="G25" s="1" t="s">
        <v>101</v>
      </c>
      <c r="H25" s="1" t="s">
        <v>102</v>
      </c>
      <c r="I25" s="1" t="s">
        <v>123</v>
      </c>
      <c r="K25" s="40">
        <f>PCC.Percentiles!K89</f>
        <v>6.5703864011792859E-2</v>
      </c>
    </row>
    <row r="26" spans="1:11" s="1" customFormat="1" ht="13.15" collapsed="1" x14ac:dyDescent="0.35">
      <c r="A26" s="6"/>
      <c r="K26" s="41"/>
    </row>
    <row r="27" spans="1:11" s="1" customFormat="1" ht="13.15" x14ac:dyDescent="0.35">
      <c r="A27" s="6"/>
      <c r="E27" s="10"/>
      <c r="F27" s="1" t="s">
        <v>85</v>
      </c>
      <c r="G27" s="1" t="s">
        <v>101</v>
      </c>
      <c r="H27" s="1" t="s">
        <v>102</v>
      </c>
      <c r="I27" s="1" t="s">
        <v>107</v>
      </c>
      <c r="J27" s="8"/>
      <c r="K27" s="40">
        <f>NHH.Percentiles!K73</f>
        <v>-9.679681148616838E-2</v>
      </c>
    </row>
    <row r="28" spans="1:11" s="1" customFormat="1" ht="13.15" hidden="1" outlineLevel="1" x14ac:dyDescent="0.35">
      <c r="A28" s="6"/>
      <c r="E28" s="10"/>
      <c r="F28" s="1" t="s">
        <v>85</v>
      </c>
      <c r="G28" s="1" t="s">
        <v>101</v>
      </c>
      <c r="H28" s="1" t="s">
        <v>102</v>
      </c>
      <c r="I28" s="1" t="s">
        <v>108</v>
      </c>
      <c r="J28" s="8"/>
      <c r="K28" s="40">
        <f>NHH.Percentiles!K74</f>
        <v>-8.1541326383880952E-2</v>
      </c>
    </row>
    <row r="29" spans="1:11" s="1" customFormat="1" ht="13.15" hidden="1" outlineLevel="1" x14ac:dyDescent="0.35">
      <c r="A29" s="6"/>
      <c r="E29" s="10"/>
      <c r="F29" s="1" t="s">
        <v>85</v>
      </c>
      <c r="G29" s="1" t="s">
        <v>101</v>
      </c>
      <c r="H29" s="1" t="s">
        <v>102</v>
      </c>
      <c r="I29" s="1" t="s">
        <v>109</v>
      </c>
      <c r="J29" s="8"/>
      <c r="K29" s="40">
        <f>NHH.Percentiles!K75</f>
        <v>-7.2635013104052293E-2</v>
      </c>
    </row>
    <row r="30" spans="1:11" s="1" customFormat="1" ht="13.15" hidden="1" outlineLevel="1" x14ac:dyDescent="0.35">
      <c r="A30" s="6"/>
      <c r="E30" s="10"/>
      <c r="F30" s="1" t="s">
        <v>85</v>
      </c>
      <c r="G30" s="1" t="s">
        <v>101</v>
      </c>
      <c r="H30" s="1" t="s">
        <v>102</v>
      </c>
      <c r="I30" s="1" t="s">
        <v>110</v>
      </c>
      <c r="J30" s="8"/>
      <c r="K30" s="40">
        <f>NHH.Percentiles!K76</f>
        <v>-5.9656505650614054E-2</v>
      </c>
    </row>
    <row r="31" spans="1:11" s="1" customFormat="1" ht="13.15" hidden="1" outlineLevel="1" x14ac:dyDescent="0.35">
      <c r="A31" s="6"/>
      <c r="E31" s="10"/>
      <c r="F31" s="1" t="s">
        <v>85</v>
      </c>
      <c r="G31" s="1" t="s">
        <v>101</v>
      </c>
      <c r="H31" s="1" t="s">
        <v>102</v>
      </c>
      <c r="I31" s="1" t="s">
        <v>111</v>
      </c>
      <c r="J31" s="8"/>
      <c r="K31" s="40">
        <f>NHH.Percentiles!K77</f>
        <v>-5.3265439894555767E-2</v>
      </c>
    </row>
    <row r="32" spans="1:11" s="1" customFormat="1" ht="13.15" hidden="1" outlineLevel="1" x14ac:dyDescent="0.35">
      <c r="A32" s="6"/>
      <c r="E32" s="10"/>
      <c r="F32" s="1" t="s">
        <v>85</v>
      </c>
      <c r="G32" s="1" t="s">
        <v>101</v>
      </c>
      <c r="H32" s="1" t="s">
        <v>102</v>
      </c>
      <c r="I32" s="1" t="s">
        <v>112</v>
      </c>
      <c r="J32" s="8"/>
      <c r="K32" s="40">
        <f>NHH.Percentiles!K78</f>
        <v>-3.9710933617870217E-2</v>
      </c>
    </row>
    <row r="33" spans="1:11" s="1" customFormat="1" ht="13.15" hidden="1" outlineLevel="1" x14ac:dyDescent="0.35">
      <c r="A33" s="6"/>
      <c r="E33" s="10"/>
      <c r="F33" s="1" t="s">
        <v>85</v>
      </c>
      <c r="G33" s="1" t="s">
        <v>101</v>
      </c>
      <c r="H33" s="1" t="s">
        <v>102</v>
      </c>
      <c r="I33" s="1" t="s">
        <v>113</v>
      </c>
      <c r="J33" s="8"/>
      <c r="K33" s="40">
        <f>NHH.Percentiles!K79</f>
        <v>-2.6502070624940276E-2</v>
      </c>
    </row>
    <row r="34" spans="1:11" s="1" customFormat="1" ht="13.15" hidden="1" outlineLevel="1" x14ac:dyDescent="0.35">
      <c r="A34" s="6"/>
      <c r="E34" s="10"/>
      <c r="F34" s="1" t="s">
        <v>85</v>
      </c>
      <c r="G34" s="1" t="s">
        <v>101</v>
      </c>
      <c r="H34" s="1" t="s">
        <v>102</v>
      </c>
      <c r="I34" s="1" t="s">
        <v>114</v>
      </c>
      <c r="J34" s="8"/>
      <c r="K34" s="40">
        <f>NHH.Percentiles!K80</f>
        <v>-1.2207272797456018E-2</v>
      </c>
    </row>
    <row r="35" spans="1:11" s="1" customFormat="1" ht="13.15" hidden="1" outlineLevel="1" x14ac:dyDescent="0.35">
      <c r="A35" s="6"/>
      <c r="E35" s="10"/>
      <c r="F35" s="1" t="s">
        <v>85</v>
      </c>
      <c r="G35" s="1" t="s">
        <v>101</v>
      </c>
      <c r="H35" s="1" t="s">
        <v>102</v>
      </c>
      <c r="I35" s="1" t="s">
        <v>115</v>
      </c>
      <c r="J35" s="8"/>
      <c r="K35" s="40">
        <f>NHH.Percentiles!K81</f>
        <v>0</v>
      </c>
    </row>
    <row r="36" spans="1:11" s="1" customFormat="1" ht="13.15" hidden="1" outlineLevel="1" x14ac:dyDescent="0.35">
      <c r="A36" s="6"/>
      <c r="E36" s="10"/>
      <c r="F36" s="1" t="s">
        <v>85</v>
      </c>
      <c r="G36" s="1" t="s">
        <v>101</v>
      </c>
      <c r="H36" s="1" t="s">
        <v>102</v>
      </c>
      <c r="I36" s="1" t="s">
        <v>116</v>
      </c>
      <c r="J36" s="8"/>
      <c r="K36" s="40">
        <f>NHH.Percentiles!K82</f>
        <v>1.2207272797456018E-2</v>
      </c>
    </row>
    <row r="37" spans="1:11" s="1" customFormat="1" ht="13.15" hidden="1" outlineLevel="1" x14ac:dyDescent="0.35">
      <c r="A37" s="6"/>
      <c r="E37" s="10"/>
      <c r="F37" s="1" t="s">
        <v>85</v>
      </c>
      <c r="G37" s="1" t="s">
        <v>101</v>
      </c>
      <c r="H37" s="1" t="s">
        <v>102</v>
      </c>
      <c r="I37" s="1" t="s">
        <v>117</v>
      </c>
      <c r="J37" s="8"/>
      <c r="K37" s="40">
        <f>NHH.Percentiles!K83</f>
        <v>2.6502070624940276E-2</v>
      </c>
    </row>
    <row r="38" spans="1:11" s="1" customFormat="1" ht="13.15" hidden="1" outlineLevel="1" x14ac:dyDescent="0.35">
      <c r="A38" s="6"/>
      <c r="E38" s="10"/>
      <c r="F38" s="1" t="s">
        <v>85</v>
      </c>
      <c r="G38" s="1" t="s">
        <v>101</v>
      </c>
      <c r="H38" s="1" t="s">
        <v>102</v>
      </c>
      <c r="I38" s="1" t="s">
        <v>118</v>
      </c>
      <c r="J38" s="8"/>
      <c r="K38" s="40">
        <f>NHH.Percentiles!K84</f>
        <v>3.9710933617870217E-2</v>
      </c>
    </row>
    <row r="39" spans="1:11" s="1" customFormat="1" ht="13.15" hidden="1" outlineLevel="1" x14ac:dyDescent="0.35">
      <c r="A39" s="6"/>
      <c r="E39" s="10"/>
      <c r="F39" s="1" t="s">
        <v>85</v>
      </c>
      <c r="G39" s="1" t="s">
        <v>101</v>
      </c>
      <c r="H39" s="1" t="s">
        <v>102</v>
      </c>
      <c r="I39" s="1" t="s">
        <v>119</v>
      </c>
      <c r="J39" s="8"/>
      <c r="K39" s="40">
        <f>NHH.Percentiles!K85</f>
        <v>5.3265439894555767E-2</v>
      </c>
    </row>
    <row r="40" spans="1:11" s="1" customFormat="1" ht="13.15" hidden="1" outlineLevel="1" x14ac:dyDescent="0.35">
      <c r="A40" s="6"/>
      <c r="E40" s="10"/>
      <c r="F40" s="1" t="s">
        <v>85</v>
      </c>
      <c r="G40" s="1" t="s">
        <v>101</v>
      </c>
      <c r="H40" s="1" t="s">
        <v>102</v>
      </c>
      <c r="I40" s="1" t="s">
        <v>120</v>
      </c>
      <c r="J40" s="8"/>
      <c r="K40" s="40">
        <f>NHH.Percentiles!K86</f>
        <v>5.9656505650614054E-2</v>
      </c>
    </row>
    <row r="41" spans="1:11" s="1" customFormat="1" ht="13.15" hidden="1" outlineLevel="1" x14ac:dyDescent="0.35">
      <c r="A41" s="6"/>
      <c r="E41" s="10"/>
      <c r="F41" s="1" t="s">
        <v>85</v>
      </c>
      <c r="G41" s="1" t="s">
        <v>101</v>
      </c>
      <c r="H41" s="1" t="s">
        <v>102</v>
      </c>
      <c r="I41" s="1" t="s">
        <v>121</v>
      </c>
      <c r="J41" s="8"/>
      <c r="K41" s="40">
        <f>NHH.Percentiles!K87</f>
        <v>7.2635013104052293E-2</v>
      </c>
    </row>
    <row r="42" spans="1:11" s="1" customFormat="1" ht="13.15" hidden="1" outlineLevel="1" x14ac:dyDescent="0.35">
      <c r="A42" s="6"/>
      <c r="E42" s="10"/>
      <c r="F42" s="1" t="s">
        <v>85</v>
      </c>
      <c r="G42" s="1" t="s">
        <v>101</v>
      </c>
      <c r="H42" s="1" t="s">
        <v>102</v>
      </c>
      <c r="I42" s="1" t="s">
        <v>122</v>
      </c>
      <c r="J42" s="8"/>
      <c r="K42" s="40">
        <f>NHH.Percentiles!K88</f>
        <v>8.1541326383880952E-2</v>
      </c>
    </row>
    <row r="43" spans="1:11" s="1" customFormat="1" ht="13.15" hidden="1" outlineLevel="1" x14ac:dyDescent="0.35">
      <c r="A43" s="6"/>
      <c r="E43" s="10"/>
      <c r="F43" s="1" t="s">
        <v>85</v>
      </c>
      <c r="G43" s="1" t="s">
        <v>101</v>
      </c>
      <c r="H43" s="1" t="s">
        <v>102</v>
      </c>
      <c r="I43" s="1" t="s">
        <v>123</v>
      </c>
      <c r="J43" s="8"/>
      <c r="K43" s="40">
        <f>NHH.Percentiles!K89</f>
        <v>9.679681148616838E-2</v>
      </c>
    </row>
    <row r="44" spans="1:11" s="1" customFormat="1" collapsed="1" x14ac:dyDescent="0.45">
      <c r="A44" s="6"/>
      <c r="E44" s="86"/>
      <c r="K44" s="42"/>
    </row>
    <row r="45" spans="1:11" s="100" customFormat="1" ht="13.15" x14ac:dyDescent="0.4">
      <c r="A45" s="100" t="s">
        <v>83</v>
      </c>
      <c r="K45" s="101"/>
    </row>
    <row r="50" spans="8:8" hidden="1" x14ac:dyDescent="0.45">
      <c r="H50" s="113"/>
    </row>
  </sheetData>
  <phoneticPr fontId="7"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4197-CC6F-40ED-A88D-F6DA9B8ED7C5}">
  <sheetPr codeName="Sheet15">
    <tabColor rgb="FF98C561"/>
  </sheetPr>
  <dimension ref="A1:M651"/>
  <sheetViews>
    <sheetView zoomScale="80" zoomScaleNormal="80" workbookViewId="0"/>
  </sheetViews>
  <sheetFormatPr defaultColWidth="0" defaultRowHeight="13.5" zeroHeight="1" x14ac:dyDescent="0.35"/>
  <cols>
    <col min="1" max="1" width="9" customWidth="1"/>
    <col min="2" max="2" width="19.875" bestFit="1" customWidth="1"/>
    <col min="3" max="3" width="100.5" bestFit="1" customWidth="1"/>
    <col min="4" max="4" width="9" customWidth="1"/>
    <col min="5" max="5" width="13.25" bestFit="1" customWidth="1"/>
    <col min="6" max="6" width="9.5" bestFit="1" customWidth="1"/>
    <col min="7" max="13" width="9" customWidth="1"/>
    <col min="14" max="16384" width="9" hidden="1"/>
  </cols>
  <sheetData>
    <row r="1" spans="1:6" s="14" customFormat="1" ht="14.25" x14ac:dyDescent="0.45">
      <c r="A1" s="15"/>
      <c r="B1" s="15"/>
      <c r="C1" s="16" t="s">
        <v>145</v>
      </c>
      <c r="D1" s="15"/>
      <c r="E1" s="16"/>
      <c r="F1" s="17"/>
    </row>
    <row r="2" spans="1:6" s="1" customFormat="1" ht="13.15" x14ac:dyDescent="0.4">
      <c r="A2" s="18" t="s">
        <v>10</v>
      </c>
      <c r="B2" s="18" t="s">
        <v>11</v>
      </c>
      <c r="C2" s="18" t="s">
        <v>12</v>
      </c>
      <c r="D2" s="18" t="s">
        <v>13</v>
      </c>
      <c r="E2" s="18" t="s">
        <v>14</v>
      </c>
      <c r="F2" s="19" t="s">
        <v>146</v>
      </c>
    </row>
    <row r="3" spans="1:6" x14ac:dyDescent="0.35"/>
    <row r="4" spans="1:6" s="1" customFormat="1" ht="13.15" x14ac:dyDescent="0.4">
      <c r="A4" s="20" t="s">
        <v>56</v>
      </c>
      <c r="B4" s="20" t="s">
        <v>147</v>
      </c>
      <c r="C4" s="20" t="s">
        <v>148</v>
      </c>
      <c r="D4" s="20" t="s">
        <v>102</v>
      </c>
      <c r="E4" s="20" t="s">
        <v>34</v>
      </c>
      <c r="F4" s="28">
        <f>'Final Output'!K27</f>
        <v>-9.679681148616838E-2</v>
      </c>
    </row>
    <row r="5" spans="1:6" s="1" customFormat="1" ht="13.15" x14ac:dyDescent="0.4">
      <c r="A5" s="20" t="s">
        <v>56</v>
      </c>
      <c r="B5" s="20" t="s">
        <v>149</v>
      </c>
      <c r="C5" s="20" t="s">
        <v>150</v>
      </c>
      <c r="D5" s="20" t="s">
        <v>102</v>
      </c>
      <c r="E5" s="20" t="s">
        <v>34</v>
      </c>
      <c r="F5" s="28">
        <f>'Final Output'!K28</f>
        <v>-8.1541326383880952E-2</v>
      </c>
    </row>
    <row r="6" spans="1:6" s="1" customFormat="1" ht="13.15" x14ac:dyDescent="0.4">
      <c r="A6" s="20" t="s">
        <v>56</v>
      </c>
      <c r="B6" s="20" t="s">
        <v>151</v>
      </c>
      <c r="C6" s="20" t="s">
        <v>152</v>
      </c>
      <c r="D6" s="20" t="s">
        <v>102</v>
      </c>
      <c r="E6" s="20" t="s">
        <v>34</v>
      </c>
      <c r="F6" s="28">
        <f>'Final Output'!K29</f>
        <v>-7.2635013104052293E-2</v>
      </c>
    </row>
    <row r="7" spans="1:6" s="1" customFormat="1" ht="13.15" x14ac:dyDescent="0.4">
      <c r="A7" s="20" t="s">
        <v>56</v>
      </c>
      <c r="B7" s="20" t="s">
        <v>153</v>
      </c>
      <c r="C7" s="20" t="s">
        <v>154</v>
      </c>
      <c r="D7" s="20" t="s">
        <v>102</v>
      </c>
      <c r="E7" s="20" t="s">
        <v>34</v>
      </c>
      <c r="F7" s="28">
        <f>'Final Output'!K30</f>
        <v>-5.9656505650614054E-2</v>
      </c>
    </row>
    <row r="8" spans="1:6" s="1" customFormat="1" ht="13.15" x14ac:dyDescent="0.4">
      <c r="A8" s="20" t="s">
        <v>56</v>
      </c>
      <c r="B8" s="20" t="s">
        <v>155</v>
      </c>
      <c r="C8" s="20" t="s">
        <v>156</v>
      </c>
      <c r="D8" s="20" t="s">
        <v>102</v>
      </c>
      <c r="E8" s="20" t="s">
        <v>34</v>
      </c>
      <c r="F8" s="28">
        <f>'Final Output'!K31</f>
        <v>-5.3265439894555767E-2</v>
      </c>
    </row>
    <row r="9" spans="1:6" ht="13.9" x14ac:dyDescent="0.4">
      <c r="A9" s="20" t="s">
        <v>56</v>
      </c>
      <c r="B9" s="20" t="s">
        <v>157</v>
      </c>
      <c r="C9" s="20" t="s">
        <v>158</v>
      </c>
      <c r="D9" s="20" t="s">
        <v>102</v>
      </c>
      <c r="E9" s="20" t="s">
        <v>34</v>
      </c>
      <c r="F9" s="28">
        <f>'Final Output'!K32</f>
        <v>-3.9710933617870217E-2</v>
      </c>
    </row>
    <row r="10" spans="1:6" ht="13.9" x14ac:dyDescent="0.4">
      <c r="A10" s="20" t="s">
        <v>56</v>
      </c>
      <c r="B10" s="20" t="s">
        <v>159</v>
      </c>
      <c r="C10" s="20" t="s">
        <v>160</v>
      </c>
      <c r="D10" s="20" t="s">
        <v>102</v>
      </c>
      <c r="E10" s="20" t="s">
        <v>34</v>
      </c>
      <c r="F10" s="28">
        <f>'Final Output'!K33</f>
        <v>-2.6502070624940276E-2</v>
      </c>
    </row>
    <row r="11" spans="1:6" ht="13.9" x14ac:dyDescent="0.4">
      <c r="A11" s="20" t="s">
        <v>56</v>
      </c>
      <c r="B11" s="20" t="s">
        <v>161</v>
      </c>
      <c r="C11" s="20" t="s">
        <v>162</v>
      </c>
      <c r="D11" s="20" t="s">
        <v>102</v>
      </c>
      <c r="E11" s="20" t="s">
        <v>34</v>
      </c>
      <c r="F11" s="28">
        <f>'Final Output'!K34</f>
        <v>-1.2207272797456018E-2</v>
      </c>
    </row>
    <row r="12" spans="1:6" ht="13.9" x14ac:dyDescent="0.4">
      <c r="A12" s="20" t="s">
        <v>56</v>
      </c>
      <c r="B12" s="20" t="s">
        <v>163</v>
      </c>
      <c r="C12" s="20" t="s">
        <v>164</v>
      </c>
      <c r="D12" s="20" t="s">
        <v>102</v>
      </c>
      <c r="E12" s="20" t="s">
        <v>34</v>
      </c>
      <c r="F12" s="28">
        <f>'Final Output'!K35</f>
        <v>0</v>
      </c>
    </row>
    <row r="13" spans="1:6" ht="13.9" x14ac:dyDescent="0.4">
      <c r="A13" s="20" t="s">
        <v>56</v>
      </c>
      <c r="B13" s="20" t="s">
        <v>165</v>
      </c>
      <c r="C13" s="20" t="s">
        <v>166</v>
      </c>
      <c r="D13" s="20" t="s">
        <v>102</v>
      </c>
      <c r="E13" s="20" t="s">
        <v>34</v>
      </c>
      <c r="F13" s="28">
        <f>'Final Output'!K36</f>
        <v>1.2207272797456018E-2</v>
      </c>
    </row>
    <row r="14" spans="1:6" ht="13.9" x14ac:dyDescent="0.4">
      <c r="A14" s="20" t="s">
        <v>56</v>
      </c>
      <c r="B14" s="20" t="s">
        <v>167</v>
      </c>
      <c r="C14" s="20" t="s">
        <v>168</v>
      </c>
      <c r="D14" s="20" t="s">
        <v>102</v>
      </c>
      <c r="E14" s="20" t="s">
        <v>34</v>
      </c>
      <c r="F14" s="28">
        <f>'Final Output'!K37</f>
        <v>2.6502070624940276E-2</v>
      </c>
    </row>
    <row r="15" spans="1:6" ht="13.9" x14ac:dyDescent="0.4">
      <c r="A15" s="20" t="s">
        <v>56</v>
      </c>
      <c r="B15" s="20" t="s">
        <v>169</v>
      </c>
      <c r="C15" s="20" t="s">
        <v>170</v>
      </c>
      <c r="D15" s="20" t="s">
        <v>102</v>
      </c>
      <c r="E15" s="20" t="s">
        <v>34</v>
      </c>
      <c r="F15" s="28">
        <f>'Final Output'!K38</f>
        <v>3.9710933617870217E-2</v>
      </c>
    </row>
    <row r="16" spans="1:6" ht="13.9" x14ac:dyDescent="0.4">
      <c r="A16" s="20" t="s">
        <v>56</v>
      </c>
      <c r="B16" s="20" t="s">
        <v>171</v>
      </c>
      <c r="C16" s="20" t="s">
        <v>172</v>
      </c>
      <c r="D16" s="20" t="s">
        <v>102</v>
      </c>
      <c r="E16" s="20" t="s">
        <v>34</v>
      </c>
      <c r="F16" s="28">
        <f>'Final Output'!K39</f>
        <v>5.3265439894555767E-2</v>
      </c>
    </row>
    <row r="17" spans="1:6" ht="13.9" x14ac:dyDescent="0.4">
      <c r="A17" s="20" t="s">
        <v>56</v>
      </c>
      <c r="B17" s="20" t="s">
        <v>173</v>
      </c>
      <c r="C17" s="20" t="s">
        <v>174</v>
      </c>
      <c r="D17" s="20" t="s">
        <v>102</v>
      </c>
      <c r="E17" s="20" t="s">
        <v>34</v>
      </c>
      <c r="F17" s="28">
        <f>'Final Output'!K40</f>
        <v>5.9656505650614054E-2</v>
      </c>
    </row>
    <row r="18" spans="1:6" ht="13.9" x14ac:dyDescent="0.4">
      <c r="A18" s="20" t="s">
        <v>56</v>
      </c>
      <c r="B18" s="20" t="s">
        <v>175</v>
      </c>
      <c r="C18" s="20" t="s">
        <v>176</v>
      </c>
      <c r="D18" s="20" t="s">
        <v>102</v>
      </c>
      <c r="E18" s="20" t="s">
        <v>34</v>
      </c>
      <c r="F18" s="28">
        <f>'Final Output'!K41</f>
        <v>7.2635013104052293E-2</v>
      </c>
    </row>
    <row r="19" spans="1:6" ht="13.9" x14ac:dyDescent="0.4">
      <c r="A19" s="20" t="s">
        <v>56</v>
      </c>
      <c r="B19" s="20" t="s">
        <v>177</v>
      </c>
      <c r="C19" s="20" t="s">
        <v>178</v>
      </c>
      <c r="D19" s="20" t="s">
        <v>102</v>
      </c>
      <c r="E19" s="20" t="s">
        <v>34</v>
      </c>
      <c r="F19" s="28">
        <f>'Final Output'!K42</f>
        <v>8.1541326383880952E-2</v>
      </c>
    </row>
    <row r="20" spans="1:6" ht="13.9" x14ac:dyDescent="0.4">
      <c r="A20" s="20" t="s">
        <v>56</v>
      </c>
      <c r="B20" s="20" t="s">
        <v>179</v>
      </c>
      <c r="C20" s="20" t="s">
        <v>180</v>
      </c>
      <c r="D20" s="20" t="s">
        <v>102</v>
      </c>
      <c r="E20" s="20" t="s">
        <v>34</v>
      </c>
      <c r="F20" s="28">
        <f>'Final Output'!K43</f>
        <v>9.679681148616838E-2</v>
      </c>
    </row>
    <row r="21" spans="1:6" ht="13.9" x14ac:dyDescent="0.4">
      <c r="A21" s="20" t="s">
        <v>56</v>
      </c>
      <c r="B21" s="20" t="s">
        <v>181</v>
      </c>
      <c r="C21" s="20" t="s">
        <v>182</v>
      </c>
      <c r="D21" s="20" t="s">
        <v>102</v>
      </c>
      <c r="E21" s="20" t="s">
        <v>34</v>
      </c>
      <c r="F21" s="28">
        <f>'Final Output'!K9</f>
        <v>-6.5703864011792859E-2</v>
      </c>
    </row>
    <row r="22" spans="1:6" ht="13.9" x14ac:dyDescent="0.4">
      <c r="A22" s="20" t="s">
        <v>56</v>
      </c>
      <c r="B22" s="20" t="s">
        <v>183</v>
      </c>
      <c r="C22" s="20" t="s">
        <v>184</v>
      </c>
      <c r="D22" s="20" t="s">
        <v>102</v>
      </c>
      <c r="E22" s="20" t="s">
        <v>34</v>
      </c>
      <c r="F22" s="28">
        <f>'Final Output'!K10</f>
        <v>-4.8434415772688172E-2</v>
      </c>
    </row>
    <row r="23" spans="1:6" ht="13.9" x14ac:dyDescent="0.4">
      <c r="A23" s="20" t="s">
        <v>56</v>
      </c>
      <c r="B23" s="20" t="s">
        <v>185</v>
      </c>
      <c r="C23" s="20" t="s">
        <v>186</v>
      </c>
      <c r="D23" s="20" t="s">
        <v>102</v>
      </c>
      <c r="E23" s="20" t="s">
        <v>34</v>
      </c>
      <c r="F23" s="28">
        <f>'Final Output'!K11</f>
        <v>-4.1773779563880883E-2</v>
      </c>
    </row>
    <row r="24" spans="1:6" ht="13.9" x14ac:dyDescent="0.4">
      <c r="A24" s="20" t="s">
        <v>56</v>
      </c>
      <c r="B24" s="20" t="s">
        <v>187</v>
      </c>
      <c r="C24" s="20" t="s">
        <v>188</v>
      </c>
      <c r="D24" s="20" t="s">
        <v>102</v>
      </c>
      <c r="E24" s="20" t="s">
        <v>34</v>
      </c>
      <c r="F24" s="28">
        <f>'Final Output'!K12</f>
        <v>-3.7912815833552369E-2</v>
      </c>
    </row>
    <row r="25" spans="1:6" ht="13.9" x14ac:dyDescent="0.4">
      <c r="A25" s="20" t="s">
        <v>56</v>
      </c>
      <c r="B25" s="20" t="s">
        <v>189</v>
      </c>
      <c r="C25" s="20" t="s">
        <v>190</v>
      </c>
      <c r="D25" s="20" t="s">
        <v>102</v>
      </c>
      <c r="E25" s="20" t="s">
        <v>34</v>
      </c>
      <c r="F25" s="28">
        <f>'Final Output'!K13</f>
        <v>-3.5623914367531956E-2</v>
      </c>
    </row>
    <row r="26" spans="1:6" ht="13.9" x14ac:dyDescent="0.4">
      <c r="A26" s="20" t="s">
        <v>56</v>
      </c>
      <c r="B26" s="20" t="s">
        <v>191</v>
      </c>
      <c r="C26" s="20" t="s">
        <v>192</v>
      </c>
      <c r="D26" s="20" t="s">
        <v>102</v>
      </c>
      <c r="E26" s="20" t="s">
        <v>34</v>
      </c>
      <c r="F26" s="28">
        <f>'Final Output'!K14</f>
        <v>-2.8419468525651321E-2</v>
      </c>
    </row>
    <row r="27" spans="1:6" ht="13.9" x14ac:dyDescent="0.4">
      <c r="A27" s="20" t="s">
        <v>56</v>
      </c>
      <c r="B27" s="20" t="s">
        <v>193</v>
      </c>
      <c r="C27" s="20" t="s">
        <v>194</v>
      </c>
      <c r="D27" s="20" t="s">
        <v>102</v>
      </c>
      <c r="E27" s="20" t="s">
        <v>34</v>
      </c>
      <c r="F27" s="28">
        <f>'Final Output'!K15</f>
        <v>-1.5286447542521703E-2</v>
      </c>
    </row>
    <row r="28" spans="1:6" ht="13.9" x14ac:dyDescent="0.4">
      <c r="A28" s="20" t="s">
        <v>56</v>
      </c>
      <c r="B28" s="20" t="s">
        <v>195</v>
      </c>
      <c r="C28" s="20" t="s">
        <v>196</v>
      </c>
      <c r="D28" s="20" t="s">
        <v>102</v>
      </c>
      <c r="E28" s="20" t="s">
        <v>34</v>
      </c>
      <c r="F28" s="28">
        <f>'Final Output'!K16</f>
        <v>-6.6832871879386607E-3</v>
      </c>
    </row>
    <row r="29" spans="1:6" ht="13.9" x14ac:dyDescent="0.4">
      <c r="A29" s="20" t="s">
        <v>56</v>
      </c>
      <c r="B29" s="20" t="s">
        <v>197</v>
      </c>
      <c r="C29" s="20" t="s">
        <v>198</v>
      </c>
      <c r="D29" s="20" t="s">
        <v>102</v>
      </c>
      <c r="E29" s="20" t="s">
        <v>34</v>
      </c>
      <c r="F29" s="28">
        <f>'Final Output'!K17</f>
        <v>0</v>
      </c>
    </row>
    <row r="30" spans="1:6" ht="13.9" x14ac:dyDescent="0.4">
      <c r="A30" s="20" t="s">
        <v>56</v>
      </c>
      <c r="B30" s="20" t="s">
        <v>199</v>
      </c>
      <c r="C30" s="20" t="s">
        <v>200</v>
      </c>
      <c r="D30" s="20" t="s">
        <v>102</v>
      </c>
      <c r="E30" s="20" t="s">
        <v>34</v>
      </c>
      <c r="F30" s="28">
        <f>'Final Output'!K18</f>
        <v>6.6832871879386607E-3</v>
      </c>
    </row>
    <row r="31" spans="1:6" ht="13.9" x14ac:dyDescent="0.4">
      <c r="A31" s="20" t="s">
        <v>56</v>
      </c>
      <c r="B31" s="20" t="s">
        <v>201</v>
      </c>
      <c r="C31" s="20" t="s">
        <v>202</v>
      </c>
      <c r="D31" s="20" t="s">
        <v>102</v>
      </c>
      <c r="E31" s="20" t="s">
        <v>34</v>
      </c>
      <c r="F31" s="28">
        <f>'Final Output'!K19</f>
        <v>1.5286447542521703E-2</v>
      </c>
    </row>
    <row r="32" spans="1:6" ht="13.9" x14ac:dyDescent="0.4">
      <c r="A32" s="20" t="s">
        <v>56</v>
      </c>
      <c r="B32" s="20" t="s">
        <v>203</v>
      </c>
      <c r="C32" s="20" t="s">
        <v>204</v>
      </c>
      <c r="D32" s="20" t="s">
        <v>102</v>
      </c>
      <c r="E32" s="20" t="s">
        <v>34</v>
      </c>
      <c r="F32" s="28">
        <f>'Final Output'!K20</f>
        <v>2.8419468525651321E-2</v>
      </c>
    </row>
    <row r="33" spans="1:6" ht="13.9" x14ac:dyDescent="0.4">
      <c r="A33" s="20" t="s">
        <v>56</v>
      </c>
      <c r="B33" s="20" t="s">
        <v>205</v>
      </c>
      <c r="C33" s="20" t="s">
        <v>206</v>
      </c>
      <c r="D33" s="20" t="s">
        <v>102</v>
      </c>
      <c r="E33" s="20" t="s">
        <v>34</v>
      </c>
      <c r="F33" s="28">
        <f>'Final Output'!K21</f>
        <v>3.5623914367531956E-2</v>
      </c>
    </row>
    <row r="34" spans="1:6" ht="13.9" x14ac:dyDescent="0.4">
      <c r="A34" s="20" t="s">
        <v>56</v>
      </c>
      <c r="B34" s="20" t="s">
        <v>207</v>
      </c>
      <c r="C34" s="20" t="s">
        <v>208</v>
      </c>
      <c r="D34" s="20" t="s">
        <v>102</v>
      </c>
      <c r="E34" s="20" t="s">
        <v>34</v>
      </c>
      <c r="F34" s="28">
        <f>'Final Output'!K22</f>
        <v>3.7912815833552369E-2</v>
      </c>
    </row>
    <row r="35" spans="1:6" ht="13.9" x14ac:dyDescent="0.4">
      <c r="A35" s="20" t="s">
        <v>56</v>
      </c>
      <c r="B35" s="20" t="s">
        <v>209</v>
      </c>
      <c r="C35" s="20" t="s">
        <v>210</v>
      </c>
      <c r="D35" s="20" t="s">
        <v>102</v>
      </c>
      <c r="E35" s="20" t="s">
        <v>34</v>
      </c>
      <c r="F35" s="28">
        <f>'Final Output'!K23</f>
        <v>4.1773779563880883E-2</v>
      </c>
    </row>
    <row r="36" spans="1:6" ht="13.9" x14ac:dyDescent="0.4">
      <c r="A36" s="20" t="s">
        <v>56</v>
      </c>
      <c r="B36" s="20" t="s">
        <v>211</v>
      </c>
      <c r="C36" s="20" t="s">
        <v>212</v>
      </c>
      <c r="D36" s="20" t="s">
        <v>102</v>
      </c>
      <c r="E36" s="20" t="s">
        <v>34</v>
      </c>
      <c r="F36" s="28">
        <f>'Final Output'!K24</f>
        <v>4.8434415772688172E-2</v>
      </c>
    </row>
    <row r="37" spans="1:6" ht="13.9" x14ac:dyDescent="0.4">
      <c r="A37" s="20" t="s">
        <v>56</v>
      </c>
      <c r="B37" s="20" t="s">
        <v>213</v>
      </c>
      <c r="C37" s="20" t="s">
        <v>214</v>
      </c>
      <c r="D37" s="20" t="s">
        <v>102</v>
      </c>
      <c r="E37" s="20" t="s">
        <v>34</v>
      </c>
      <c r="F37" s="28">
        <f>'Final Output'!K25</f>
        <v>6.5703864011792859E-2</v>
      </c>
    </row>
    <row r="38" spans="1:6" ht="13.9" x14ac:dyDescent="0.4">
      <c r="A38" s="20" t="s">
        <v>56</v>
      </c>
      <c r="B38" s="20" t="s">
        <v>215</v>
      </c>
      <c r="C38" s="20" t="s">
        <v>216</v>
      </c>
      <c r="D38" s="20" t="s">
        <v>102</v>
      </c>
      <c r="E38" s="20" t="s">
        <v>34</v>
      </c>
      <c r="F38" s="28" t="str">
        <f ca="1">CONCATENATE("[…]", TEXT(NOW(),"dd/mm/yyy hh:mm:ss"))</f>
        <v>[…]12/12/2024 16:42:19</v>
      </c>
    </row>
    <row r="39" spans="1:6" ht="13.9" x14ac:dyDescent="0.4">
      <c r="A39" s="20" t="s">
        <v>56</v>
      </c>
      <c r="B39" s="20" t="s">
        <v>217</v>
      </c>
      <c r="C39" s="20" t="s">
        <v>218</v>
      </c>
      <c r="D39" s="20" t="s">
        <v>102</v>
      </c>
      <c r="E39" s="20" t="s">
        <v>34</v>
      </c>
      <c r="F39" s="28" t="str">
        <f ca="1">MID(CELL("filename"),SEARCH("[",CELL("filename"))+1,SEARCH("]",CELL("filename"))-SEARCH("[",CELL("filename"))-1)</f>
        <v>PR24 FD OC13 ODI risk - Feeder Model (Per Capita Consumption and Business Demand).xlsx</v>
      </c>
    </row>
    <row r="40" spans="1:6" ht="13.9" x14ac:dyDescent="0.4">
      <c r="A40" s="20" t="s">
        <v>56</v>
      </c>
      <c r="B40" s="20" t="s">
        <v>219</v>
      </c>
      <c r="C40" s="20" t="s">
        <v>220</v>
      </c>
      <c r="D40" s="20" t="s">
        <v>102</v>
      </c>
      <c r="E40" s="20" t="s">
        <v>34</v>
      </c>
      <c r="F40" s="28" t="str">
        <f>F_Inputs!$E$1</f>
        <v>Run on 06 Dec 2024 15:13</v>
      </c>
    </row>
    <row r="41" spans="1:6" ht="13.9" x14ac:dyDescent="0.4">
      <c r="A41" s="20" t="s">
        <v>56</v>
      </c>
      <c r="B41" s="20" t="s">
        <v>221</v>
      </c>
      <c r="C41" s="20" t="s">
        <v>222</v>
      </c>
      <c r="D41" s="20" t="s">
        <v>102</v>
      </c>
      <c r="E41" s="20" t="s">
        <v>34</v>
      </c>
      <c r="F41" s="28" t="s">
        <v>223</v>
      </c>
    </row>
    <row r="42" spans="1:6" ht="13.9" x14ac:dyDescent="0.4">
      <c r="A42" s="20" t="s">
        <v>36</v>
      </c>
      <c r="B42" s="20" t="s">
        <v>147</v>
      </c>
      <c r="C42" s="20" t="s">
        <v>148</v>
      </c>
      <c r="D42" s="20" t="s">
        <v>102</v>
      </c>
      <c r="E42" s="20" t="s">
        <v>34</v>
      </c>
      <c r="F42" s="28">
        <f>'Final Output'!K27</f>
        <v>-9.679681148616838E-2</v>
      </c>
    </row>
    <row r="43" spans="1:6" ht="13.9" x14ac:dyDescent="0.4">
      <c r="A43" s="20" t="s">
        <v>36</v>
      </c>
      <c r="B43" s="20" t="s">
        <v>149</v>
      </c>
      <c r="C43" s="20" t="s">
        <v>150</v>
      </c>
      <c r="D43" s="20" t="s">
        <v>102</v>
      </c>
      <c r="E43" s="20" t="s">
        <v>34</v>
      </c>
      <c r="F43" s="28">
        <f>'Final Output'!K28</f>
        <v>-8.1541326383880952E-2</v>
      </c>
    </row>
    <row r="44" spans="1:6" ht="13.9" x14ac:dyDescent="0.4">
      <c r="A44" s="20" t="s">
        <v>36</v>
      </c>
      <c r="B44" s="20" t="s">
        <v>151</v>
      </c>
      <c r="C44" s="20" t="s">
        <v>152</v>
      </c>
      <c r="D44" s="20" t="s">
        <v>102</v>
      </c>
      <c r="E44" s="20" t="s">
        <v>34</v>
      </c>
      <c r="F44" s="28">
        <f>'Final Output'!K29</f>
        <v>-7.2635013104052293E-2</v>
      </c>
    </row>
    <row r="45" spans="1:6" ht="13.9" x14ac:dyDescent="0.4">
      <c r="A45" s="20" t="s">
        <v>36</v>
      </c>
      <c r="B45" s="20" t="s">
        <v>153</v>
      </c>
      <c r="C45" s="20" t="s">
        <v>154</v>
      </c>
      <c r="D45" s="20" t="s">
        <v>102</v>
      </c>
      <c r="E45" s="20" t="s">
        <v>34</v>
      </c>
      <c r="F45" s="28">
        <f>'Final Output'!K30</f>
        <v>-5.9656505650614054E-2</v>
      </c>
    </row>
    <row r="46" spans="1:6" ht="13.9" x14ac:dyDescent="0.4">
      <c r="A46" s="20" t="s">
        <v>36</v>
      </c>
      <c r="B46" s="20" t="s">
        <v>155</v>
      </c>
      <c r="C46" s="20" t="s">
        <v>156</v>
      </c>
      <c r="D46" s="20" t="s">
        <v>102</v>
      </c>
      <c r="E46" s="20" t="s">
        <v>34</v>
      </c>
      <c r="F46" s="28">
        <f>'Final Output'!K31</f>
        <v>-5.3265439894555767E-2</v>
      </c>
    </row>
    <row r="47" spans="1:6" ht="13.9" x14ac:dyDescent="0.4">
      <c r="A47" s="20" t="s">
        <v>36</v>
      </c>
      <c r="B47" s="20" t="s">
        <v>157</v>
      </c>
      <c r="C47" s="20" t="s">
        <v>158</v>
      </c>
      <c r="D47" s="20" t="s">
        <v>102</v>
      </c>
      <c r="E47" s="20" t="s">
        <v>34</v>
      </c>
      <c r="F47" s="28">
        <f>'Final Output'!K32</f>
        <v>-3.9710933617870217E-2</v>
      </c>
    </row>
    <row r="48" spans="1:6" ht="13.9" x14ac:dyDescent="0.4">
      <c r="A48" s="20" t="s">
        <v>36</v>
      </c>
      <c r="B48" s="20" t="s">
        <v>159</v>
      </c>
      <c r="C48" s="20" t="s">
        <v>160</v>
      </c>
      <c r="D48" s="20" t="s">
        <v>102</v>
      </c>
      <c r="E48" s="20" t="s">
        <v>34</v>
      </c>
      <c r="F48" s="28">
        <f>'Final Output'!K33</f>
        <v>-2.6502070624940276E-2</v>
      </c>
    </row>
    <row r="49" spans="1:6" ht="13.9" x14ac:dyDescent="0.4">
      <c r="A49" s="20" t="s">
        <v>36</v>
      </c>
      <c r="B49" s="20" t="s">
        <v>161</v>
      </c>
      <c r="C49" s="20" t="s">
        <v>162</v>
      </c>
      <c r="D49" s="20" t="s">
        <v>102</v>
      </c>
      <c r="E49" s="20" t="s">
        <v>34</v>
      </c>
      <c r="F49" s="28">
        <f>'Final Output'!K34</f>
        <v>-1.2207272797456018E-2</v>
      </c>
    </row>
    <row r="50" spans="1:6" ht="13.9" x14ac:dyDescent="0.4">
      <c r="A50" s="20" t="s">
        <v>36</v>
      </c>
      <c r="B50" s="20" t="s">
        <v>163</v>
      </c>
      <c r="C50" s="20" t="s">
        <v>164</v>
      </c>
      <c r="D50" s="20" t="s">
        <v>102</v>
      </c>
      <c r="E50" s="20" t="s">
        <v>34</v>
      </c>
      <c r="F50" s="28">
        <f>'Final Output'!K35</f>
        <v>0</v>
      </c>
    </row>
    <row r="51" spans="1:6" ht="13.9" x14ac:dyDescent="0.4">
      <c r="A51" s="20" t="s">
        <v>36</v>
      </c>
      <c r="B51" s="20" t="s">
        <v>165</v>
      </c>
      <c r="C51" s="20" t="s">
        <v>166</v>
      </c>
      <c r="D51" s="20" t="s">
        <v>102</v>
      </c>
      <c r="E51" s="20" t="s">
        <v>34</v>
      </c>
      <c r="F51" s="28">
        <f>'Final Output'!K36</f>
        <v>1.2207272797456018E-2</v>
      </c>
    </row>
    <row r="52" spans="1:6" ht="13.9" x14ac:dyDescent="0.4">
      <c r="A52" s="20" t="s">
        <v>36</v>
      </c>
      <c r="B52" s="20" t="s">
        <v>167</v>
      </c>
      <c r="C52" s="20" t="s">
        <v>168</v>
      </c>
      <c r="D52" s="20" t="s">
        <v>102</v>
      </c>
      <c r="E52" s="20" t="s">
        <v>34</v>
      </c>
      <c r="F52" s="28">
        <f>'Final Output'!K37</f>
        <v>2.6502070624940276E-2</v>
      </c>
    </row>
    <row r="53" spans="1:6" ht="13.9" x14ac:dyDescent="0.4">
      <c r="A53" s="20" t="s">
        <v>36</v>
      </c>
      <c r="B53" s="20" t="s">
        <v>169</v>
      </c>
      <c r="C53" s="20" t="s">
        <v>170</v>
      </c>
      <c r="D53" s="20" t="s">
        <v>102</v>
      </c>
      <c r="E53" s="20" t="s">
        <v>34</v>
      </c>
      <c r="F53" s="28">
        <f>'Final Output'!K38</f>
        <v>3.9710933617870217E-2</v>
      </c>
    </row>
    <row r="54" spans="1:6" ht="13.9" x14ac:dyDescent="0.4">
      <c r="A54" s="20" t="s">
        <v>36</v>
      </c>
      <c r="B54" s="20" t="s">
        <v>171</v>
      </c>
      <c r="C54" s="20" t="s">
        <v>172</v>
      </c>
      <c r="D54" s="20" t="s">
        <v>102</v>
      </c>
      <c r="E54" s="20" t="s">
        <v>34</v>
      </c>
      <c r="F54" s="28">
        <f>'Final Output'!K39</f>
        <v>5.3265439894555767E-2</v>
      </c>
    </row>
    <row r="55" spans="1:6" ht="13.9" x14ac:dyDescent="0.4">
      <c r="A55" s="20" t="s">
        <v>36</v>
      </c>
      <c r="B55" s="20" t="s">
        <v>173</v>
      </c>
      <c r="C55" s="20" t="s">
        <v>174</v>
      </c>
      <c r="D55" s="20" t="s">
        <v>102</v>
      </c>
      <c r="E55" s="20" t="s">
        <v>34</v>
      </c>
      <c r="F55" s="28">
        <f>'Final Output'!K40</f>
        <v>5.9656505650614054E-2</v>
      </c>
    </row>
    <row r="56" spans="1:6" ht="13.9" x14ac:dyDescent="0.4">
      <c r="A56" s="20" t="s">
        <v>36</v>
      </c>
      <c r="B56" s="20" t="s">
        <v>175</v>
      </c>
      <c r="C56" s="20" t="s">
        <v>176</v>
      </c>
      <c r="D56" s="20" t="s">
        <v>102</v>
      </c>
      <c r="E56" s="20" t="s">
        <v>34</v>
      </c>
      <c r="F56" s="28">
        <f>'Final Output'!K41</f>
        <v>7.2635013104052293E-2</v>
      </c>
    </row>
    <row r="57" spans="1:6" ht="13.9" x14ac:dyDescent="0.4">
      <c r="A57" s="20" t="s">
        <v>36</v>
      </c>
      <c r="B57" s="20" t="s">
        <v>177</v>
      </c>
      <c r="C57" s="20" t="s">
        <v>178</v>
      </c>
      <c r="D57" s="20" t="s">
        <v>102</v>
      </c>
      <c r="E57" s="20" t="s">
        <v>34</v>
      </c>
      <c r="F57" s="28">
        <f>'Final Output'!K42</f>
        <v>8.1541326383880952E-2</v>
      </c>
    </row>
    <row r="58" spans="1:6" ht="13.9" x14ac:dyDescent="0.4">
      <c r="A58" s="20" t="s">
        <v>36</v>
      </c>
      <c r="B58" s="20" t="s">
        <v>179</v>
      </c>
      <c r="C58" s="20" t="s">
        <v>180</v>
      </c>
      <c r="D58" s="20" t="s">
        <v>102</v>
      </c>
      <c r="E58" s="20" t="s">
        <v>34</v>
      </c>
      <c r="F58" s="28">
        <f>'Final Output'!K43</f>
        <v>9.679681148616838E-2</v>
      </c>
    </row>
    <row r="59" spans="1:6" ht="13.9" x14ac:dyDescent="0.4">
      <c r="A59" s="20" t="s">
        <v>36</v>
      </c>
      <c r="B59" s="20" t="s">
        <v>181</v>
      </c>
      <c r="C59" s="20" t="s">
        <v>182</v>
      </c>
      <c r="D59" s="20" t="s">
        <v>102</v>
      </c>
      <c r="E59" s="20" t="s">
        <v>34</v>
      </c>
      <c r="F59" s="28">
        <f>'Final Output'!K9</f>
        <v>-6.5703864011792859E-2</v>
      </c>
    </row>
    <row r="60" spans="1:6" ht="13.9" x14ac:dyDescent="0.4">
      <c r="A60" s="20" t="s">
        <v>36</v>
      </c>
      <c r="B60" s="20" t="s">
        <v>183</v>
      </c>
      <c r="C60" s="20" t="s">
        <v>184</v>
      </c>
      <c r="D60" s="20" t="s">
        <v>102</v>
      </c>
      <c r="E60" s="20" t="s">
        <v>34</v>
      </c>
      <c r="F60" s="28">
        <f>'Final Output'!K10</f>
        <v>-4.8434415772688172E-2</v>
      </c>
    </row>
    <row r="61" spans="1:6" ht="13.9" x14ac:dyDescent="0.4">
      <c r="A61" s="20" t="s">
        <v>36</v>
      </c>
      <c r="B61" s="20" t="s">
        <v>185</v>
      </c>
      <c r="C61" s="20" t="s">
        <v>186</v>
      </c>
      <c r="D61" s="20" t="s">
        <v>102</v>
      </c>
      <c r="E61" s="20" t="s">
        <v>34</v>
      </c>
      <c r="F61" s="28">
        <f>'Final Output'!K11</f>
        <v>-4.1773779563880883E-2</v>
      </c>
    </row>
    <row r="62" spans="1:6" ht="13.9" x14ac:dyDescent="0.4">
      <c r="A62" s="20" t="s">
        <v>36</v>
      </c>
      <c r="B62" s="20" t="s">
        <v>187</v>
      </c>
      <c r="C62" s="20" t="s">
        <v>188</v>
      </c>
      <c r="D62" s="20" t="s">
        <v>102</v>
      </c>
      <c r="E62" s="20" t="s">
        <v>34</v>
      </c>
      <c r="F62" s="28">
        <f>'Final Output'!K12</f>
        <v>-3.7912815833552369E-2</v>
      </c>
    </row>
    <row r="63" spans="1:6" ht="13.9" x14ac:dyDescent="0.4">
      <c r="A63" s="20" t="s">
        <v>36</v>
      </c>
      <c r="B63" s="20" t="s">
        <v>189</v>
      </c>
      <c r="C63" s="20" t="s">
        <v>190</v>
      </c>
      <c r="D63" s="20" t="s">
        <v>102</v>
      </c>
      <c r="E63" s="20" t="s">
        <v>34</v>
      </c>
      <c r="F63" s="28">
        <f>'Final Output'!K13</f>
        <v>-3.5623914367531956E-2</v>
      </c>
    </row>
    <row r="64" spans="1:6" ht="13.9" x14ac:dyDescent="0.4">
      <c r="A64" s="20" t="s">
        <v>36</v>
      </c>
      <c r="B64" s="20" t="s">
        <v>191</v>
      </c>
      <c r="C64" s="20" t="s">
        <v>192</v>
      </c>
      <c r="D64" s="20" t="s">
        <v>102</v>
      </c>
      <c r="E64" s="20" t="s">
        <v>34</v>
      </c>
      <c r="F64" s="28">
        <f>'Final Output'!K14</f>
        <v>-2.8419468525651321E-2</v>
      </c>
    </row>
    <row r="65" spans="1:6" ht="13.9" x14ac:dyDescent="0.4">
      <c r="A65" s="20" t="s">
        <v>36</v>
      </c>
      <c r="B65" s="20" t="s">
        <v>193</v>
      </c>
      <c r="C65" s="20" t="s">
        <v>194</v>
      </c>
      <c r="D65" s="20" t="s">
        <v>102</v>
      </c>
      <c r="E65" s="20" t="s">
        <v>34</v>
      </c>
      <c r="F65" s="28">
        <f>'Final Output'!K15</f>
        <v>-1.5286447542521703E-2</v>
      </c>
    </row>
    <row r="66" spans="1:6" ht="13.9" x14ac:dyDescent="0.4">
      <c r="A66" s="20" t="s">
        <v>36</v>
      </c>
      <c r="B66" s="20" t="s">
        <v>195</v>
      </c>
      <c r="C66" s="20" t="s">
        <v>196</v>
      </c>
      <c r="D66" s="20" t="s">
        <v>102</v>
      </c>
      <c r="E66" s="20" t="s">
        <v>34</v>
      </c>
      <c r="F66" s="28">
        <f>'Final Output'!K16</f>
        <v>-6.6832871879386607E-3</v>
      </c>
    </row>
    <row r="67" spans="1:6" ht="13.9" x14ac:dyDescent="0.4">
      <c r="A67" s="20" t="s">
        <v>36</v>
      </c>
      <c r="B67" s="20" t="s">
        <v>197</v>
      </c>
      <c r="C67" s="20" t="s">
        <v>198</v>
      </c>
      <c r="D67" s="20" t="s">
        <v>102</v>
      </c>
      <c r="E67" s="20" t="s">
        <v>34</v>
      </c>
      <c r="F67" s="28">
        <f>'Final Output'!K17</f>
        <v>0</v>
      </c>
    </row>
    <row r="68" spans="1:6" ht="13.9" x14ac:dyDescent="0.4">
      <c r="A68" s="20" t="s">
        <v>36</v>
      </c>
      <c r="B68" s="20" t="s">
        <v>199</v>
      </c>
      <c r="C68" s="20" t="s">
        <v>200</v>
      </c>
      <c r="D68" s="20" t="s">
        <v>102</v>
      </c>
      <c r="E68" s="20" t="s">
        <v>34</v>
      </c>
      <c r="F68" s="28">
        <f>'Final Output'!K18</f>
        <v>6.6832871879386607E-3</v>
      </c>
    </row>
    <row r="69" spans="1:6" ht="13.9" x14ac:dyDescent="0.4">
      <c r="A69" s="20" t="s">
        <v>36</v>
      </c>
      <c r="B69" s="20" t="s">
        <v>201</v>
      </c>
      <c r="C69" s="20" t="s">
        <v>202</v>
      </c>
      <c r="D69" s="20" t="s">
        <v>102</v>
      </c>
      <c r="E69" s="20" t="s">
        <v>34</v>
      </c>
      <c r="F69" s="28">
        <f>'Final Output'!K19</f>
        <v>1.5286447542521703E-2</v>
      </c>
    </row>
    <row r="70" spans="1:6" ht="13.9" x14ac:dyDescent="0.4">
      <c r="A70" s="20" t="s">
        <v>36</v>
      </c>
      <c r="B70" s="20" t="s">
        <v>203</v>
      </c>
      <c r="C70" s="20" t="s">
        <v>204</v>
      </c>
      <c r="D70" s="20" t="s">
        <v>102</v>
      </c>
      <c r="E70" s="20" t="s">
        <v>34</v>
      </c>
      <c r="F70" s="28">
        <f>'Final Output'!K20</f>
        <v>2.8419468525651321E-2</v>
      </c>
    </row>
    <row r="71" spans="1:6" ht="13.9" x14ac:dyDescent="0.4">
      <c r="A71" s="20" t="s">
        <v>36</v>
      </c>
      <c r="B71" s="20" t="s">
        <v>205</v>
      </c>
      <c r="C71" s="20" t="s">
        <v>206</v>
      </c>
      <c r="D71" s="20" t="s">
        <v>102</v>
      </c>
      <c r="E71" s="20" t="s">
        <v>34</v>
      </c>
      <c r="F71" s="28">
        <f>'Final Output'!K21</f>
        <v>3.5623914367531956E-2</v>
      </c>
    </row>
    <row r="72" spans="1:6" ht="13.9" x14ac:dyDescent="0.4">
      <c r="A72" s="20" t="s">
        <v>36</v>
      </c>
      <c r="B72" s="20" t="s">
        <v>207</v>
      </c>
      <c r="C72" s="20" t="s">
        <v>208</v>
      </c>
      <c r="D72" s="20" t="s">
        <v>102</v>
      </c>
      <c r="E72" s="20" t="s">
        <v>34</v>
      </c>
      <c r="F72" s="28">
        <f>'Final Output'!K22</f>
        <v>3.7912815833552369E-2</v>
      </c>
    </row>
    <row r="73" spans="1:6" ht="13.9" x14ac:dyDescent="0.4">
      <c r="A73" s="20" t="s">
        <v>36</v>
      </c>
      <c r="B73" s="20" t="s">
        <v>209</v>
      </c>
      <c r="C73" s="20" t="s">
        <v>210</v>
      </c>
      <c r="D73" s="20" t="s">
        <v>102</v>
      </c>
      <c r="E73" s="20" t="s">
        <v>34</v>
      </c>
      <c r="F73" s="28">
        <f>'Final Output'!K23</f>
        <v>4.1773779563880883E-2</v>
      </c>
    </row>
    <row r="74" spans="1:6" ht="13.9" x14ac:dyDescent="0.4">
      <c r="A74" s="20" t="s">
        <v>36</v>
      </c>
      <c r="B74" s="20" t="s">
        <v>211</v>
      </c>
      <c r="C74" s="20" t="s">
        <v>212</v>
      </c>
      <c r="D74" s="20" t="s">
        <v>102</v>
      </c>
      <c r="E74" s="20" t="s">
        <v>34</v>
      </c>
      <c r="F74" s="28">
        <f>'Final Output'!K24</f>
        <v>4.8434415772688172E-2</v>
      </c>
    </row>
    <row r="75" spans="1:6" ht="13.9" x14ac:dyDescent="0.4">
      <c r="A75" s="20" t="s">
        <v>36</v>
      </c>
      <c r="B75" s="20" t="s">
        <v>213</v>
      </c>
      <c r="C75" s="20" t="s">
        <v>214</v>
      </c>
      <c r="D75" s="20" t="s">
        <v>102</v>
      </c>
      <c r="E75" s="20" t="s">
        <v>34</v>
      </c>
      <c r="F75" s="28">
        <f>'Final Output'!K25</f>
        <v>6.5703864011792859E-2</v>
      </c>
    </row>
    <row r="76" spans="1:6" ht="13.9" x14ac:dyDescent="0.4">
      <c r="A76" s="20" t="s">
        <v>36</v>
      </c>
      <c r="B76" s="20" t="s">
        <v>215</v>
      </c>
      <c r="C76" s="20" t="s">
        <v>216</v>
      </c>
      <c r="D76" s="20" t="s">
        <v>102</v>
      </c>
      <c r="E76" s="20" t="s">
        <v>34</v>
      </c>
      <c r="F76" s="28" t="str">
        <f ca="1">CONCATENATE("[…]", TEXT(NOW(),"dd/mm/yyy hh:mm:ss"))</f>
        <v>[…]12/12/2024 16:42:19</v>
      </c>
    </row>
    <row r="77" spans="1:6" ht="13.9" x14ac:dyDescent="0.4">
      <c r="A77" s="20" t="s">
        <v>36</v>
      </c>
      <c r="B77" s="20" t="s">
        <v>217</v>
      </c>
      <c r="C77" s="20" t="s">
        <v>218</v>
      </c>
      <c r="D77" s="20" t="s">
        <v>102</v>
      </c>
      <c r="E77" s="20" t="s">
        <v>34</v>
      </c>
      <c r="F77" s="28" t="str">
        <f ca="1">MID(CELL("filename"),SEARCH("[",CELL("filename"))+1,SEARCH("]",CELL("filename"))-SEARCH("[",CELL("filename"))-1)</f>
        <v>PR24 FD OC13 ODI risk - Feeder Model (Per Capita Consumption and Business Demand).xlsx</v>
      </c>
    </row>
    <row r="78" spans="1:6" ht="13.9" x14ac:dyDescent="0.4">
      <c r="A78" s="20" t="s">
        <v>36</v>
      </c>
      <c r="B78" s="20" t="s">
        <v>219</v>
      </c>
      <c r="C78" s="20" t="s">
        <v>220</v>
      </c>
      <c r="D78" s="20" t="s">
        <v>102</v>
      </c>
      <c r="E78" s="20" t="s">
        <v>34</v>
      </c>
      <c r="F78" s="28" t="str">
        <f>F_Inputs!$E$1</f>
        <v>Run on 06 Dec 2024 15:13</v>
      </c>
    </row>
    <row r="79" spans="1:6" ht="13.9" x14ac:dyDescent="0.4">
      <c r="A79" s="20" t="s">
        <v>36</v>
      </c>
      <c r="B79" s="20" t="s">
        <v>221</v>
      </c>
      <c r="C79" s="20" t="s">
        <v>222</v>
      </c>
      <c r="D79" s="20" t="s">
        <v>102</v>
      </c>
      <c r="E79" s="20" t="s">
        <v>34</v>
      </c>
      <c r="F79" s="28" t="s">
        <v>223</v>
      </c>
    </row>
    <row r="80" spans="1:6" ht="13.9" x14ac:dyDescent="0.4">
      <c r="A80" s="20" t="s">
        <v>57</v>
      </c>
      <c r="B80" s="20" t="s">
        <v>147</v>
      </c>
      <c r="C80" s="20" t="s">
        <v>148</v>
      </c>
      <c r="D80" s="20" t="s">
        <v>102</v>
      </c>
      <c r="E80" s="20" t="s">
        <v>34</v>
      </c>
      <c r="F80" s="28">
        <f>'Final Output'!K27</f>
        <v>-9.679681148616838E-2</v>
      </c>
    </row>
    <row r="81" spans="1:6" ht="13.9" x14ac:dyDescent="0.4">
      <c r="A81" s="20" t="s">
        <v>57</v>
      </c>
      <c r="B81" s="20" t="s">
        <v>149</v>
      </c>
      <c r="C81" s="20" t="s">
        <v>150</v>
      </c>
      <c r="D81" s="20" t="s">
        <v>102</v>
      </c>
      <c r="E81" s="20" t="s">
        <v>34</v>
      </c>
      <c r="F81" s="28">
        <f>'Final Output'!K28</f>
        <v>-8.1541326383880952E-2</v>
      </c>
    </row>
    <row r="82" spans="1:6" ht="13.9" x14ac:dyDescent="0.4">
      <c r="A82" s="20" t="s">
        <v>57</v>
      </c>
      <c r="B82" s="20" t="s">
        <v>151</v>
      </c>
      <c r="C82" s="20" t="s">
        <v>152</v>
      </c>
      <c r="D82" s="20" t="s">
        <v>102</v>
      </c>
      <c r="E82" s="20" t="s">
        <v>34</v>
      </c>
      <c r="F82" s="28">
        <f>'Final Output'!K29</f>
        <v>-7.2635013104052293E-2</v>
      </c>
    </row>
    <row r="83" spans="1:6" ht="13.9" x14ac:dyDescent="0.4">
      <c r="A83" s="20" t="s">
        <v>57</v>
      </c>
      <c r="B83" s="20" t="s">
        <v>153</v>
      </c>
      <c r="C83" s="20" t="s">
        <v>154</v>
      </c>
      <c r="D83" s="20" t="s">
        <v>102</v>
      </c>
      <c r="E83" s="20" t="s">
        <v>34</v>
      </c>
      <c r="F83" s="28">
        <f>'Final Output'!K30</f>
        <v>-5.9656505650614054E-2</v>
      </c>
    </row>
    <row r="84" spans="1:6" ht="13.9" x14ac:dyDescent="0.4">
      <c r="A84" s="20" t="s">
        <v>57</v>
      </c>
      <c r="B84" s="20" t="s">
        <v>155</v>
      </c>
      <c r="C84" s="20" t="s">
        <v>156</v>
      </c>
      <c r="D84" s="20" t="s">
        <v>102</v>
      </c>
      <c r="E84" s="20" t="s">
        <v>34</v>
      </c>
      <c r="F84" s="28">
        <f>'Final Output'!K31</f>
        <v>-5.3265439894555767E-2</v>
      </c>
    </row>
    <row r="85" spans="1:6" ht="13.9" x14ac:dyDescent="0.4">
      <c r="A85" s="20" t="s">
        <v>57</v>
      </c>
      <c r="B85" s="20" t="s">
        <v>157</v>
      </c>
      <c r="C85" s="20" t="s">
        <v>158</v>
      </c>
      <c r="D85" s="20" t="s">
        <v>102</v>
      </c>
      <c r="E85" s="20" t="s">
        <v>34</v>
      </c>
      <c r="F85" s="28">
        <f>'Final Output'!K32</f>
        <v>-3.9710933617870217E-2</v>
      </c>
    </row>
    <row r="86" spans="1:6" ht="13.9" x14ac:dyDescent="0.4">
      <c r="A86" s="20" t="s">
        <v>57</v>
      </c>
      <c r="B86" s="20" t="s">
        <v>159</v>
      </c>
      <c r="C86" s="20" t="s">
        <v>160</v>
      </c>
      <c r="D86" s="20" t="s">
        <v>102</v>
      </c>
      <c r="E86" s="20" t="s">
        <v>34</v>
      </c>
      <c r="F86" s="28">
        <f>'Final Output'!K33</f>
        <v>-2.6502070624940276E-2</v>
      </c>
    </row>
    <row r="87" spans="1:6" ht="13.9" x14ac:dyDescent="0.4">
      <c r="A87" s="20" t="s">
        <v>57</v>
      </c>
      <c r="B87" s="20" t="s">
        <v>161</v>
      </c>
      <c r="C87" s="20" t="s">
        <v>162</v>
      </c>
      <c r="D87" s="20" t="s">
        <v>102</v>
      </c>
      <c r="E87" s="20" t="s">
        <v>34</v>
      </c>
      <c r="F87" s="28">
        <f>'Final Output'!K34</f>
        <v>-1.2207272797456018E-2</v>
      </c>
    </row>
    <row r="88" spans="1:6" ht="13.9" x14ac:dyDescent="0.4">
      <c r="A88" s="20" t="s">
        <v>57</v>
      </c>
      <c r="B88" s="20" t="s">
        <v>163</v>
      </c>
      <c r="C88" s="20" t="s">
        <v>164</v>
      </c>
      <c r="D88" s="20" t="s">
        <v>102</v>
      </c>
      <c r="E88" s="20" t="s">
        <v>34</v>
      </c>
      <c r="F88" s="28">
        <f>'Final Output'!K35</f>
        <v>0</v>
      </c>
    </row>
    <row r="89" spans="1:6" ht="13.9" x14ac:dyDescent="0.4">
      <c r="A89" s="20" t="s">
        <v>57</v>
      </c>
      <c r="B89" s="20" t="s">
        <v>165</v>
      </c>
      <c r="C89" s="20" t="s">
        <v>166</v>
      </c>
      <c r="D89" s="20" t="s">
        <v>102</v>
      </c>
      <c r="E89" s="20" t="s">
        <v>34</v>
      </c>
      <c r="F89" s="28">
        <f>'Final Output'!K36</f>
        <v>1.2207272797456018E-2</v>
      </c>
    </row>
    <row r="90" spans="1:6" ht="13.9" x14ac:dyDescent="0.4">
      <c r="A90" s="20" t="s">
        <v>57</v>
      </c>
      <c r="B90" s="20" t="s">
        <v>167</v>
      </c>
      <c r="C90" s="20" t="s">
        <v>168</v>
      </c>
      <c r="D90" s="20" t="s">
        <v>102</v>
      </c>
      <c r="E90" s="20" t="s">
        <v>34</v>
      </c>
      <c r="F90" s="28">
        <f>'Final Output'!K37</f>
        <v>2.6502070624940276E-2</v>
      </c>
    </row>
    <row r="91" spans="1:6" ht="13.9" x14ac:dyDescent="0.4">
      <c r="A91" s="20" t="s">
        <v>57</v>
      </c>
      <c r="B91" s="20" t="s">
        <v>169</v>
      </c>
      <c r="C91" s="20" t="s">
        <v>170</v>
      </c>
      <c r="D91" s="20" t="s">
        <v>102</v>
      </c>
      <c r="E91" s="20" t="s">
        <v>34</v>
      </c>
      <c r="F91" s="28">
        <f>'Final Output'!K38</f>
        <v>3.9710933617870217E-2</v>
      </c>
    </row>
    <row r="92" spans="1:6" ht="13.9" x14ac:dyDescent="0.4">
      <c r="A92" s="20" t="s">
        <v>57</v>
      </c>
      <c r="B92" s="20" t="s">
        <v>171</v>
      </c>
      <c r="C92" s="20" t="s">
        <v>172</v>
      </c>
      <c r="D92" s="20" t="s">
        <v>102</v>
      </c>
      <c r="E92" s="20" t="s">
        <v>34</v>
      </c>
      <c r="F92" s="28">
        <f>'Final Output'!K39</f>
        <v>5.3265439894555767E-2</v>
      </c>
    </row>
    <row r="93" spans="1:6" ht="13.9" x14ac:dyDescent="0.4">
      <c r="A93" s="20" t="s">
        <v>57</v>
      </c>
      <c r="B93" s="20" t="s">
        <v>173</v>
      </c>
      <c r="C93" s="20" t="s">
        <v>174</v>
      </c>
      <c r="D93" s="20" t="s">
        <v>102</v>
      </c>
      <c r="E93" s="20" t="s">
        <v>34</v>
      </c>
      <c r="F93" s="28">
        <f>'Final Output'!K40</f>
        <v>5.9656505650614054E-2</v>
      </c>
    </row>
    <row r="94" spans="1:6" ht="13.9" x14ac:dyDescent="0.4">
      <c r="A94" s="20" t="s">
        <v>57</v>
      </c>
      <c r="B94" s="20" t="s">
        <v>175</v>
      </c>
      <c r="C94" s="20" t="s">
        <v>176</v>
      </c>
      <c r="D94" s="20" t="s">
        <v>102</v>
      </c>
      <c r="E94" s="20" t="s">
        <v>34</v>
      </c>
      <c r="F94" s="28">
        <f>'Final Output'!K41</f>
        <v>7.2635013104052293E-2</v>
      </c>
    </row>
    <row r="95" spans="1:6" ht="13.9" x14ac:dyDescent="0.4">
      <c r="A95" s="20" t="s">
        <v>57</v>
      </c>
      <c r="B95" s="20" t="s">
        <v>177</v>
      </c>
      <c r="C95" s="20" t="s">
        <v>178</v>
      </c>
      <c r="D95" s="20" t="s">
        <v>102</v>
      </c>
      <c r="E95" s="20" t="s">
        <v>34</v>
      </c>
      <c r="F95" s="28">
        <f>'Final Output'!K42</f>
        <v>8.1541326383880952E-2</v>
      </c>
    </row>
    <row r="96" spans="1:6" ht="13.9" x14ac:dyDescent="0.4">
      <c r="A96" s="20" t="s">
        <v>57</v>
      </c>
      <c r="B96" s="20" t="s">
        <v>179</v>
      </c>
      <c r="C96" s="20" t="s">
        <v>180</v>
      </c>
      <c r="D96" s="20" t="s">
        <v>102</v>
      </c>
      <c r="E96" s="20" t="s">
        <v>34</v>
      </c>
      <c r="F96" s="28">
        <f>'Final Output'!K43</f>
        <v>9.679681148616838E-2</v>
      </c>
    </row>
    <row r="97" spans="1:6" ht="13.9" x14ac:dyDescent="0.4">
      <c r="A97" s="20" t="s">
        <v>57</v>
      </c>
      <c r="B97" s="20" t="s">
        <v>181</v>
      </c>
      <c r="C97" s="20" t="s">
        <v>182</v>
      </c>
      <c r="D97" s="20" t="s">
        <v>102</v>
      </c>
      <c r="E97" s="20" t="s">
        <v>34</v>
      </c>
      <c r="F97" s="28">
        <f>'Final Output'!K9</f>
        <v>-6.5703864011792859E-2</v>
      </c>
    </row>
    <row r="98" spans="1:6" ht="13.9" x14ac:dyDescent="0.4">
      <c r="A98" s="20" t="s">
        <v>57</v>
      </c>
      <c r="B98" s="20" t="s">
        <v>183</v>
      </c>
      <c r="C98" s="20" t="s">
        <v>184</v>
      </c>
      <c r="D98" s="20" t="s">
        <v>102</v>
      </c>
      <c r="E98" s="20" t="s">
        <v>34</v>
      </c>
      <c r="F98" s="28">
        <f>'Final Output'!K10</f>
        <v>-4.8434415772688172E-2</v>
      </c>
    </row>
    <row r="99" spans="1:6" ht="13.9" x14ac:dyDescent="0.4">
      <c r="A99" s="20" t="s">
        <v>57</v>
      </c>
      <c r="B99" s="20" t="s">
        <v>185</v>
      </c>
      <c r="C99" s="20" t="s">
        <v>186</v>
      </c>
      <c r="D99" s="20" t="s">
        <v>102</v>
      </c>
      <c r="E99" s="20" t="s">
        <v>34</v>
      </c>
      <c r="F99" s="28">
        <f>'Final Output'!K11</f>
        <v>-4.1773779563880883E-2</v>
      </c>
    </row>
    <row r="100" spans="1:6" ht="13.9" x14ac:dyDescent="0.4">
      <c r="A100" s="20" t="s">
        <v>57</v>
      </c>
      <c r="B100" s="20" t="s">
        <v>187</v>
      </c>
      <c r="C100" s="20" t="s">
        <v>188</v>
      </c>
      <c r="D100" s="20" t="s">
        <v>102</v>
      </c>
      <c r="E100" s="20" t="s">
        <v>34</v>
      </c>
      <c r="F100" s="28">
        <f>'Final Output'!K12</f>
        <v>-3.7912815833552369E-2</v>
      </c>
    </row>
    <row r="101" spans="1:6" ht="13.9" x14ac:dyDescent="0.4">
      <c r="A101" s="20" t="s">
        <v>57</v>
      </c>
      <c r="B101" s="20" t="s">
        <v>189</v>
      </c>
      <c r="C101" s="20" t="s">
        <v>190</v>
      </c>
      <c r="D101" s="20" t="s">
        <v>102</v>
      </c>
      <c r="E101" s="20" t="s">
        <v>34</v>
      </c>
      <c r="F101" s="28">
        <f>'Final Output'!K13</f>
        <v>-3.5623914367531956E-2</v>
      </c>
    </row>
    <row r="102" spans="1:6" ht="13.9" x14ac:dyDescent="0.4">
      <c r="A102" s="20" t="s">
        <v>57</v>
      </c>
      <c r="B102" s="20" t="s">
        <v>191</v>
      </c>
      <c r="C102" s="20" t="s">
        <v>192</v>
      </c>
      <c r="D102" s="20" t="s">
        <v>102</v>
      </c>
      <c r="E102" s="20" t="s">
        <v>34</v>
      </c>
      <c r="F102" s="28">
        <f>'Final Output'!K14</f>
        <v>-2.8419468525651321E-2</v>
      </c>
    </row>
    <row r="103" spans="1:6" ht="13.9" x14ac:dyDescent="0.4">
      <c r="A103" s="20" t="s">
        <v>57</v>
      </c>
      <c r="B103" s="20" t="s">
        <v>193</v>
      </c>
      <c r="C103" s="20" t="s">
        <v>194</v>
      </c>
      <c r="D103" s="20" t="s">
        <v>102</v>
      </c>
      <c r="E103" s="20" t="s">
        <v>34</v>
      </c>
      <c r="F103" s="28">
        <f>'Final Output'!K15</f>
        <v>-1.5286447542521703E-2</v>
      </c>
    </row>
    <row r="104" spans="1:6" ht="13.9" x14ac:dyDescent="0.4">
      <c r="A104" s="20" t="s">
        <v>57</v>
      </c>
      <c r="B104" s="20" t="s">
        <v>195</v>
      </c>
      <c r="C104" s="20" t="s">
        <v>196</v>
      </c>
      <c r="D104" s="20" t="s">
        <v>102</v>
      </c>
      <c r="E104" s="20" t="s">
        <v>34</v>
      </c>
      <c r="F104" s="28">
        <f>'Final Output'!K16</f>
        <v>-6.6832871879386607E-3</v>
      </c>
    </row>
    <row r="105" spans="1:6" ht="13.9" x14ac:dyDescent="0.4">
      <c r="A105" s="20" t="s">
        <v>57</v>
      </c>
      <c r="B105" s="20" t="s">
        <v>197</v>
      </c>
      <c r="C105" s="20" t="s">
        <v>198</v>
      </c>
      <c r="D105" s="20" t="s">
        <v>102</v>
      </c>
      <c r="E105" s="20" t="s">
        <v>34</v>
      </c>
      <c r="F105" s="28">
        <f>'Final Output'!K17</f>
        <v>0</v>
      </c>
    </row>
    <row r="106" spans="1:6" ht="13.9" x14ac:dyDescent="0.4">
      <c r="A106" s="20" t="s">
        <v>57</v>
      </c>
      <c r="B106" s="20" t="s">
        <v>199</v>
      </c>
      <c r="C106" s="20" t="s">
        <v>200</v>
      </c>
      <c r="D106" s="20" t="s">
        <v>102</v>
      </c>
      <c r="E106" s="20" t="s">
        <v>34</v>
      </c>
      <c r="F106" s="28">
        <f>'Final Output'!K18</f>
        <v>6.6832871879386607E-3</v>
      </c>
    </row>
    <row r="107" spans="1:6" ht="13.9" x14ac:dyDescent="0.4">
      <c r="A107" s="20" t="s">
        <v>57</v>
      </c>
      <c r="B107" s="20" t="s">
        <v>201</v>
      </c>
      <c r="C107" s="20" t="s">
        <v>202</v>
      </c>
      <c r="D107" s="20" t="s">
        <v>102</v>
      </c>
      <c r="E107" s="20" t="s">
        <v>34</v>
      </c>
      <c r="F107" s="28">
        <f>'Final Output'!K19</f>
        <v>1.5286447542521703E-2</v>
      </c>
    </row>
    <row r="108" spans="1:6" ht="13.9" x14ac:dyDescent="0.4">
      <c r="A108" s="20" t="s">
        <v>57</v>
      </c>
      <c r="B108" s="20" t="s">
        <v>203</v>
      </c>
      <c r="C108" s="20" t="s">
        <v>204</v>
      </c>
      <c r="D108" s="20" t="s">
        <v>102</v>
      </c>
      <c r="E108" s="20" t="s">
        <v>34</v>
      </c>
      <c r="F108" s="28">
        <f>'Final Output'!K20</f>
        <v>2.8419468525651321E-2</v>
      </c>
    </row>
    <row r="109" spans="1:6" ht="13.9" x14ac:dyDescent="0.4">
      <c r="A109" s="20" t="s">
        <v>57</v>
      </c>
      <c r="B109" s="20" t="s">
        <v>205</v>
      </c>
      <c r="C109" s="20" t="s">
        <v>206</v>
      </c>
      <c r="D109" s="20" t="s">
        <v>102</v>
      </c>
      <c r="E109" s="20" t="s">
        <v>34</v>
      </c>
      <c r="F109" s="28">
        <f>'Final Output'!K21</f>
        <v>3.5623914367531956E-2</v>
      </c>
    </row>
    <row r="110" spans="1:6" ht="13.9" x14ac:dyDescent="0.4">
      <c r="A110" s="20" t="s">
        <v>57</v>
      </c>
      <c r="B110" s="20" t="s">
        <v>207</v>
      </c>
      <c r="C110" s="20" t="s">
        <v>208</v>
      </c>
      <c r="D110" s="20" t="s">
        <v>102</v>
      </c>
      <c r="E110" s="20" t="s">
        <v>34</v>
      </c>
      <c r="F110" s="28">
        <f>'Final Output'!K22</f>
        <v>3.7912815833552369E-2</v>
      </c>
    </row>
    <row r="111" spans="1:6" ht="13.9" x14ac:dyDescent="0.4">
      <c r="A111" s="20" t="s">
        <v>57</v>
      </c>
      <c r="B111" s="20" t="s">
        <v>209</v>
      </c>
      <c r="C111" s="20" t="s">
        <v>210</v>
      </c>
      <c r="D111" s="20" t="s">
        <v>102</v>
      </c>
      <c r="E111" s="20" t="s">
        <v>34</v>
      </c>
      <c r="F111" s="28">
        <f>'Final Output'!K23</f>
        <v>4.1773779563880883E-2</v>
      </c>
    </row>
    <row r="112" spans="1:6" ht="13.9" x14ac:dyDescent="0.4">
      <c r="A112" s="20" t="s">
        <v>57</v>
      </c>
      <c r="B112" s="20" t="s">
        <v>211</v>
      </c>
      <c r="C112" s="20" t="s">
        <v>212</v>
      </c>
      <c r="D112" s="20" t="s">
        <v>102</v>
      </c>
      <c r="E112" s="20" t="s">
        <v>34</v>
      </c>
      <c r="F112" s="28">
        <f>'Final Output'!K24</f>
        <v>4.8434415772688172E-2</v>
      </c>
    </row>
    <row r="113" spans="1:6" ht="13.9" x14ac:dyDescent="0.4">
      <c r="A113" s="20" t="s">
        <v>57</v>
      </c>
      <c r="B113" s="20" t="s">
        <v>213</v>
      </c>
      <c r="C113" s="20" t="s">
        <v>214</v>
      </c>
      <c r="D113" s="20" t="s">
        <v>102</v>
      </c>
      <c r="E113" s="20" t="s">
        <v>34</v>
      </c>
      <c r="F113" s="28">
        <f>'Final Output'!K25</f>
        <v>6.5703864011792859E-2</v>
      </c>
    </row>
    <row r="114" spans="1:6" ht="13.9" x14ac:dyDescent="0.4">
      <c r="A114" s="20" t="s">
        <v>57</v>
      </c>
      <c r="B114" s="20" t="s">
        <v>215</v>
      </c>
      <c r="C114" s="20" t="s">
        <v>216</v>
      </c>
      <c r="D114" s="20" t="s">
        <v>102</v>
      </c>
      <c r="E114" s="20" t="s">
        <v>34</v>
      </c>
      <c r="F114" s="28" t="str">
        <f ca="1">CONCATENATE("[…]", TEXT(NOW(),"dd/mm/yyy hh:mm:ss"))</f>
        <v>[…]12/12/2024 16:42:19</v>
      </c>
    </row>
    <row r="115" spans="1:6" ht="13.9" x14ac:dyDescent="0.4">
      <c r="A115" s="20" t="s">
        <v>57</v>
      </c>
      <c r="B115" s="20" t="s">
        <v>217</v>
      </c>
      <c r="C115" s="20" t="s">
        <v>218</v>
      </c>
      <c r="D115" s="20" t="s">
        <v>102</v>
      </c>
      <c r="E115" s="20" t="s">
        <v>34</v>
      </c>
      <c r="F115" s="28" t="str">
        <f ca="1">MID(CELL("filename"),SEARCH("[",CELL("filename"))+1,SEARCH("]",CELL("filename"))-SEARCH("[",CELL("filename"))-1)</f>
        <v>PR24 FD OC13 ODI risk - Feeder Model (Per Capita Consumption and Business Demand).xlsx</v>
      </c>
    </row>
    <row r="116" spans="1:6" ht="13.9" x14ac:dyDescent="0.4">
      <c r="A116" s="20" t="s">
        <v>57</v>
      </c>
      <c r="B116" s="20" t="s">
        <v>219</v>
      </c>
      <c r="C116" s="20" t="s">
        <v>220</v>
      </c>
      <c r="D116" s="20" t="s">
        <v>102</v>
      </c>
      <c r="E116" s="20" t="s">
        <v>34</v>
      </c>
      <c r="F116" s="28" t="str">
        <f>F_Inputs!$E$1</f>
        <v>Run on 06 Dec 2024 15:13</v>
      </c>
    </row>
    <row r="117" spans="1:6" ht="13.9" x14ac:dyDescent="0.4">
      <c r="A117" s="20" t="s">
        <v>57</v>
      </c>
      <c r="B117" s="20" t="s">
        <v>221</v>
      </c>
      <c r="C117" s="20" t="s">
        <v>222</v>
      </c>
      <c r="D117" s="20" t="s">
        <v>102</v>
      </c>
      <c r="E117" s="20" t="s">
        <v>34</v>
      </c>
      <c r="F117" s="28" t="s">
        <v>223</v>
      </c>
    </row>
    <row r="118" spans="1:6" ht="13.9" x14ac:dyDescent="0.4">
      <c r="A118" s="20" t="s">
        <v>47</v>
      </c>
      <c r="B118" s="20" t="s">
        <v>147</v>
      </c>
      <c r="C118" s="20" t="s">
        <v>148</v>
      </c>
      <c r="D118" s="20" t="s">
        <v>102</v>
      </c>
      <c r="E118" s="20" t="s">
        <v>34</v>
      </c>
      <c r="F118" s="28">
        <f>'Final Output'!K27</f>
        <v>-9.679681148616838E-2</v>
      </c>
    </row>
    <row r="119" spans="1:6" ht="13.9" x14ac:dyDescent="0.4">
      <c r="A119" s="20" t="s">
        <v>47</v>
      </c>
      <c r="B119" s="20" t="s">
        <v>149</v>
      </c>
      <c r="C119" s="20" t="s">
        <v>150</v>
      </c>
      <c r="D119" s="20" t="s">
        <v>102</v>
      </c>
      <c r="E119" s="20" t="s">
        <v>34</v>
      </c>
      <c r="F119" s="28">
        <f>'Final Output'!K28</f>
        <v>-8.1541326383880952E-2</v>
      </c>
    </row>
    <row r="120" spans="1:6" ht="13.9" x14ac:dyDescent="0.4">
      <c r="A120" s="20" t="s">
        <v>47</v>
      </c>
      <c r="B120" s="20" t="s">
        <v>151</v>
      </c>
      <c r="C120" s="20" t="s">
        <v>152</v>
      </c>
      <c r="D120" s="20" t="s">
        <v>102</v>
      </c>
      <c r="E120" s="20" t="s">
        <v>34</v>
      </c>
      <c r="F120" s="28">
        <f>'Final Output'!K29</f>
        <v>-7.2635013104052293E-2</v>
      </c>
    </row>
    <row r="121" spans="1:6" ht="13.9" x14ac:dyDescent="0.4">
      <c r="A121" s="20" t="s">
        <v>47</v>
      </c>
      <c r="B121" s="20" t="s">
        <v>153</v>
      </c>
      <c r="C121" s="20" t="s">
        <v>154</v>
      </c>
      <c r="D121" s="20" t="s">
        <v>102</v>
      </c>
      <c r="E121" s="20" t="s">
        <v>34</v>
      </c>
      <c r="F121" s="28">
        <f>'Final Output'!K30</f>
        <v>-5.9656505650614054E-2</v>
      </c>
    </row>
    <row r="122" spans="1:6" ht="13.9" x14ac:dyDescent="0.4">
      <c r="A122" s="20" t="s">
        <v>47</v>
      </c>
      <c r="B122" s="20" t="s">
        <v>155</v>
      </c>
      <c r="C122" s="20" t="s">
        <v>156</v>
      </c>
      <c r="D122" s="20" t="s">
        <v>102</v>
      </c>
      <c r="E122" s="20" t="s">
        <v>34</v>
      </c>
      <c r="F122" s="28">
        <f>'Final Output'!K31</f>
        <v>-5.3265439894555767E-2</v>
      </c>
    </row>
    <row r="123" spans="1:6" ht="13.9" x14ac:dyDescent="0.4">
      <c r="A123" s="20" t="s">
        <v>47</v>
      </c>
      <c r="B123" s="20" t="s">
        <v>157</v>
      </c>
      <c r="C123" s="20" t="s">
        <v>158</v>
      </c>
      <c r="D123" s="20" t="s">
        <v>102</v>
      </c>
      <c r="E123" s="20" t="s">
        <v>34</v>
      </c>
      <c r="F123" s="28">
        <f>'Final Output'!K32</f>
        <v>-3.9710933617870217E-2</v>
      </c>
    </row>
    <row r="124" spans="1:6" ht="13.9" x14ac:dyDescent="0.4">
      <c r="A124" s="20" t="s">
        <v>47</v>
      </c>
      <c r="B124" s="20" t="s">
        <v>159</v>
      </c>
      <c r="C124" s="20" t="s">
        <v>160</v>
      </c>
      <c r="D124" s="20" t="s">
        <v>102</v>
      </c>
      <c r="E124" s="20" t="s">
        <v>34</v>
      </c>
      <c r="F124" s="28">
        <f>'Final Output'!K33</f>
        <v>-2.6502070624940276E-2</v>
      </c>
    </row>
    <row r="125" spans="1:6" ht="13.9" x14ac:dyDescent="0.4">
      <c r="A125" s="20" t="s">
        <v>47</v>
      </c>
      <c r="B125" s="20" t="s">
        <v>161</v>
      </c>
      <c r="C125" s="20" t="s">
        <v>162</v>
      </c>
      <c r="D125" s="20" t="s">
        <v>102</v>
      </c>
      <c r="E125" s="20" t="s">
        <v>34</v>
      </c>
      <c r="F125" s="28">
        <f>'Final Output'!K34</f>
        <v>-1.2207272797456018E-2</v>
      </c>
    </row>
    <row r="126" spans="1:6" ht="13.9" x14ac:dyDescent="0.4">
      <c r="A126" s="20" t="s">
        <v>47</v>
      </c>
      <c r="B126" s="20" t="s">
        <v>163</v>
      </c>
      <c r="C126" s="20" t="s">
        <v>164</v>
      </c>
      <c r="D126" s="20" t="s">
        <v>102</v>
      </c>
      <c r="E126" s="20" t="s">
        <v>34</v>
      </c>
      <c r="F126" s="28">
        <f>'Final Output'!K35</f>
        <v>0</v>
      </c>
    </row>
    <row r="127" spans="1:6" ht="13.9" x14ac:dyDescent="0.4">
      <c r="A127" s="20" t="s">
        <v>47</v>
      </c>
      <c r="B127" s="20" t="s">
        <v>165</v>
      </c>
      <c r="C127" s="20" t="s">
        <v>166</v>
      </c>
      <c r="D127" s="20" t="s">
        <v>102</v>
      </c>
      <c r="E127" s="20" t="s">
        <v>34</v>
      </c>
      <c r="F127" s="28">
        <f>'Final Output'!K36</f>
        <v>1.2207272797456018E-2</v>
      </c>
    </row>
    <row r="128" spans="1:6" ht="13.9" x14ac:dyDescent="0.4">
      <c r="A128" s="20" t="s">
        <v>47</v>
      </c>
      <c r="B128" s="20" t="s">
        <v>167</v>
      </c>
      <c r="C128" s="20" t="s">
        <v>168</v>
      </c>
      <c r="D128" s="20" t="s">
        <v>102</v>
      </c>
      <c r="E128" s="20" t="s">
        <v>34</v>
      </c>
      <c r="F128" s="28">
        <f>'Final Output'!K37</f>
        <v>2.6502070624940276E-2</v>
      </c>
    </row>
    <row r="129" spans="1:6" ht="13.9" x14ac:dyDescent="0.4">
      <c r="A129" s="20" t="s">
        <v>47</v>
      </c>
      <c r="B129" s="20" t="s">
        <v>169</v>
      </c>
      <c r="C129" s="20" t="s">
        <v>170</v>
      </c>
      <c r="D129" s="20" t="s">
        <v>102</v>
      </c>
      <c r="E129" s="20" t="s">
        <v>34</v>
      </c>
      <c r="F129" s="28">
        <f>'Final Output'!K38</f>
        <v>3.9710933617870217E-2</v>
      </c>
    </row>
    <row r="130" spans="1:6" ht="13.9" x14ac:dyDescent="0.4">
      <c r="A130" s="20" t="s">
        <v>47</v>
      </c>
      <c r="B130" s="20" t="s">
        <v>171</v>
      </c>
      <c r="C130" s="20" t="s">
        <v>172</v>
      </c>
      <c r="D130" s="20" t="s">
        <v>102</v>
      </c>
      <c r="E130" s="20" t="s">
        <v>34</v>
      </c>
      <c r="F130" s="28">
        <f>'Final Output'!K39</f>
        <v>5.3265439894555767E-2</v>
      </c>
    </row>
    <row r="131" spans="1:6" ht="13.9" x14ac:dyDescent="0.4">
      <c r="A131" s="20" t="s">
        <v>47</v>
      </c>
      <c r="B131" s="20" t="s">
        <v>173</v>
      </c>
      <c r="C131" s="20" t="s">
        <v>174</v>
      </c>
      <c r="D131" s="20" t="s">
        <v>102</v>
      </c>
      <c r="E131" s="20" t="s">
        <v>34</v>
      </c>
      <c r="F131" s="28">
        <f>'Final Output'!K40</f>
        <v>5.9656505650614054E-2</v>
      </c>
    </row>
    <row r="132" spans="1:6" ht="13.9" x14ac:dyDescent="0.4">
      <c r="A132" s="20" t="s">
        <v>47</v>
      </c>
      <c r="B132" s="20" t="s">
        <v>175</v>
      </c>
      <c r="C132" s="20" t="s">
        <v>176</v>
      </c>
      <c r="D132" s="20" t="s">
        <v>102</v>
      </c>
      <c r="E132" s="20" t="s">
        <v>34</v>
      </c>
      <c r="F132" s="28">
        <f>'Final Output'!K41</f>
        <v>7.2635013104052293E-2</v>
      </c>
    </row>
    <row r="133" spans="1:6" ht="13.9" x14ac:dyDescent="0.4">
      <c r="A133" s="20" t="s">
        <v>47</v>
      </c>
      <c r="B133" s="20" t="s">
        <v>177</v>
      </c>
      <c r="C133" s="20" t="s">
        <v>178</v>
      </c>
      <c r="D133" s="20" t="s">
        <v>102</v>
      </c>
      <c r="E133" s="20" t="s">
        <v>34</v>
      </c>
      <c r="F133" s="28">
        <f>'Final Output'!K42</f>
        <v>8.1541326383880952E-2</v>
      </c>
    </row>
    <row r="134" spans="1:6" ht="13.9" x14ac:dyDescent="0.4">
      <c r="A134" s="20" t="s">
        <v>47</v>
      </c>
      <c r="B134" s="20" t="s">
        <v>179</v>
      </c>
      <c r="C134" s="20" t="s">
        <v>180</v>
      </c>
      <c r="D134" s="20" t="s">
        <v>102</v>
      </c>
      <c r="E134" s="20" t="s">
        <v>34</v>
      </c>
      <c r="F134" s="28">
        <f>'Final Output'!K43</f>
        <v>9.679681148616838E-2</v>
      </c>
    </row>
    <row r="135" spans="1:6" ht="13.9" x14ac:dyDescent="0.4">
      <c r="A135" s="20" t="s">
        <v>47</v>
      </c>
      <c r="B135" s="20" t="s">
        <v>181</v>
      </c>
      <c r="C135" s="20" t="s">
        <v>182</v>
      </c>
      <c r="D135" s="20" t="s">
        <v>102</v>
      </c>
      <c r="E135" s="20" t="s">
        <v>34</v>
      </c>
      <c r="F135" s="28">
        <f>'Final Output'!K9</f>
        <v>-6.5703864011792859E-2</v>
      </c>
    </row>
    <row r="136" spans="1:6" ht="13.9" x14ac:dyDescent="0.4">
      <c r="A136" s="20" t="s">
        <v>47</v>
      </c>
      <c r="B136" s="20" t="s">
        <v>183</v>
      </c>
      <c r="C136" s="20" t="s">
        <v>184</v>
      </c>
      <c r="D136" s="20" t="s">
        <v>102</v>
      </c>
      <c r="E136" s="20" t="s">
        <v>34</v>
      </c>
      <c r="F136" s="28">
        <f>'Final Output'!K10</f>
        <v>-4.8434415772688172E-2</v>
      </c>
    </row>
    <row r="137" spans="1:6" ht="13.9" x14ac:dyDescent="0.4">
      <c r="A137" s="20" t="s">
        <v>47</v>
      </c>
      <c r="B137" s="20" t="s">
        <v>185</v>
      </c>
      <c r="C137" s="20" t="s">
        <v>186</v>
      </c>
      <c r="D137" s="20" t="s">
        <v>102</v>
      </c>
      <c r="E137" s="20" t="s">
        <v>34</v>
      </c>
      <c r="F137" s="28">
        <f>'Final Output'!K11</f>
        <v>-4.1773779563880883E-2</v>
      </c>
    </row>
    <row r="138" spans="1:6" ht="13.9" x14ac:dyDescent="0.4">
      <c r="A138" s="20" t="s">
        <v>47</v>
      </c>
      <c r="B138" s="20" t="s">
        <v>187</v>
      </c>
      <c r="C138" s="20" t="s">
        <v>188</v>
      </c>
      <c r="D138" s="20" t="s">
        <v>102</v>
      </c>
      <c r="E138" s="20" t="s">
        <v>34</v>
      </c>
      <c r="F138" s="28">
        <f>'Final Output'!K12</f>
        <v>-3.7912815833552369E-2</v>
      </c>
    </row>
    <row r="139" spans="1:6" ht="13.9" x14ac:dyDescent="0.4">
      <c r="A139" s="20" t="s">
        <v>47</v>
      </c>
      <c r="B139" s="20" t="s">
        <v>189</v>
      </c>
      <c r="C139" s="20" t="s">
        <v>190</v>
      </c>
      <c r="D139" s="20" t="s">
        <v>102</v>
      </c>
      <c r="E139" s="20" t="s">
        <v>34</v>
      </c>
      <c r="F139" s="28">
        <f>'Final Output'!K13</f>
        <v>-3.5623914367531956E-2</v>
      </c>
    </row>
    <row r="140" spans="1:6" ht="13.9" x14ac:dyDescent="0.4">
      <c r="A140" s="20" t="s">
        <v>47</v>
      </c>
      <c r="B140" s="20" t="s">
        <v>191</v>
      </c>
      <c r="C140" s="20" t="s">
        <v>192</v>
      </c>
      <c r="D140" s="20" t="s">
        <v>102</v>
      </c>
      <c r="E140" s="20" t="s">
        <v>34</v>
      </c>
      <c r="F140" s="28">
        <f>'Final Output'!K14</f>
        <v>-2.8419468525651321E-2</v>
      </c>
    </row>
    <row r="141" spans="1:6" ht="13.9" x14ac:dyDescent="0.4">
      <c r="A141" s="20" t="s">
        <v>47</v>
      </c>
      <c r="B141" s="20" t="s">
        <v>193</v>
      </c>
      <c r="C141" s="20" t="s">
        <v>194</v>
      </c>
      <c r="D141" s="20" t="s">
        <v>102</v>
      </c>
      <c r="E141" s="20" t="s">
        <v>34</v>
      </c>
      <c r="F141" s="28">
        <f>'Final Output'!K15</f>
        <v>-1.5286447542521703E-2</v>
      </c>
    </row>
    <row r="142" spans="1:6" ht="13.9" x14ac:dyDescent="0.4">
      <c r="A142" s="20" t="s">
        <v>47</v>
      </c>
      <c r="B142" s="20" t="s">
        <v>195</v>
      </c>
      <c r="C142" s="20" t="s">
        <v>196</v>
      </c>
      <c r="D142" s="20" t="s">
        <v>102</v>
      </c>
      <c r="E142" s="20" t="s">
        <v>34</v>
      </c>
      <c r="F142" s="28">
        <f>'Final Output'!K16</f>
        <v>-6.6832871879386607E-3</v>
      </c>
    </row>
    <row r="143" spans="1:6" ht="13.9" x14ac:dyDescent="0.4">
      <c r="A143" s="20" t="s">
        <v>47</v>
      </c>
      <c r="B143" s="20" t="s">
        <v>197</v>
      </c>
      <c r="C143" s="20" t="s">
        <v>198</v>
      </c>
      <c r="D143" s="20" t="s">
        <v>102</v>
      </c>
      <c r="E143" s="20" t="s">
        <v>34</v>
      </c>
      <c r="F143" s="28">
        <f>'Final Output'!K17</f>
        <v>0</v>
      </c>
    </row>
    <row r="144" spans="1:6" ht="13.9" x14ac:dyDescent="0.4">
      <c r="A144" s="20" t="s">
        <v>47</v>
      </c>
      <c r="B144" s="20" t="s">
        <v>199</v>
      </c>
      <c r="C144" s="20" t="s">
        <v>200</v>
      </c>
      <c r="D144" s="20" t="s">
        <v>102</v>
      </c>
      <c r="E144" s="20" t="s">
        <v>34</v>
      </c>
      <c r="F144" s="28">
        <f>'Final Output'!K18</f>
        <v>6.6832871879386607E-3</v>
      </c>
    </row>
    <row r="145" spans="1:6" ht="13.9" x14ac:dyDescent="0.4">
      <c r="A145" s="20" t="s">
        <v>47</v>
      </c>
      <c r="B145" s="20" t="s">
        <v>201</v>
      </c>
      <c r="C145" s="20" t="s">
        <v>202</v>
      </c>
      <c r="D145" s="20" t="s">
        <v>102</v>
      </c>
      <c r="E145" s="20" t="s">
        <v>34</v>
      </c>
      <c r="F145" s="28">
        <f>'Final Output'!K19</f>
        <v>1.5286447542521703E-2</v>
      </c>
    </row>
    <row r="146" spans="1:6" ht="13.9" x14ac:dyDescent="0.4">
      <c r="A146" s="20" t="s">
        <v>47</v>
      </c>
      <c r="B146" s="20" t="s">
        <v>203</v>
      </c>
      <c r="C146" s="20" t="s">
        <v>204</v>
      </c>
      <c r="D146" s="20" t="s">
        <v>102</v>
      </c>
      <c r="E146" s="20" t="s">
        <v>34</v>
      </c>
      <c r="F146" s="28">
        <f>'Final Output'!K20</f>
        <v>2.8419468525651321E-2</v>
      </c>
    </row>
    <row r="147" spans="1:6" ht="13.9" x14ac:dyDescent="0.4">
      <c r="A147" s="20" t="s">
        <v>47</v>
      </c>
      <c r="B147" s="20" t="s">
        <v>205</v>
      </c>
      <c r="C147" s="20" t="s">
        <v>206</v>
      </c>
      <c r="D147" s="20" t="s">
        <v>102</v>
      </c>
      <c r="E147" s="20" t="s">
        <v>34</v>
      </c>
      <c r="F147" s="28">
        <f>'Final Output'!K21</f>
        <v>3.5623914367531956E-2</v>
      </c>
    </row>
    <row r="148" spans="1:6" ht="13.9" x14ac:dyDescent="0.4">
      <c r="A148" s="20" t="s">
        <v>47</v>
      </c>
      <c r="B148" s="20" t="s">
        <v>207</v>
      </c>
      <c r="C148" s="20" t="s">
        <v>208</v>
      </c>
      <c r="D148" s="20" t="s">
        <v>102</v>
      </c>
      <c r="E148" s="20" t="s">
        <v>34</v>
      </c>
      <c r="F148" s="28">
        <f>'Final Output'!K22</f>
        <v>3.7912815833552369E-2</v>
      </c>
    </row>
    <row r="149" spans="1:6" ht="13.9" x14ac:dyDescent="0.4">
      <c r="A149" s="20" t="s">
        <v>47</v>
      </c>
      <c r="B149" s="20" t="s">
        <v>209</v>
      </c>
      <c r="C149" s="20" t="s">
        <v>210</v>
      </c>
      <c r="D149" s="20" t="s">
        <v>102</v>
      </c>
      <c r="E149" s="20" t="s">
        <v>34</v>
      </c>
      <c r="F149" s="28">
        <f>'Final Output'!K23</f>
        <v>4.1773779563880883E-2</v>
      </c>
    </row>
    <row r="150" spans="1:6" ht="13.9" x14ac:dyDescent="0.4">
      <c r="A150" s="20" t="s">
        <v>47</v>
      </c>
      <c r="B150" s="20" t="s">
        <v>211</v>
      </c>
      <c r="C150" s="20" t="s">
        <v>212</v>
      </c>
      <c r="D150" s="20" t="s">
        <v>102</v>
      </c>
      <c r="E150" s="20" t="s">
        <v>34</v>
      </c>
      <c r="F150" s="28">
        <f>'Final Output'!K24</f>
        <v>4.8434415772688172E-2</v>
      </c>
    </row>
    <row r="151" spans="1:6" ht="13.9" x14ac:dyDescent="0.4">
      <c r="A151" s="20" t="s">
        <v>47</v>
      </c>
      <c r="B151" s="20" t="s">
        <v>213</v>
      </c>
      <c r="C151" s="20" t="s">
        <v>214</v>
      </c>
      <c r="D151" s="20" t="s">
        <v>102</v>
      </c>
      <c r="E151" s="20" t="s">
        <v>34</v>
      </c>
      <c r="F151" s="28">
        <f>'Final Output'!K25</f>
        <v>6.5703864011792859E-2</v>
      </c>
    </row>
    <row r="152" spans="1:6" ht="13.9" x14ac:dyDescent="0.4">
      <c r="A152" s="20" t="s">
        <v>47</v>
      </c>
      <c r="B152" s="20" t="s">
        <v>215</v>
      </c>
      <c r="C152" s="20" t="s">
        <v>216</v>
      </c>
      <c r="D152" s="20" t="s">
        <v>102</v>
      </c>
      <c r="E152" s="20" t="s">
        <v>34</v>
      </c>
      <c r="F152" s="28" t="str">
        <f ca="1">CONCATENATE("[…]", TEXT(NOW(),"dd/mm/yyy hh:mm:ss"))</f>
        <v>[…]12/12/2024 16:42:19</v>
      </c>
    </row>
    <row r="153" spans="1:6" ht="13.9" x14ac:dyDescent="0.4">
      <c r="A153" s="20" t="s">
        <v>47</v>
      </c>
      <c r="B153" s="20" t="s">
        <v>217</v>
      </c>
      <c r="C153" s="20" t="s">
        <v>218</v>
      </c>
      <c r="D153" s="20" t="s">
        <v>102</v>
      </c>
      <c r="E153" s="20" t="s">
        <v>34</v>
      </c>
      <c r="F153" s="28" t="str">
        <f ca="1">MID(CELL("filename"),SEARCH("[",CELL("filename"))+1,SEARCH("]",CELL("filename"))-SEARCH("[",CELL("filename"))-1)</f>
        <v>PR24 FD OC13 ODI risk - Feeder Model (Per Capita Consumption and Business Demand).xlsx</v>
      </c>
    </row>
    <row r="154" spans="1:6" ht="13.9" x14ac:dyDescent="0.4">
      <c r="A154" s="20" t="s">
        <v>47</v>
      </c>
      <c r="B154" s="20" t="s">
        <v>219</v>
      </c>
      <c r="C154" s="20" t="s">
        <v>220</v>
      </c>
      <c r="D154" s="20" t="s">
        <v>102</v>
      </c>
      <c r="E154" s="20" t="s">
        <v>34</v>
      </c>
      <c r="F154" s="28" t="str">
        <f>F_Inputs!$E$1</f>
        <v>Run on 06 Dec 2024 15:13</v>
      </c>
    </row>
    <row r="155" spans="1:6" ht="13.9" x14ac:dyDescent="0.4">
      <c r="A155" s="20" t="s">
        <v>47</v>
      </c>
      <c r="B155" s="20" t="s">
        <v>221</v>
      </c>
      <c r="C155" s="20" t="s">
        <v>222</v>
      </c>
      <c r="D155" s="20" t="s">
        <v>102</v>
      </c>
      <c r="E155" s="20" t="s">
        <v>34</v>
      </c>
      <c r="F155" s="28" t="s">
        <v>223</v>
      </c>
    </row>
    <row r="156" spans="1:6" ht="13.9" x14ac:dyDescent="0.4">
      <c r="A156" s="20" t="s">
        <v>48</v>
      </c>
      <c r="B156" s="20" t="s">
        <v>147</v>
      </c>
      <c r="C156" s="20" t="s">
        <v>148</v>
      </c>
      <c r="D156" s="20" t="s">
        <v>102</v>
      </c>
      <c r="E156" s="20" t="s">
        <v>34</v>
      </c>
      <c r="F156" s="28">
        <f>'Final Output'!K27</f>
        <v>-9.679681148616838E-2</v>
      </c>
    </row>
    <row r="157" spans="1:6" ht="13.9" x14ac:dyDescent="0.4">
      <c r="A157" s="20" t="s">
        <v>48</v>
      </c>
      <c r="B157" s="20" t="s">
        <v>149</v>
      </c>
      <c r="C157" s="20" t="s">
        <v>150</v>
      </c>
      <c r="D157" s="20" t="s">
        <v>102</v>
      </c>
      <c r="E157" s="20" t="s">
        <v>34</v>
      </c>
      <c r="F157" s="28">
        <f>'Final Output'!K28</f>
        <v>-8.1541326383880952E-2</v>
      </c>
    </row>
    <row r="158" spans="1:6" ht="13.9" x14ac:dyDescent="0.4">
      <c r="A158" s="20" t="s">
        <v>48</v>
      </c>
      <c r="B158" s="20" t="s">
        <v>151</v>
      </c>
      <c r="C158" s="20" t="s">
        <v>152</v>
      </c>
      <c r="D158" s="20" t="s">
        <v>102</v>
      </c>
      <c r="E158" s="20" t="s">
        <v>34</v>
      </c>
      <c r="F158" s="28">
        <f>'Final Output'!K29</f>
        <v>-7.2635013104052293E-2</v>
      </c>
    </row>
    <row r="159" spans="1:6" ht="13.9" x14ac:dyDescent="0.4">
      <c r="A159" s="20" t="s">
        <v>48</v>
      </c>
      <c r="B159" s="20" t="s">
        <v>153</v>
      </c>
      <c r="C159" s="20" t="s">
        <v>154</v>
      </c>
      <c r="D159" s="20" t="s">
        <v>102</v>
      </c>
      <c r="E159" s="20" t="s">
        <v>34</v>
      </c>
      <c r="F159" s="28">
        <f>'Final Output'!K30</f>
        <v>-5.9656505650614054E-2</v>
      </c>
    </row>
    <row r="160" spans="1:6" ht="13.9" x14ac:dyDescent="0.4">
      <c r="A160" s="20" t="s">
        <v>48</v>
      </c>
      <c r="B160" s="20" t="s">
        <v>155</v>
      </c>
      <c r="C160" s="20" t="s">
        <v>156</v>
      </c>
      <c r="D160" s="20" t="s">
        <v>102</v>
      </c>
      <c r="E160" s="20" t="s">
        <v>34</v>
      </c>
      <c r="F160" s="28">
        <f>'Final Output'!K31</f>
        <v>-5.3265439894555767E-2</v>
      </c>
    </row>
    <row r="161" spans="1:6" ht="13.9" x14ac:dyDescent="0.4">
      <c r="A161" s="20" t="s">
        <v>48</v>
      </c>
      <c r="B161" s="20" t="s">
        <v>157</v>
      </c>
      <c r="C161" s="20" t="s">
        <v>158</v>
      </c>
      <c r="D161" s="20" t="s">
        <v>102</v>
      </c>
      <c r="E161" s="20" t="s">
        <v>34</v>
      </c>
      <c r="F161" s="28">
        <f>'Final Output'!K32</f>
        <v>-3.9710933617870217E-2</v>
      </c>
    </row>
    <row r="162" spans="1:6" ht="13.9" x14ac:dyDescent="0.4">
      <c r="A162" s="20" t="s">
        <v>48</v>
      </c>
      <c r="B162" s="20" t="s">
        <v>159</v>
      </c>
      <c r="C162" s="20" t="s">
        <v>160</v>
      </c>
      <c r="D162" s="20" t="s">
        <v>102</v>
      </c>
      <c r="E162" s="20" t="s">
        <v>34</v>
      </c>
      <c r="F162" s="28">
        <f>'Final Output'!K33</f>
        <v>-2.6502070624940276E-2</v>
      </c>
    </row>
    <row r="163" spans="1:6" ht="13.9" x14ac:dyDescent="0.4">
      <c r="A163" s="20" t="s">
        <v>48</v>
      </c>
      <c r="B163" s="20" t="s">
        <v>161</v>
      </c>
      <c r="C163" s="20" t="s">
        <v>162</v>
      </c>
      <c r="D163" s="20" t="s">
        <v>102</v>
      </c>
      <c r="E163" s="20" t="s">
        <v>34</v>
      </c>
      <c r="F163" s="28">
        <f>'Final Output'!K34</f>
        <v>-1.2207272797456018E-2</v>
      </c>
    </row>
    <row r="164" spans="1:6" ht="13.9" x14ac:dyDescent="0.4">
      <c r="A164" s="20" t="s">
        <v>48</v>
      </c>
      <c r="B164" s="20" t="s">
        <v>163</v>
      </c>
      <c r="C164" s="20" t="s">
        <v>164</v>
      </c>
      <c r="D164" s="20" t="s">
        <v>102</v>
      </c>
      <c r="E164" s="20" t="s">
        <v>34</v>
      </c>
      <c r="F164" s="28">
        <f>'Final Output'!K35</f>
        <v>0</v>
      </c>
    </row>
    <row r="165" spans="1:6" ht="13.9" x14ac:dyDescent="0.4">
      <c r="A165" s="20" t="s">
        <v>48</v>
      </c>
      <c r="B165" s="20" t="s">
        <v>165</v>
      </c>
      <c r="C165" s="20" t="s">
        <v>166</v>
      </c>
      <c r="D165" s="20" t="s">
        <v>102</v>
      </c>
      <c r="E165" s="20" t="s">
        <v>34</v>
      </c>
      <c r="F165" s="28">
        <f>'Final Output'!K36</f>
        <v>1.2207272797456018E-2</v>
      </c>
    </row>
    <row r="166" spans="1:6" ht="13.9" x14ac:dyDescent="0.4">
      <c r="A166" s="20" t="s">
        <v>48</v>
      </c>
      <c r="B166" s="20" t="s">
        <v>167</v>
      </c>
      <c r="C166" s="20" t="s">
        <v>168</v>
      </c>
      <c r="D166" s="20" t="s">
        <v>102</v>
      </c>
      <c r="E166" s="20" t="s">
        <v>34</v>
      </c>
      <c r="F166" s="28">
        <f>'Final Output'!K37</f>
        <v>2.6502070624940276E-2</v>
      </c>
    </row>
    <row r="167" spans="1:6" ht="13.9" x14ac:dyDescent="0.4">
      <c r="A167" s="20" t="s">
        <v>48</v>
      </c>
      <c r="B167" s="20" t="s">
        <v>169</v>
      </c>
      <c r="C167" s="20" t="s">
        <v>170</v>
      </c>
      <c r="D167" s="20" t="s">
        <v>102</v>
      </c>
      <c r="E167" s="20" t="s">
        <v>34</v>
      </c>
      <c r="F167" s="28">
        <f>'Final Output'!K38</f>
        <v>3.9710933617870217E-2</v>
      </c>
    </row>
    <row r="168" spans="1:6" ht="13.9" x14ac:dyDescent="0.4">
      <c r="A168" s="20" t="s">
        <v>48</v>
      </c>
      <c r="B168" s="20" t="s">
        <v>171</v>
      </c>
      <c r="C168" s="20" t="s">
        <v>172</v>
      </c>
      <c r="D168" s="20" t="s">
        <v>102</v>
      </c>
      <c r="E168" s="20" t="s">
        <v>34</v>
      </c>
      <c r="F168" s="28">
        <f>'Final Output'!K39</f>
        <v>5.3265439894555767E-2</v>
      </c>
    </row>
    <row r="169" spans="1:6" ht="13.9" x14ac:dyDescent="0.4">
      <c r="A169" s="20" t="s">
        <v>48</v>
      </c>
      <c r="B169" s="20" t="s">
        <v>173</v>
      </c>
      <c r="C169" s="20" t="s">
        <v>174</v>
      </c>
      <c r="D169" s="20" t="s">
        <v>102</v>
      </c>
      <c r="E169" s="20" t="s">
        <v>34</v>
      </c>
      <c r="F169" s="28">
        <f>'Final Output'!K40</f>
        <v>5.9656505650614054E-2</v>
      </c>
    </row>
    <row r="170" spans="1:6" ht="13.9" x14ac:dyDescent="0.4">
      <c r="A170" s="20" t="s">
        <v>48</v>
      </c>
      <c r="B170" s="20" t="s">
        <v>175</v>
      </c>
      <c r="C170" s="20" t="s">
        <v>176</v>
      </c>
      <c r="D170" s="20" t="s">
        <v>102</v>
      </c>
      <c r="E170" s="20" t="s">
        <v>34</v>
      </c>
      <c r="F170" s="28">
        <f>'Final Output'!K41</f>
        <v>7.2635013104052293E-2</v>
      </c>
    </row>
    <row r="171" spans="1:6" ht="13.9" x14ac:dyDescent="0.4">
      <c r="A171" s="20" t="s">
        <v>48</v>
      </c>
      <c r="B171" s="20" t="s">
        <v>177</v>
      </c>
      <c r="C171" s="20" t="s">
        <v>178</v>
      </c>
      <c r="D171" s="20" t="s">
        <v>102</v>
      </c>
      <c r="E171" s="20" t="s">
        <v>34</v>
      </c>
      <c r="F171" s="28">
        <f>'Final Output'!K42</f>
        <v>8.1541326383880952E-2</v>
      </c>
    </row>
    <row r="172" spans="1:6" ht="13.9" x14ac:dyDescent="0.4">
      <c r="A172" s="20" t="s">
        <v>48</v>
      </c>
      <c r="B172" s="20" t="s">
        <v>179</v>
      </c>
      <c r="C172" s="20" t="s">
        <v>180</v>
      </c>
      <c r="D172" s="20" t="s">
        <v>102</v>
      </c>
      <c r="E172" s="20" t="s">
        <v>34</v>
      </c>
      <c r="F172" s="28">
        <f>'Final Output'!K43</f>
        <v>9.679681148616838E-2</v>
      </c>
    </row>
    <row r="173" spans="1:6" ht="13.9" x14ac:dyDescent="0.4">
      <c r="A173" s="20" t="s">
        <v>48</v>
      </c>
      <c r="B173" s="20" t="s">
        <v>181</v>
      </c>
      <c r="C173" s="20" t="s">
        <v>182</v>
      </c>
      <c r="D173" s="20" t="s">
        <v>102</v>
      </c>
      <c r="E173" s="20" t="s">
        <v>34</v>
      </c>
      <c r="F173" s="28">
        <f>'Final Output'!K9</f>
        <v>-6.5703864011792859E-2</v>
      </c>
    </row>
    <row r="174" spans="1:6" ht="13.9" x14ac:dyDescent="0.4">
      <c r="A174" s="20" t="s">
        <v>48</v>
      </c>
      <c r="B174" s="20" t="s">
        <v>183</v>
      </c>
      <c r="C174" s="20" t="s">
        <v>184</v>
      </c>
      <c r="D174" s="20" t="s">
        <v>102</v>
      </c>
      <c r="E174" s="20" t="s">
        <v>34</v>
      </c>
      <c r="F174" s="28">
        <f>'Final Output'!K10</f>
        <v>-4.8434415772688172E-2</v>
      </c>
    </row>
    <row r="175" spans="1:6" ht="13.9" x14ac:dyDescent="0.4">
      <c r="A175" s="20" t="s">
        <v>48</v>
      </c>
      <c r="B175" s="20" t="s">
        <v>185</v>
      </c>
      <c r="C175" s="20" t="s">
        <v>186</v>
      </c>
      <c r="D175" s="20" t="s">
        <v>102</v>
      </c>
      <c r="E175" s="20" t="s">
        <v>34</v>
      </c>
      <c r="F175" s="28">
        <f>'Final Output'!K11</f>
        <v>-4.1773779563880883E-2</v>
      </c>
    </row>
    <row r="176" spans="1:6" ht="13.9" x14ac:dyDescent="0.4">
      <c r="A176" s="20" t="s">
        <v>48</v>
      </c>
      <c r="B176" s="20" t="s">
        <v>187</v>
      </c>
      <c r="C176" s="20" t="s">
        <v>188</v>
      </c>
      <c r="D176" s="20" t="s">
        <v>102</v>
      </c>
      <c r="E176" s="20" t="s">
        <v>34</v>
      </c>
      <c r="F176" s="28">
        <f>'Final Output'!K12</f>
        <v>-3.7912815833552369E-2</v>
      </c>
    </row>
    <row r="177" spans="1:6" ht="13.9" x14ac:dyDescent="0.4">
      <c r="A177" s="20" t="s">
        <v>48</v>
      </c>
      <c r="B177" s="20" t="s">
        <v>189</v>
      </c>
      <c r="C177" s="20" t="s">
        <v>190</v>
      </c>
      <c r="D177" s="20" t="s">
        <v>102</v>
      </c>
      <c r="E177" s="20" t="s">
        <v>34</v>
      </c>
      <c r="F177" s="28">
        <f>'Final Output'!K13</f>
        <v>-3.5623914367531956E-2</v>
      </c>
    </row>
    <row r="178" spans="1:6" ht="13.9" x14ac:dyDescent="0.4">
      <c r="A178" s="20" t="s">
        <v>48</v>
      </c>
      <c r="B178" s="20" t="s">
        <v>191</v>
      </c>
      <c r="C178" s="20" t="s">
        <v>192</v>
      </c>
      <c r="D178" s="20" t="s">
        <v>102</v>
      </c>
      <c r="E178" s="20" t="s">
        <v>34</v>
      </c>
      <c r="F178" s="28">
        <f>'Final Output'!K14</f>
        <v>-2.8419468525651321E-2</v>
      </c>
    </row>
    <row r="179" spans="1:6" ht="13.9" x14ac:dyDescent="0.4">
      <c r="A179" s="20" t="s">
        <v>48</v>
      </c>
      <c r="B179" s="20" t="s">
        <v>193</v>
      </c>
      <c r="C179" s="20" t="s">
        <v>194</v>
      </c>
      <c r="D179" s="20" t="s">
        <v>102</v>
      </c>
      <c r="E179" s="20" t="s">
        <v>34</v>
      </c>
      <c r="F179" s="28">
        <f>'Final Output'!K15</f>
        <v>-1.5286447542521703E-2</v>
      </c>
    </row>
    <row r="180" spans="1:6" ht="13.9" x14ac:dyDescent="0.4">
      <c r="A180" s="20" t="s">
        <v>48</v>
      </c>
      <c r="B180" s="20" t="s">
        <v>195</v>
      </c>
      <c r="C180" s="20" t="s">
        <v>196</v>
      </c>
      <c r="D180" s="20" t="s">
        <v>102</v>
      </c>
      <c r="E180" s="20" t="s">
        <v>34</v>
      </c>
      <c r="F180" s="28">
        <f>'Final Output'!K16</f>
        <v>-6.6832871879386607E-3</v>
      </c>
    </row>
    <row r="181" spans="1:6" ht="13.9" x14ac:dyDescent="0.4">
      <c r="A181" s="20" t="s">
        <v>48</v>
      </c>
      <c r="B181" s="20" t="s">
        <v>197</v>
      </c>
      <c r="C181" s="20" t="s">
        <v>198</v>
      </c>
      <c r="D181" s="20" t="s">
        <v>102</v>
      </c>
      <c r="E181" s="20" t="s">
        <v>34</v>
      </c>
      <c r="F181" s="28">
        <f>'Final Output'!K17</f>
        <v>0</v>
      </c>
    </row>
    <row r="182" spans="1:6" ht="13.9" x14ac:dyDescent="0.4">
      <c r="A182" s="20" t="s">
        <v>48</v>
      </c>
      <c r="B182" s="20" t="s">
        <v>199</v>
      </c>
      <c r="C182" s="20" t="s">
        <v>200</v>
      </c>
      <c r="D182" s="20" t="s">
        <v>102</v>
      </c>
      <c r="E182" s="20" t="s">
        <v>34</v>
      </c>
      <c r="F182" s="28">
        <f>'Final Output'!K18</f>
        <v>6.6832871879386607E-3</v>
      </c>
    </row>
    <row r="183" spans="1:6" ht="13.9" x14ac:dyDescent="0.4">
      <c r="A183" s="20" t="s">
        <v>48</v>
      </c>
      <c r="B183" s="20" t="s">
        <v>201</v>
      </c>
      <c r="C183" s="20" t="s">
        <v>202</v>
      </c>
      <c r="D183" s="20" t="s">
        <v>102</v>
      </c>
      <c r="E183" s="20" t="s">
        <v>34</v>
      </c>
      <c r="F183" s="28">
        <f>'Final Output'!K19</f>
        <v>1.5286447542521703E-2</v>
      </c>
    </row>
    <row r="184" spans="1:6" ht="13.9" x14ac:dyDescent="0.4">
      <c r="A184" s="20" t="s">
        <v>48</v>
      </c>
      <c r="B184" s="20" t="s">
        <v>203</v>
      </c>
      <c r="C184" s="20" t="s">
        <v>204</v>
      </c>
      <c r="D184" s="20" t="s">
        <v>102</v>
      </c>
      <c r="E184" s="20" t="s">
        <v>34</v>
      </c>
      <c r="F184" s="28">
        <f>'Final Output'!K20</f>
        <v>2.8419468525651321E-2</v>
      </c>
    </row>
    <row r="185" spans="1:6" ht="13.9" x14ac:dyDescent="0.4">
      <c r="A185" s="20" t="s">
        <v>48</v>
      </c>
      <c r="B185" s="20" t="s">
        <v>205</v>
      </c>
      <c r="C185" s="20" t="s">
        <v>206</v>
      </c>
      <c r="D185" s="20" t="s">
        <v>102</v>
      </c>
      <c r="E185" s="20" t="s">
        <v>34</v>
      </c>
      <c r="F185" s="28">
        <f>'Final Output'!K21</f>
        <v>3.5623914367531956E-2</v>
      </c>
    </row>
    <row r="186" spans="1:6" ht="13.9" x14ac:dyDescent="0.4">
      <c r="A186" s="20" t="s">
        <v>48</v>
      </c>
      <c r="B186" s="20" t="s">
        <v>207</v>
      </c>
      <c r="C186" s="20" t="s">
        <v>208</v>
      </c>
      <c r="D186" s="20" t="s">
        <v>102</v>
      </c>
      <c r="E186" s="20" t="s">
        <v>34</v>
      </c>
      <c r="F186" s="28">
        <f>'Final Output'!K22</f>
        <v>3.7912815833552369E-2</v>
      </c>
    </row>
    <row r="187" spans="1:6" ht="13.9" x14ac:dyDescent="0.4">
      <c r="A187" s="20" t="s">
        <v>48</v>
      </c>
      <c r="B187" s="20" t="s">
        <v>209</v>
      </c>
      <c r="C187" s="20" t="s">
        <v>210</v>
      </c>
      <c r="D187" s="20" t="s">
        <v>102</v>
      </c>
      <c r="E187" s="20" t="s">
        <v>34</v>
      </c>
      <c r="F187" s="28">
        <f>'Final Output'!K23</f>
        <v>4.1773779563880883E-2</v>
      </c>
    </row>
    <row r="188" spans="1:6" ht="13.9" x14ac:dyDescent="0.4">
      <c r="A188" s="20" t="s">
        <v>48</v>
      </c>
      <c r="B188" s="20" t="s">
        <v>211</v>
      </c>
      <c r="C188" s="20" t="s">
        <v>212</v>
      </c>
      <c r="D188" s="20" t="s">
        <v>102</v>
      </c>
      <c r="E188" s="20" t="s">
        <v>34</v>
      </c>
      <c r="F188" s="28">
        <f>'Final Output'!K24</f>
        <v>4.8434415772688172E-2</v>
      </c>
    </row>
    <row r="189" spans="1:6" ht="13.9" x14ac:dyDescent="0.4">
      <c r="A189" s="20" t="s">
        <v>48</v>
      </c>
      <c r="B189" s="20" t="s">
        <v>213</v>
      </c>
      <c r="C189" s="20" t="s">
        <v>214</v>
      </c>
      <c r="D189" s="20" t="s">
        <v>102</v>
      </c>
      <c r="E189" s="20" t="s">
        <v>34</v>
      </c>
      <c r="F189" s="28">
        <f>'Final Output'!K25</f>
        <v>6.5703864011792859E-2</v>
      </c>
    </row>
    <row r="190" spans="1:6" ht="13.9" x14ac:dyDescent="0.4">
      <c r="A190" s="20" t="s">
        <v>48</v>
      </c>
      <c r="B190" s="20" t="s">
        <v>215</v>
      </c>
      <c r="C190" s="20" t="s">
        <v>216</v>
      </c>
      <c r="D190" s="20" t="s">
        <v>102</v>
      </c>
      <c r="E190" s="20" t="s">
        <v>34</v>
      </c>
      <c r="F190" s="28" t="str">
        <f ca="1">CONCATENATE("[…]", TEXT(NOW(),"dd/mm/yyy hh:mm:ss"))</f>
        <v>[…]12/12/2024 16:42:19</v>
      </c>
    </row>
    <row r="191" spans="1:6" ht="13.9" x14ac:dyDescent="0.4">
      <c r="A191" s="20" t="s">
        <v>48</v>
      </c>
      <c r="B191" s="20" t="s">
        <v>217</v>
      </c>
      <c r="C191" s="20" t="s">
        <v>218</v>
      </c>
      <c r="D191" s="20" t="s">
        <v>102</v>
      </c>
      <c r="E191" s="20" t="s">
        <v>34</v>
      </c>
      <c r="F191" s="28" t="str">
        <f ca="1">MID(CELL("filename"),SEARCH("[",CELL("filename"))+1,SEARCH("]",CELL("filename"))-SEARCH("[",CELL("filename"))-1)</f>
        <v>PR24 FD OC13 ODI risk - Feeder Model (Per Capita Consumption and Business Demand).xlsx</v>
      </c>
    </row>
    <row r="192" spans="1:6" ht="13.9" x14ac:dyDescent="0.4">
      <c r="A192" s="20" t="s">
        <v>48</v>
      </c>
      <c r="B192" s="20" t="s">
        <v>219</v>
      </c>
      <c r="C192" s="20" t="s">
        <v>220</v>
      </c>
      <c r="D192" s="20" t="s">
        <v>102</v>
      </c>
      <c r="E192" s="20" t="s">
        <v>34</v>
      </c>
      <c r="F192" s="28" t="str">
        <f>F_Inputs!$E$1</f>
        <v>Run on 06 Dec 2024 15:13</v>
      </c>
    </row>
    <row r="193" spans="1:6" ht="13.9" x14ac:dyDescent="0.4">
      <c r="A193" s="20" t="s">
        <v>48</v>
      </c>
      <c r="B193" s="20" t="s">
        <v>221</v>
      </c>
      <c r="C193" s="20" t="s">
        <v>222</v>
      </c>
      <c r="D193" s="20" t="s">
        <v>102</v>
      </c>
      <c r="E193" s="20" t="s">
        <v>34</v>
      </c>
      <c r="F193" s="28" t="s">
        <v>223</v>
      </c>
    </row>
    <row r="194" spans="1:6" ht="13.9" x14ac:dyDescent="0.4">
      <c r="A194" s="20" t="s">
        <v>53</v>
      </c>
      <c r="B194" s="20" t="s">
        <v>147</v>
      </c>
      <c r="C194" s="20" t="s">
        <v>148</v>
      </c>
      <c r="D194" s="20" t="s">
        <v>102</v>
      </c>
      <c r="E194" s="20" t="s">
        <v>34</v>
      </c>
      <c r="F194" s="28">
        <f>'Final Output'!K27</f>
        <v>-9.679681148616838E-2</v>
      </c>
    </row>
    <row r="195" spans="1:6" ht="13.9" x14ac:dyDescent="0.4">
      <c r="A195" s="20" t="s">
        <v>53</v>
      </c>
      <c r="B195" s="20" t="s">
        <v>149</v>
      </c>
      <c r="C195" s="20" t="s">
        <v>150</v>
      </c>
      <c r="D195" s="20" t="s">
        <v>102</v>
      </c>
      <c r="E195" s="20" t="s">
        <v>34</v>
      </c>
      <c r="F195" s="28">
        <f>'Final Output'!K28</f>
        <v>-8.1541326383880952E-2</v>
      </c>
    </row>
    <row r="196" spans="1:6" ht="13.9" x14ac:dyDescent="0.4">
      <c r="A196" s="20" t="s">
        <v>53</v>
      </c>
      <c r="B196" s="20" t="s">
        <v>151</v>
      </c>
      <c r="C196" s="20" t="s">
        <v>152</v>
      </c>
      <c r="D196" s="20" t="s">
        <v>102</v>
      </c>
      <c r="E196" s="20" t="s">
        <v>34</v>
      </c>
      <c r="F196" s="28">
        <f>'Final Output'!K29</f>
        <v>-7.2635013104052293E-2</v>
      </c>
    </row>
    <row r="197" spans="1:6" ht="13.9" x14ac:dyDescent="0.4">
      <c r="A197" s="20" t="s">
        <v>53</v>
      </c>
      <c r="B197" s="20" t="s">
        <v>153</v>
      </c>
      <c r="C197" s="20" t="s">
        <v>154</v>
      </c>
      <c r="D197" s="20" t="s">
        <v>102</v>
      </c>
      <c r="E197" s="20" t="s">
        <v>34</v>
      </c>
      <c r="F197" s="28">
        <f>'Final Output'!K30</f>
        <v>-5.9656505650614054E-2</v>
      </c>
    </row>
    <row r="198" spans="1:6" ht="13.9" x14ac:dyDescent="0.4">
      <c r="A198" s="20" t="s">
        <v>53</v>
      </c>
      <c r="B198" s="20" t="s">
        <v>155</v>
      </c>
      <c r="C198" s="20" t="s">
        <v>156</v>
      </c>
      <c r="D198" s="20" t="s">
        <v>102</v>
      </c>
      <c r="E198" s="20" t="s">
        <v>34</v>
      </c>
      <c r="F198" s="28">
        <f>'Final Output'!K31</f>
        <v>-5.3265439894555767E-2</v>
      </c>
    </row>
    <row r="199" spans="1:6" ht="13.9" x14ac:dyDescent="0.4">
      <c r="A199" s="20" t="s">
        <v>53</v>
      </c>
      <c r="B199" s="20" t="s">
        <v>157</v>
      </c>
      <c r="C199" s="20" t="s">
        <v>158</v>
      </c>
      <c r="D199" s="20" t="s">
        <v>102</v>
      </c>
      <c r="E199" s="20" t="s">
        <v>34</v>
      </c>
      <c r="F199" s="28">
        <f>'Final Output'!K32</f>
        <v>-3.9710933617870217E-2</v>
      </c>
    </row>
    <row r="200" spans="1:6" ht="13.9" x14ac:dyDescent="0.4">
      <c r="A200" s="20" t="s">
        <v>53</v>
      </c>
      <c r="B200" s="20" t="s">
        <v>159</v>
      </c>
      <c r="C200" s="20" t="s">
        <v>160</v>
      </c>
      <c r="D200" s="20" t="s">
        <v>102</v>
      </c>
      <c r="E200" s="20" t="s">
        <v>34</v>
      </c>
      <c r="F200" s="28">
        <f>'Final Output'!K33</f>
        <v>-2.6502070624940276E-2</v>
      </c>
    </row>
    <row r="201" spans="1:6" ht="13.9" x14ac:dyDescent="0.4">
      <c r="A201" s="20" t="s">
        <v>53</v>
      </c>
      <c r="B201" s="20" t="s">
        <v>161</v>
      </c>
      <c r="C201" s="20" t="s">
        <v>162</v>
      </c>
      <c r="D201" s="20" t="s">
        <v>102</v>
      </c>
      <c r="E201" s="20" t="s">
        <v>34</v>
      </c>
      <c r="F201" s="28">
        <f>'Final Output'!K34</f>
        <v>-1.2207272797456018E-2</v>
      </c>
    </row>
    <row r="202" spans="1:6" ht="13.9" x14ac:dyDescent="0.4">
      <c r="A202" s="20" t="s">
        <v>53</v>
      </c>
      <c r="B202" s="20" t="s">
        <v>163</v>
      </c>
      <c r="C202" s="20" t="s">
        <v>164</v>
      </c>
      <c r="D202" s="20" t="s">
        <v>102</v>
      </c>
      <c r="E202" s="20" t="s">
        <v>34</v>
      </c>
      <c r="F202" s="28">
        <f>'Final Output'!K35</f>
        <v>0</v>
      </c>
    </row>
    <row r="203" spans="1:6" ht="13.9" x14ac:dyDescent="0.4">
      <c r="A203" s="20" t="s">
        <v>53</v>
      </c>
      <c r="B203" s="20" t="s">
        <v>165</v>
      </c>
      <c r="C203" s="20" t="s">
        <v>166</v>
      </c>
      <c r="D203" s="20" t="s">
        <v>102</v>
      </c>
      <c r="E203" s="20" t="s">
        <v>34</v>
      </c>
      <c r="F203" s="28">
        <f>'Final Output'!K36</f>
        <v>1.2207272797456018E-2</v>
      </c>
    </row>
    <row r="204" spans="1:6" ht="13.9" x14ac:dyDescent="0.4">
      <c r="A204" s="20" t="s">
        <v>53</v>
      </c>
      <c r="B204" s="20" t="s">
        <v>167</v>
      </c>
      <c r="C204" s="20" t="s">
        <v>168</v>
      </c>
      <c r="D204" s="20" t="s">
        <v>102</v>
      </c>
      <c r="E204" s="20" t="s">
        <v>34</v>
      </c>
      <c r="F204" s="28">
        <f>'Final Output'!K37</f>
        <v>2.6502070624940276E-2</v>
      </c>
    </row>
    <row r="205" spans="1:6" ht="13.9" x14ac:dyDescent="0.4">
      <c r="A205" s="20" t="s">
        <v>53</v>
      </c>
      <c r="B205" s="20" t="s">
        <v>169</v>
      </c>
      <c r="C205" s="20" t="s">
        <v>170</v>
      </c>
      <c r="D205" s="20" t="s">
        <v>102</v>
      </c>
      <c r="E205" s="20" t="s">
        <v>34</v>
      </c>
      <c r="F205" s="28">
        <f>'Final Output'!K38</f>
        <v>3.9710933617870217E-2</v>
      </c>
    </row>
    <row r="206" spans="1:6" ht="13.9" x14ac:dyDescent="0.4">
      <c r="A206" s="20" t="s">
        <v>53</v>
      </c>
      <c r="B206" s="20" t="s">
        <v>171</v>
      </c>
      <c r="C206" s="20" t="s">
        <v>172</v>
      </c>
      <c r="D206" s="20" t="s">
        <v>102</v>
      </c>
      <c r="E206" s="20" t="s">
        <v>34</v>
      </c>
      <c r="F206" s="28">
        <f>'Final Output'!K39</f>
        <v>5.3265439894555767E-2</v>
      </c>
    </row>
    <row r="207" spans="1:6" ht="13.9" x14ac:dyDescent="0.4">
      <c r="A207" s="20" t="s">
        <v>53</v>
      </c>
      <c r="B207" s="20" t="s">
        <v>173</v>
      </c>
      <c r="C207" s="20" t="s">
        <v>174</v>
      </c>
      <c r="D207" s="20" t="s">
        <v>102</v>
      </c>
      <c r="E207" s="20" t="s">
        <v>34</v>
      </c>
      <c r="F207" s="28">
        <f>'Final Output'!K40</f>
        <v>5.9656505650614054E-2</v>
      </c>
    </row>
    <row r="208" spans="1:6" ht="13.9" x14ac:dyDescent="0.4">
      <c r="A208" s="20" t="s">
        <v>53</v>
      </c>
      <c r="B208" s="20" t="s">
        <v>175</v>
      </c>
      <c r="C208" s="20" t="s">
        <v>176</v>
      </c>
      <c r="D208" s="20" t="s">
        <v>102</v>
      </c>
      <c r="E208" s="20" t="s">
        <v>34</v>
      </c>
      <c r="F208" s="28">
        <f>'Final Output'!K41</f>
        <v>7.2635013104052293E-2</v>
      </c>
    </row>
    <row r="209" spans="1:6" ht="13.9" x14ac:dyDescent="0.4">
      <c r="A209" s="20" t="s">
        <v>53</v>
      </c>
      <c r="B209" s="20" t="s">
        <v>177</v>
      </c>
      <c r="C209" s="20" t="s">
        <v>178</v>
      </c>
      <c r="D209" s="20" t="s">
        <v>102</v>
      </c>
      <c r="E209" s="20" t="s">
        <v>34</v>
      </c>
      <c r="F209" s="28">
        <f>'Final Output'!K42</f>
        <v>8.1541326383880952E-2</v>
      </c>
    </row>
    <row r="210" spans="1:6" ht="13.9" x14ac:dyDescent="0.4">
      <c r="A210" s="20" t="s">
        <v>53</v>
      </c>
      <c r="B210" s="20" t="s">
        <v>179</v>
      </c>
      <c r="C210" s="20" t="s">
        <v>180</v>
      </c>
      <c r="D210" s="20" t="s">
        <v>102</v>
      </c>
      <c r="E210" s="20" t="s">
        <v>34</v>
      </c>
      <c r="F210" s="28">
        <f>'Final Output'!K43</f>
        <v>9.679681148616838E-2</v>
      </c>
    </row>
    <row r="211" spans="1:6" ht="13.9" x14ac:dyDescent="0.4">
      <c r="A211" s="20" t="s">
        <v>53</v>
      </c>
      <c r="B211" s="20" t="s">
        <v>181</v>
      </c>
      <c r="C211" s="20" t="s">
        <v>182</v>
      </c>
      <c r="D211" s="20" t="s">
        <v>102</v>
      </c>
      <c r="E211" s="20" t="s">
        <v>34</v>
      </c>
      <c r="F211" s="28">
        <f>'Final Output'!K9</f>
        <v>-6.5703864011792859E-2</v>
      </c>
    </row>
    <row r="212" spans="1:6" ht="13.9" x14ac:dyDescent="0.4">
      <c r="A212" s="20" t="s">
        <v>53</v>
      </c>
      <c r="B212" s="20" t="s">
        <v>183</v>
      </c>
      <c r="C212" s="20" t="s">
        <v>184</v>
      </c>
      <c r="D212" s="20" t="s">
        <v>102</v>
      </c>
      <c r="E212" s="20" t="s">
        <v>34</v>
      </c>
      <c r="F212" s="28">
        <f>'Final Output'!K10</f>
        <v>-4.8434415772688172E-2</v>
      </c>
    </row>
    <row r="213" spans="1:6" ht="13.9" x14ac:dyDescent="0.4">
      <c r="A213" s="20" t="s">
        <v>53</v>
      </c>
      <c r="B213" s="20" t="s">
        <v>185</v>
      </c>
      <c r="C213" s="20" t="s">
        <v>186</v>
      </c>
      <c r="D213" s="20" t="s">
        <v>102</v>
      </c>
      <c r="E213" s="20" t="s">
        <v>34</v>
      </c>
      <c r="F213" s="28">
        <f>'Final Output'!K11</f>
        <v>-4.1773779563880883E-2</v>
      </c>
    </row>
    <row r="214" spans="1:6" ht="13.9" x14ac:dyDescent="0.4">
      <c r="A214" s="20" t="s">
        <v>53</v>
      </c>
      <c r="B214" s="20" t="s">
        <v>187</v>
      </c>
      <c r="C214" s="20" t="s">
        <v>188</v>
      </c>
      <c r="D214" s="20" t="s">
        <v>102</v>
      </c>
      <c r="E214" s="20" t="s">
        <v>34</v>
      </c>
      <c r="F214" s="28">
        <f>'Final Output'!K12</f>
        <v>-3.7912815833552369E-2</v>
      </c>
    </row>
    <row r="215" spans="1:6" ht="13.9" x14ac:dyDescent="0.4">
      <c r="A215" s="20" t="s">
        <v>53</v>
      </c>
      <c r="B215" s="20" t="s">
        <v>189</v>
      </c>
      <c r="C215" s="20" t="s">
        <v>190</v>
      </c>
      <c r="D215" s="20" t="s">
        <v>102</v>
      </c>
      <c r="E215" s="20" t="s">
        <v>34</v>
      </c>
      <c r="F215" s="28">
        <f>'Final Output'!K13</f>
        <v>-3.5623914367531956E-2</v>
      </c>
    </row>
    <row r="216" spans="1:6" ht="13.9" x14ac:dyDescent="0.4">
      <c r="A216" s="20" t="s">
        <v>53</v>
      </c>
      <c r="B216" s="20" t="s">
        <v>191</v>
      </c>
      <c r="C216" s="20" t="s">
        <v>192</v>
      </c>
      <c r="D216" s="20" t="s">
        <v>102</v>
      </c>
      <c r="E216" s="20" t="s">
        <v>34</v>
      </c>
      <c r="F216" s="28">
        <f>'Final Output'!K14</f>
        <v>-2.8419468525651321E-2</v>
      </c>
    </row>
    <row r="217" spans="1:6" ht="13.9" x14ac:dyDescent="0.4">
      <c r="A217" s="20" t="s">
        <v>53</v>
      </c>
      <c r="B217" s="20" t="s">
        <v>193</v>
      </c>
      <c r="C217" s="20" t="s">
        <v>194</v>
      </c>
      <c r="D217" s="20" t="s">
        <v>102</v>
      </c>
      <c r="E217" s="20" t="s">
        <v>34</v>
      </c>
      <c r="F217" s="28">
        <f>'Final Output'!K15</f>
        <v>-1.5286447542521703E-2</v>
      </c>
    </row>
    <row r="218" spans="1:6" ht="13.9" x14ac:dyDescent="0.4">
      <c r="A218" s="20" t="s">
        <v>53</v>
      </c>
      <c r="B218" s="20" t="s">
        <v>195</v>
      </c>
      <c r="C218" s="20" t="s">
        <v>196</v>
      </c>
      <c r="D218" s="20" t="s">
        <v>102</v>
      </c>
      <c r="E218" s="20" t="s">
        <v>34</v>
      </c>
      <c r="F218" s="28">
        <f>'Final Output'!K16</f>
        <v>-6.6832871879386607E-3</v>
      </c>
    </row>
    <row r="219" spans="1:6" ht="13.9" x14ac:dyDescent="0.4">
      <c r="A219" s="20" t="s">
        <v>53</v>
      </c>
      <c r="B219" s="20" t="s">
        <v>197</v>
      </c>
      <c r="C219" s="20" t="s">
        <v>198</v>
      </c>
      <c r="D219" s="20" t="s">
        <v>102</v>
      </c>
      <c r="E219" s="20" t="s">
        <v>34</v>
      </c>
      <c r="F219" s="28">
        <f>'Final Output'!K17</f>
        <v>0</v>
      </c>
    </row>
    <row r="220" spans="1:6" ht="13.9" x14ac:dyDescent="0.4">
      <c r="A220" s="20" t="s">
        <v>53</v>
      </c>
      <c r="B220" s="20" t="s">
        <v>199</v>
      </c>
      <c r="C220" s="20" t="s">
        <v>200</v>
      </c>
      <c r="D220" s="20" t="s">
        <v>102</v>
      </c>
      <c r="E220" s="20" t="s">
        <v>34</v>
      </c>
      <c r="F220" s="28">
        <f>'Final Output'!K18</f>
        <v>6.6832871879386607E-3</v>
      </c>
    </row>
    <row r="221" spans="1:6" ht="13.9" x14ac:dyDescent="0.4">
      <c r="A221" s="20" t="s">
        <v>53</v>
      </c>
      <c r="B221" s="20" t="s">
        <v>201</v>
      </c>
      <c r="C221" s="20" t="s">
        <v>202</v>
      </c>
      <c r="D221" s="20" t="s">
        <v>102</v>
      </c>
      <c r="E221" s="20" t="s">
        <v>34</v>
      </c>
      <c r="F221" s="28">
        <f>'Final Output'!K19</f>
        <v>1.5286447542521703E-2</v>
      </c>
    </row>
    <row r="222" spans="1:6" ht="13.9" x14ac:dyDescent="0.4">
      <c r="A222" s="20" t="s">
        <v>53</v>
      </c>
      <c r="B222" s="20" t="s">
        <v>203</v>
      </c>
      <c r="C222" s="20" t="s">
        <v>204</v>
      </c>
      <c r="D222" s="20" t="s">
        <v>102</v>
      </c>
      <c r="E222" s="20" t="s">
        <v>34</v>
      </c>
      <c r="F222" s="28">
        <f>'Final Output'!K20</f>
        <v>2.8419468525651321E-2</v>
      </c>
    </row>
    <row r="223" spans="1:6" ht="13.9" x14ac:dyDescent="0.4">
      <c r="A223" s="20" t="s">
        <v>53</v>
      </c>
      <c r="B223" s="20" t="s">
        <v>205</v>
      </c>
      <c r="C223" s="20" t="s">
        <v>206</v>
      </c>
      <c r="D223" s="20" t="s">
        <v>102</v>
      </c>
      <c r="E223" s="20" t="s">
        <v>34</v>
      </c>
      <c r="F223" s="28">
        <f>'Final Output'!K21</f>
        <v>3.5623914367531956E-2</v>
      </c>
    </row>
    <row r="224" spans="1:6" ht="13.9" x14ac:dyDescent="0.4">
      <c r="A224" s="20" t="s">
        <v>53</v>
      </c>
      <c r="B224" s="20" t="s">
        <v>207</v>
      </c>
      <c r="C224" s="20" t="s">
        <v>208</v>
      </c>
      <c r="D224" s="20" t="s">
        <v>102</v>
      </c>
      <c r="E224" s="20" t="s">
        <v>34</v>
      </c>
      <c r="F224" s="28">
        <f>'Final Output'!K22</f>
        <v>3.7912815833552369E-2</v>
      </c>
    </row>
    <row r="225" spans="1:6" ht="13.9" x14ac:dyDescent="0.4">
      <c r="A225" s="20" t="s">
        <v>53</v>
      </c>
      <c r="B225" s="20" t="s">
        <v>209</v>
      </c>
      <c r="C225" s="20" t="s">
        <v>210</v>
      </c>
      <c r="D225" s="20" t="s">
        <v>102</v>
      </c>
      <c r="E225" s="20" t="s">
        <v>34</v>
      </c>
      <c r="F225" s="28">
        <f>'Final Output'!K23</f>
        <v>4.1773779563880883E-2</v>
      </c>
    </row>
    <row r="226" spans="1:6" ht="13.9" x14ac:dyDescent="0.4">
      <c r="A226" s="20" t="s">
        <v>53</v>
      </c>
      <c r="B226" s="20" t="s">
        <v>211</v>
      </c>
      <c r="C226" s="20" t="s">
        <v>212</v>
      </c>
      <c r="D226" s="20" t="s">
        <v>102</v>
      </c>
      <c r="E226" s="20" t="s">
        <v>34</v>
      </c>
      <c r="F226" s="28">
        <f>'Final Output'!K24</f>
        <v>4.8434415772688172E-2</v>
      </c>
    </row>
    <row r="227" spans="1:6" ht="13.9" x14ac:dyDescent="0.4">
      <c r="A227" s="20" t="s">
        <v>53</v>
      </c>
      <c r="B227" s="20" t="s">
        <v>213</v>
      </c>
      <c r="C227" s="20" t="s">
        <v>214</v>
      </c>
      <c r="D227" s="20" t="s">
        <v>102</v>
      </c>
      <c r="E227" s="20" t="s">
        <v>34</v>
      </c>
      <c r="F227" s="28">
        <f>'Final Output'!K25</f>
        <v>6.5703864011792859E-2</v>
      </c>
    </row>
    <row r="228" spans="1:6" ht="13.9" x14ac:dyDescent="0.4">
      <c r="A228" s="20" t="s">
        <v>53</v>
      </c>
      <c r="B228" s="20" t="s">
        <v>215</v>
      </c>
      <c r="C228" s="20" t="s">
        <v>216</v>
      </c>
      <c r="D228" s="20" t="s">
        <v>102</v>
      </c>
      <c r="E228" s="20" t="s">
        <v>34</v>
      </c>
      <c r="F228" s="28" t="str">
        <f ca="1">CONCATENATE("[…]", TEXT(NOW(),"dd/mm/yyy hh:mm:ss"))</f>
        <v>[…]12/12/2024 16:42:19</v>
      </c>
    </row>
    <row r="229" spans="1:6" ht="13.9" x14ac:dyDescent="0.4">
      <c r="A229" s="20" t="s">
        <v>53</v>
      </c>
      <c r="B229" s="20" t="s">
        <v>217</v>
      </c>
      <c r="C229" s="20" t="s">
        <v>218</v>
      </c>
      <c r="D229" s="20" t="s">
        <v>102</v>
      </c>
      <c r="E229" s="20" t="s">
        <v>34</v>
      </c>
      <c r="F229" s="28" t="str">
        <f ca="1">MID(CELL("filename"),SEARCH("[",CELL("filename"))+1,SEARCH("]",CELL("filename"))-SEARCH("[",CELL("filename"))-1)</f>
        <v>PR24 FD OC13 ODI risk - Feeder Model (Per Capita Consumption and Business Demand).xlsx</v>
      </c>
    </row>
    <row r="230" spans="1:6" ht="13.9" x14ac:dyDescent="0.4">
      <c r="A230" s="20" t="s">
        <v>53</v>
      </c>
      <c r="B230" s="20" t="s">
        <v>219</v>
      </c>
      <c r="C230" s="20" t="s">
        <v>220</v>
      </c>
      <c r="D230" s="20" t="s">
        <v>102</v>
      </c>
      <c r="E230" s="20" t="s">
        <v>34</v>
      </c>
      <c r="F230" s="28" t="str">
        <f>F_Inputs!$E$1</f>
        <v>Run on 06 Dec 2024 15:13</v>
      </c>
    </row>
    <row r="231" spans="1:6" ht="13.9" x14ac:dyDescent="0.4">
      <c r="A231" s="20" t="s">
        <v>53</v>
      </c>
      <c r="B231" s="20" t="s">
        <v>221</v>
      </c>
      <c r="C231" s="20" t="s">
        <v>222</v>
      </c>
      <c r="D231" s="20" t="s">
        <v>102</v>
      </c>
      <c r="E231" s="20" t="s">
        <v>34</v>
      </c>
      <c r="F231" s="28" t="s">
        <v>223</v>
      </c>
    </row>
    <row r="232" spans="1:6" ht="13.9" x14ac:dyDescent="0.4">
      <c r="A232" s="20" t="s">
        <v>59</v>
      </c>
      <c r="B232" s="20" t="s">
        <v>147</v>
      </c>
      <c r="C232" s="20" t="s">
        <v>148</v>
      </c>
      <c r="D232" s="20" t="s">
        <v>102</v>
      </c>
      <c r="E232" s="20" t="s">
        <v>34</v>
      </c>
      <c r="F232" s="28">
        <f>'Final Output'!K27</f>
        <v>-9.679681148616838E-2</v>
      </c>
    </row>
    <row r="233" spans="1:6" ht="13.9" x14ac:dyDescent="0.4">
      <c r="A233" s="20" t="s">
        <v>59</v>
      </c>
      <c r="B233" s="20" t="s">
        <v>149</v>
      </c>
      <c r="C233" s="20" t="s">
        <v>150</v>
      </c>
      <c r="D233" s="20" t="s">
        <v>102</v>
      </c>
      <c r="E233" s="20" t="s">
        <v>34</v>
      </c>
      <c r="F233" s="28">
        <f>'Final Output'!K28</f>
        <v>-8.1541326383880952E-2</v>
      </c>
    </row>
    <row r="234" spans="1:6" ht="13.9" x14ac:dyDescent="0.4">
      <c r="A234" s="20" t="s">
        <v>59</v>
      </c>
      <c r="B234" s="20" t="s">
        <v>151</v>
      </c>
      <c r="C234" s="20" t="s">
        <v>152</v>
      </c>
      <c r="D234" s="20" t="s">
        <v>102</v>
      </c>
      <c r="E234" s="20" t="s">
        <v>34</v>
      </c>
      <c r="F234" s="28">
        <f>'Final Output'!K29</f>
        <v>-7.2635013104052293E-2</v>
      </c>
    </row>
    <row r="235" spans="1:6" ht="13.9" x14ac:dyDescent="0.4">
      <c r="A235" s="20" t="s">
        <v>59</v>
      </c>
      <c r="B235" s="20" t="s">
        <v>153</v>
      </c>
      <c r="C235" s="20" t="s">
        <v>154</v>
      </c>
      <c r="D235" s="20" t="s">
        <v>102</v>
      </c>
      <c r="E235" s="20" t="s">
        <v>34</v>
      </c>
      <c r="F235" s="28">
        <f>'Final Output'!K30</f>
        <v>-5.9656505650614054E-2</v>
      </c>
    </row>
    <row r="236" spans="1:6" ht="13.9" x14ac:dyDescent="0.4">
      <c r="A236" s="20" t="s">
        <v>59</v>
      </c>
      <c r="B236" s="20" t="s">
        <v>155</v>
      </c>
      <c r="C236" s="20" t="s">
        <v>156</v>
      </c>
      <c r="D236" s="20" t="s">
        <v>102</v>
      </c>
      <c r="E236" s="20" t="s">
        <v>34</v>
      </c>
      <c r="F236" s="28">
        <f>'Final Output'!K31</f>
        <v>-5.3265439894555767E-2</v>
      </c>
    </row>
    <row r="237" spans="1:6" ht="13.9" x14ac:dyDescent="0.4">
      <c r="A237" s="20" t="s">
        <v>59</v>
      </c>
      <c r="B237" s="20" t="s">
        <v>157</v>
      </c>
      <c r="C237" s="20" t="s">
        <v>158</v>
      </c>
      <c r="D237" s="20" t="s">
        <v>102</v>
      </c>
      <c r="E237" s="20" t="s">
        <v>34</v>
      </c>
      <c r="F237" s="28">
        <f>'Final Output'!K32</f>
        <v>-3.9710933617870217E-2</v>
      </c>
    </row>
    <row r="238" spans="1:6" ht="13.9" x14ac:dyDescent="0.4">
      <c r="A238" s="20" t="s">
        <v>59</v>
      </c>
      <c r="B238" s="20" t="s">
        <v>159</v>
      </c>
      <c r="C238" s="20" t="s">
        <v>160</v>
      </c>
      <c r="D238" s="20" t="s">
        <v>102</v>
      </c>
      <c r="E238" s="20" t="s">
        <v>34</v>
      </c>
      <c r="F238" s="28">
        <f>'Final Output'!K33</f>
        <v>-2.6502070624940276E-2</v>
      </c>
    </row>
    <row r="239" spans="1:6" ht="13.9" x14ac:dyDescent="0.4">
      <c r="A239" s="20" t="s">
        <v>59</v>
      </c>
      <c r="B239" s="20" t="s">
        <v>161</v>
      </c>
      <c r="C239" s="20" t="s">
        <v>162</v>
      </c>
      <c r="D239" s="20" t="s">
        <v>102</v>
      </c>
      <c r="E239" s="20" t="s">
        <v>34</v>
      </c>
      <c r="F239" s="28">
        <f>'Final Output'!K34</f>
        <v>-1.2207272797456018E-2</v>
      </c>
    </row>
    <row r="240" spans="1:6" ht="13.9" x14ac:dyDescent="0.4">
      <c r="A240" s="20" t="s">
        <v>59</v>
      </c>
      <c r="B240" s="20" t="s">
        <v>163</v>
      </c>
      <c r="C240" s="20" t="s">
        <v>164</v>
      </c>
      <c r="D240" s="20" t="s">
        <v>102</v>
      </c>
      <c r="E240" s="20" t="s">
        <v>34</v>
      </c>
      <c r="F240" s="28">
        <f>'Final Output'!K35</f>
        <v>0</v>
      </c>
    </row>
    <row r="241" spans="1:6" ht="13.9" x14ac:dyDescent="0.4">
      <c r="A241" s="20" t="s">
        <v>59</v>
      </c>
      <c r="B241" s="20" t="s">
        <v>165</v>
      </c>
      <c r="C241" s="20" t="s">
        <v>166</v>
      </c>
      <c r="D241" s="20" t="s">
        <v>102</v>
      </c>
      <c r="E241" s="20" t="s">
        <v>34</v>
      </c>
      <c r="F241" s="28">
        <f>'Final Output'!K36</f>
        <v>1.2207272797456018E-2</v>
      </c>
    </row>
    <row r="242" spans="1:6" ht="13.9" x14ac:dyDescent="0.4">
      <c r="A242" s="20" t="s">
        <v>59</v>
      </c>
      <c r="B242" s="20" t="s">
        <v>167</v>
      </c>
      <c r="C242" s="20" t="s">
        <v>168</v>
      </c>
      <c r="D242" s="20" t="s">
        <v>102</v>
      </c>
      <c r="E242" s="20" t="s">
        <v>34</v>
      </c>
      <c r="F242" s="28">
        <f>'Final Output'!K37</f>
        <v>2.6502070624940276E-2</v>
      </c>
    </row>
    <row r="243" spans="1:6" ht="13.9" x14ac:dyDescent="0.4">
      <c r="A243" s="20" t="s">
        <v>59</v>
      </c>
      <c r="B243" s="20" t="s">
        <v>169</v>
      </c>
      <c r="C243" s="20" t="s">
        <v>170</v>
      </c>
      <c r="D243" s="20" t="s">
        <v>102</v>
      </c>
      <c r="E243" s="20" t="s">
        <v>34</v>
      </c>
      <c r="F243" s="28">
        <f>'Final Output'!K38</f>
        <v>3.9710933617870217E-2</v>
      </c>
    </row>
    <row r="244" spans="1:6" ht="13.9" x14ac:dyDescent="0.4">
      <c r="A244" s="20" t="s">
        <v>59</v>
      </c>
      <c r="B244" s="20" t="s">
        <v>171</v>
      </c>
      <c r="C244" s="20" t="s">
        <v>172</v>
      </c>
      <c r="D244" s="20" t="s">
        <v>102</v>
      </c>
      <c r="E244" s="20" t="s">
        <v>34</v>
      </c>
      <c r="F244" s="28">
        <f>'Final Output'!K39</f>
        <v>5.3265439894555767E-2</v>
      </c>
    </row>
    <row r="245" spans="1:6" ht="13.9" x14ac:dyDescent="0.4">
      <c r="A245" s="20" t="s">
        <v>59</v>
      </c>
      <c r="B245" s="20" t="s">
        <v>173</v>
      </c>
      <c r="C245" s="20" t="s">
        <v>174</v>
      </c>
      <c r="D245" s="20" t="s">
        <v>102</v>
      </c>
      <c r="E245" s="20" t="s">
        <v>34</v>
      </c>
      <c r="F245" s="28">
        <f>'Final Output'!K40</f>
        <v>5.9656505650614054E-2</v>
      </c>
    </row>
    <row r="246" spans="1:6" ht="13.9" x14ac:dyDescent="0.4">
      <c r="A246" s="20" t="s">
        <v>59</v>
      </c>
      <c r="B246" s="20" t="s">
        <v>175</v>
      </c>
      <c r="C246" s="20" t="s">
        <v>176</v>
      </c>
      <c r="D246" s="20" t="s">
        <v>102</v>
      </c>
      <c r="E246" s="20" t="s">
        <v>34</v>
      </c>
      <c r="F246" s="28">
        <f>'Final Output'!K41</f>
        <v>7.2635013104052293E-2</v>
      </c>
    </row>
    <row r="247" spans="1:6" ht="13.9" x14ac:dyDescent="0.4">
      <c r="A247" s="20" t="s">
        <v>59</v>
      </c>
      <c r="B247" s="20" t="s">
        <v>177</v>
      </c>
      <c r="C247" s="20" t="s">
        <v>178</v>
      </c>
      <c r="D247" s="20" t="s">
        <v>102</v>
      </c>
      <c r="E247" s="20" t="s">
        <v>34</v>
      </c>
      <c r="F247" s="28">
        <f>'Final Output'!K42</f>
        <v>8.1541326383880952E-2</v>
      </c>
    </row>
    <row r="248" spans="1:6" ht="13.9" x14ac:dyDescent="0.4">
      <c r="A248" s="20" t="s">
        <v>59</v>
      </c>
      <c r="B248" s="20" t="s">
        <v>179</v>
      </c>
      <c r="C248" s="20" t="s">
        <v>180</v>
      </c>
      <c r="D248" s="20" t="s">
        <v>102</v>
      </c>
      <c r="E248" s="20" t="s">
        <v>34</v>
      </c>
      <c r="F248" s="28">
        <f>'Final Output'!K43</f>
        <v>9.679681148616838E-2</v>
      </c>
    </row>
    <row r="249" spans="1:6" ht="13.9" x14ac:dyDescent="0.4">
      <c r="A249" s="20" t="s">
        <v>59</v>
      </c>
      <c r="B249" s="20" t="s">
        <v>181</v>
      </c>
      <c r="C249" s="20" t="s">
        <v>182</v>
      </c>
      <c r="D249" s="20" t="s">
        <v>102</v>
      </c>
      <c r="E249" s="20" t="s">
        <v>34</v>
      </c>
      <c r="F249" s="28">
        <f>'Final Output'!K9</f>
        <v>-6.5703864011792859E-2</v>
      </c>
    </row>
    <row r="250" spans="1:6" ht="13.9" x14ac:dyDescent="0.4">
      <c r="A250" s="20" t="s">
        <v>59</v>
      </c>
      <c r="B250" s="20" t="s">
        <v>183</v>
      </c>
      <c r="C250" s="20" t="s">
        <v>184</v>
      </c>
      <c r="D250" s="20" t="s">
        <v>102</v>
      </c>
      <c r="E250" s="20" t="s">
        <v>34</v>
      </c>
      <c r="F250" s="28">
        <f>'Final Output'!K10</f>
        <v>-4.8434415772688172E-2</v>
      </c>
    </row>
    <row r="251" spans="1:6" ht="13.9" x14ac:dyDescent="0.4">
      <c r="A251" s="20" t="s">
        <v>59</v>
      </c>
      <c r="B251" s="20" t="s">
        <v>185</v>
      </c>
      <c r="C251" s="20" t="s">
        <v>186</v>
      </c>
      <c r="D251" s="20" t="s">
        <v>102</v>
      </c>
      <c r="E251" s="20" t="s">
        <v>34</v>
      </c>
      <c r="F251" s="28">
        <f>'Final Output'!K11</f>
        <v>-4.1773779563880883E-2</v>
      </c>
    </row>
    <row r="252" spans="1:6" ht="13.9" x14ac:dyDescent="0.4">
      <c r="A252" s="20" t="s">
        <v>59</v>
      </c>
      <c r="B252" s="20" t="s">
        <v>187</v>
      </c>
      <c r="C252" s="20" t="s">
        <v>188</v>
      </c>
      <c r="D252" s="20" t="s">
        <v>102</v>
      </c>
      <c r="E252" s="20" t="s">
        <v>34</v>
      </c>
      <c r="F252" s="28">
        <f>'Final Output'!K12</f>
        <v>-3.7912815833552369E-2</v>
      </c>
    </row>
    <row r="253" spans="1:6" ht="13.9" x14ac:dyDescent="0.4">
      <c r="A253" s="20" t="s">
        <v>59</v>
      </c>
      <c r="B253" s="20" t="s">
        <v>189</v>
      </c>
      <c r="C253" s="20" t="s">
        <v>190</v>
      </c>
      <c r="D253" s="20" t="s">
        <v>102</v>
      </c>
      <c r="E253" s="20" t="s">
        <v>34</v>
      </c>
      <c r="F253" s="28">
        <f>'Final Output'!K13</f>
        <v>-3.5623914367531956E-2</v>
      </c>
    </row>
    <row r="254" spans="1:6" ht="13.9" x14ac:dyDescent="0.4">
      <c r="A254" s="20" t="s">
        <v>59</v>
      </c>
      <c r="B254" s="20" t="s">
        <v>191</v>
      </c>
      <c r="C254" s="20" t="s">
        <v>192</v>
      </c>
      <c r="D254" s="20" t="s">
        <v>102</v>
      </c>
      <c r="E254" s="20" t="s">
        <v>34</v>
      </c>
      <c r="F254" s="28">
        <f>'Final Output'!K14</f>
        <v>-2.8419468525651321E-2</v>
      </c>
    </row>
    <row r="255" spans="1:6" ht="13.9" x14ac:dyDescent="0.4">
      <c r="A255" s="20" t="s">
        <v>59</v>
      </c>
      <c r="B255" s="20" t="s">
        <v>193</v>
      </c>
      <c r="C255" s="20" t="s">
        <v>194</v>
      </c>
      <c r="D255" s="20" t="s">
        <v>102</v>
      </c>
      <c r="E255" s="20" t="s">
        <v>34</v>
      </c>
      <c r="F255" s="28">
        <f>'Final Output'!K15</f>
        <v>-1.5286447542521703E-2</v>
      </c>
    </row>
    <row r="256" spans="1:6" ht="13.9" x14ac:dyDescent="0.4">
      <c r="A256" s="20" t="s">
        <v>59</v>
      </c>
      <c r="B256" s="20" t="s">
        <v>195</v>
      </c>
      <c r="C256" s="20" t="s">
        <v>196</v>
      </c>
      <c r="D256" s="20" t="s">
        <v>102</v>
      </c>
      <c r="E256" s="20" t="s">
        <v>34</v>
      </c>
      <c r="F256" s="28">
        <f>'Final Output'!K16</f>
        <v>-6.6832871879386607E-3</v>
      </c>
    </row>
    <row r="257" spans="1:6" ht="13.9" x14ac:dyDescent="0.4">
      <c r="A257" s="20" t="s">
        <v>59</v>
      </c>
      <c r="B257" s="20" t="s">
        <v>197</v>
      </c>
      <c r="C257" s="20" t="s">
        <v>198</v>
      </c>
      <c r="D257" s="20" t="s">
        <v>102</v>
      </c>
      <c r="E257" s="20" t="s">
        <v>34</v>
      </c>
      <c r="F257" s="28">
        <f>'Final Output'!K17</f>
        <v>0</v>
      </c>
    </row>
    <row r="258" spans="1:6" ht="13.9" x14ac:dyDescent="0.4">
      <c r="A258" s="20" t="s">
        <v>59</v>
      </c>
      <c r="B258" s="20" t="s">
        <v>199</v>
      </c>
      <c r="C258" s="20" t="s">
        <v>200</v>
      </c>
      <c r="D258" s="20" t="s">
        <v>102</v>
      </c>
      <c r="E258" s="20" t="s">
        <v>34</v>
      </c>
      <c r="F258" s="28">
        <f>'Final Output'!K18</f>
        <v>6.6832871879386607E-3</v>
      </c>
    </row>
    <row r="259" spans="1:6" ht="13.9" x14ac:dyDescent="0.4">
      <c r="A259" s="20" t="s">
        <v>59</v>
      </c>
      <c r="B259" s="20" t="s">
        <v>201</v>
      </c>
      <c r="C259" s="20" t="s">
        <v>202</v>
      </c>
      <c r="D259" s="20" t="s">
        <v>102</v>
      </c>
      <c r="E259" s="20" t="s">
        <v>34</v>
      </c>
      <c r="F259" s="28">
        <f>'Final Output'!K19</f>
        <v>1.5286447542521703E-2</v>
      </c>
    </row>
    <row r="260" spans="1:6" ht="13.9" x14ac:dyDescent="0.4">
      <c r="A260" s="20" t="s">
        <v>59</v>
      </c>
      <c r="B260" s="20" t="s">
        <v>203</v>
      </c>
      <c r="C260" s="20" t="s">
        <v>204</v>
      </c>
      <c r="D260" s="20" t="s">
        <v>102</v>
      </c>
      <c r="E260" s="20" t="s">
        <v>34</v>
      </c>
      <c r="F260" s="28">
        <f>'Final Output'!K20</f>
        <v>2.8419468525651321E-2</v>
      </c>
    </row>
    <row r="261" spans="1:6" ht="13.9" x14ac:dyDescent="0.4">
      <c r="A261" s="20" t="s">
        <v>59</v>
      </c>
      <c r="B261" s="20" t="s">
        <v>205</v>
      </c>
      <c r="C261" s="20" t="s">
        <v>206</v>
      </c>
      <c r="D261" s="20" t="s">
        <v>102</v>
      </c>
      <c r="E261" s="20" t="s">
        <v>34</v>
      </c>
      <c r="F261" s="28">
        <f>'Final Output'!K21</f>
        <v>3.5623914367531956E-2</v>
      </c>
    </row>
    <row r="262" spans="1:6" ht="13.9" x14ac:dyDescent="0.4">
      <c r="A262" s="20" t="s">
        <v>59</v>
      </c>
      <c r="B262" s="20" t="s">
        <v>207</v>
      </c>
      <c r="C262" s="20" t="s">
        <v>208</v>
      </c>
      <c r="D262" s="20" t="s">
        <v>102</v>
      </c>
      <c r="E262" s="20" t="s">
        <v>34</v>
      </c>
      <c r="F262" s="28">
        <f>'Final Output'!K22</f>
        <v>3.7912815833552369E-2</v>
      </c>
    </row>
    <row r="263" spans="1:6" ht="13.9" x14ac:dyDescent="0.4">
      <c r="A263" s="20" t="s">
        <v>59</v>
      </c>
      <c r="B263" s="20" t="s">
        <v>209</v>
      </c>
      <c r="C263" s="20" t="s">
        <v>210</v>
      </c>
      <c r="D263" s="20" t="s">
        <v>102</v>
      </c>
      <c r="E263" s="20" t="s">
        <v>34</v>
      </c>
      <c r="F263" s="28">
        <f>'Final Output'!K23</f>
        <v>4.1773779563880883E-2</v>
      </c>
    </row>
    <row r="264" spans="1:6" ht="13.9" x14ac:dyDescent="0.4">
      <c r="A264" s="20" t="s">
        <v>59</v>
      </c>
      <c r="B264" s="20" t="s">
        <v>211</v>
      </c>
      <c r="C264" s="20" t="s">
        <v>212</v>
      </c>
      <c r="D264" s="20" t="s">
        <v>102</v>
      </c>
      <c r="E264" s="20" t="s">
        <v>34</v>
      </c>
      <c r="F264" s="28">
        <f>'Final Output'!K24</f>
        <v>4.8434415772688172E-2</v>
      </c>
    </row>
    <row r="265" spans="1:6" ht="13.9" x14ac:dyDescent="0.4">
      <c r="A265" s="20" t="s">
        <v>59</v>
      </c>
      <c r="B265" s="20" t="s">
        <v>213</v>
      </c>
      <c r="C265" s="20" t="s">
        <v>214</v>
      </c>
      <c r="D265" s="20" t="s">
        <v>102</v>
      </c>
      <c r="E265" s="20" t="s">
        <v>34</v>
      </c>
      <c r="F265" s="28">
        <f>'Final Output'!K25</f>
        <v>6.5703864011792859E-2</v>
      </c>
    </row>
    <row r="266" spans="1:6" ht="13.9" x14ac:dyDescent="0.4">
      <c r="A266" s="20" t="s">
        <v>59</v>
      </c>
      <c r="B266" s="20" t="s">
        <v>215</v>
      </c>
      <c r="C266" s="20" t="s">
        <v>216</v>
      </c>
      <c r="D266" s="20" t="s">
        <v>102</v>
      </c>
      <c r="E266" s="20" t="s">
        <v>34</v>
      </c>
      <c r="F266" s="28" t="str">
        <f ca="1">CONCATENATE("[…]", TEXT(NOW(),"dd/mm/yyy hh:mm:ss"))</f>
        <v>[…]12/12/2024 16:42:19</v>
      </c>
    </row>
    <row r="267" spans="1:6" ht="13.9" x14ac:dyDescent="0.4">
      <c r="A267" s="20" t="s">
        <v>59</v>
      </c>
      <c r="B267" s="20" t="s">
        <v>217</v>
      </c>
      <c r="C267" s="20" t="s">
        <v>218</v>
      </c>
      <c r="D267" s="20" t="s">
        <v>102</v>
      </c>
      <c r="E267" s="20" t="s">
        <v>34</v>
      </c>
      <c r="F267" s="28" t="str">
        <f ca="1">MID(CELL("filename"),SEARCH("[",CELL("filename"))+1,SEARCH("]",CELL("filename"))-SEARCH("[",CELL("filename"))-1)</f>
        <v>PR24 FD OC13 ODI risk - Feeder Model (Per Capita Consumption and Business Demand).xlsx</v>
      </c>
    </row>
    <row r="268" spans="1:6" ht="13.9" x14ac:dyDescent="0.4">
      <c r="A268" s="20" t="s">
        <v>59</v>
      </c>
      <c r="B268" s="20" t="s">
        <v>219</v>
      </c>
      <c r="C268" s="20" t="s">
        <v>220</v>
      </c>
      <c r="D268" s="20" t="s">
        <v>102</v>
      </c>
      <c r="E268" s="20" t="s">
        <v>34</v>
      </c>
      <c r="F268" s="28" t="str">
        <f>F_Inputs!$E$1</f>
        <v>Run on 06 Dec 2024 15:13</v>
      </c>
    </row>
    <row r="269" spans="1:6" ht="13.9" x14ac:dyDescent="0.4">
      <c r="A269" s="20" t="s">
        <v>59</v>
      </c>
      <c r="B269" s="20" t="s">
        <v>221</v>
      </c>
      <c r="C269" s="20" t="s">
        <v>222</v>
      </c>
      <c r="D269" s="20" t="s">
        <v>102</v>
      </c>
      <c r="E269" s="20" t="s">
        <v>34</v>
      </c>
      <c r="F269" s="28" t="s">
        <v>223</v>
      </c>
    </row>
    <row r="270" spans="1:6" ht="13.9" x14ac:dyDescent="0.4">
      <c r="A270" s="20" t="s">
        <v>61</v>
      </c>
      <c r="B270" s="20" t="s">
        <v>147</v>
      </c>
      <c r="C270" s="20" t="s">
        <v>148</v>
      </c>
      <c r="D270" s="20" t="s">
        <v>102</v>
      </c>
      <c r="E270" s="20" t="s">
        <v>34</v>
      </c>
      <c r="F270" s="28">
        <f>'Final Output'!K27</f>
        <v>-9.679681148616838E-2</v>
      </c>
    </row>
    <row r="271" spans="1:6" ht="13.9" x14ac:dyDescent="0.4">
      <c r="A271" s="20" t="s">
        <v>61</v>
      </c>
      <c r="B271" s="20" t="s">
        <v>149</v>
      </c>
      <c r="C271" s="20" t="s">
        <v>150</v>
      </c>
      <c r="D271" s="20" t="s">
        <v>102</v>
      </c>
      <c r="E271" s="20" t="s">
        <v>34</v>
      </c>
      <c r="F271" s="28">
        <f>'Final Output'!K28</f>
        <v>-8.1541326383880952E-2</v>
      </c>
    </row>
    <row r="272" spans="1:6" ht="13.9" x14ac:dyDescent="0.4">
      <c r="A272" s="20" t="s">
        <v>61</v>
      </c>
      <c r="B272" s="20" t="s">
        <v>151</v>
      </c>
      <c r="C272" s="20" t="s">
        <v>152</v>
      </c>
      <c r="D272" s="20" t="s">
        <v>102</v>
      </c>
      <c r="E272" s="20" t="s">
        <v>34</v>
      </c>
      <c r="F272" s="28">
        <f>'Final Output'!K29</f>
        <v>-7.2635013104052293E-2</v>
      </c>
    </row>
    <row r="273" spans="1:6" ht="13.9" x14ac:dyDescent="0.4">
      <c r="A273" s="20" t="s">
        <v>61</v>
      </c>
      <c r="B273" s="20" t="s">
        <v>153</v>
      </c>
      <c r="C273" s="20" t="s">
        <v>154</v>
      </c>
      <c r="D273" s="20" t="s">
        <v>102</v>
      </c>
      <c r="E273" s="20" t="s">
        <v>34</v>
      </c>
      <c r="F273" s="28">
        <f>'Final Output'!K30</f>
        <v>-5.9656505650614054E-2</v>
      </c>
    </row>
    <row r="274" spans="1:6" ht="13.9" x14ac:dyDescent="0.4">
      <c r="A274" s="20" t="s">
        <v>61</v>
      </c>
      <c r="B274" s="20" t="s">
        <v>155</v>
      </c>
      <c r="C274" s="20" t="s">
        <v>156</v>
      </c>
      <c r="D274" s="20" t="s">
        <v>102</v>
      </c>
      <c r="E274" s="20" t="s">
        <v>34</v>
      </c>
      <c r="F274" s="28">
        <f>'Final Output'!K31</f>
        <v>-5.3265439894555767E-2</v>
      </c>
    </row>
    <row r="275" spans="1:6" ht="13.9" x14ac:dyDescent="0.4">
      <c r="A275" s="20" t="s">
        <v>61</v>
      </c>
      <c r="B275" s="20" t="s">
        <v>157</v>
      </c>
      <c r="C275" s="20" t="s">
        <v>158</v>
      </c>
      <c r="D275" s="20" t="s">
        <v>102</v>
      </c>
      <c r="E275" s="20" t="s">
        <v>34</v>
      </c>
      <c r="F275" s="28">
        <f>'Final Output'!K32</f>
        <v>-3.9710933617870217E-2</v>
      </c>
    </row>
    <row r="276" spans="1:6" ht="13.9" x14ac:dyDescent="0.4">
      <c r="A276" s="20" t="s">
        <v>61</v>
      </c>
      <c r="B276" s="20" t="s">
        <v>159</v>
      </c>
      <c r="C276" s="20" t="s">
        <v>160</v>
      </c>
      <c r="D276" s="20" t="s">
        <v>102</v>
      </c>
      <c r="E276" s="20" t="s">
        <v>34</v>
      </c>
      <c r="F276" s="28">
        <f>'Final Output'!K33</f>
        <v>-2.6502070624940276E-2</v>
      </c>
    </row>
    <row r="277" spans="1:6" ht="13.9" x14ac:dyDescent="0.4">
      <c r="A277" s="20" t="s">
        <v>61</v>
      </c>
      <c r="B277" s="20" t="s">
        <v>161</v>
      </c>
      <c r="C277" s="20" t="s">
        <v>162</v>
      </c>
      <c r="D277" s="20" t="s">
        <v>102</v>
      </c>
      <c r="E277" s="20" t="s">
        <v>34</v>
      </c>
      <c r="F277" s="28">
        <f>'Final Output'!K34</f>
        <v>-1.2207272797456018E-2</v>
      </c>
    </row>
    <row r="278" spans="1:6" ht="13.9" x14ac:dyDescent="0.4">
      <c r="A278" s="20" t="s">
        <v>61</v>
      </c>
      <c r="B278" s="20" t="s">
        <v>163</v>
      </c>
      <c r="C278" s="20" t="s">
        <v>164</v>
      </c>
      <c r="D278" s="20" t="s">
        <v>102</v>
      </c>
      <c r="E278" s="20" t="s">
        <v>34</v>
      </c>
      <c r="F278" s="28">
        <f>'Final Output'!K35</f>
        <v>0</v>
      </c>
    </row>
    <row r="279" spans="1:6" ht="13.9" x14ac:dyDescent="0.4">
      <c r="A279" s="20" t="s">
        <v>61</v>
      </c>
      <c r="B279" s="20" t="s">
        <v>165</v>
      </c>
      <c r="C279" s="20" t="s">
        <v>166</v>
      </c>
      <c r="D279" s="20" t="s">
        <v>102</v>
      </c>
      <c r="E279" s="20" t="s">
        <v>34</v>
      </c>
      <c r="F279" s="28">
        <f>'Final Output'!K36</f>
        <v>1.2207272797456018E-2</v>
      </c>
    </row>
    <row r="280" spans="1:6" ht="13.9" x14ac:dyDescent="0.4">
      <c r="A280" s="20" t="s">
        <v>61</v>
      </c>
      <c r="B280" s="20" t="s">
        <v>167</v>
      </c>
      <c r="C280" s="20" t="s">
        <v>168</v>
      </c>
      <c r="D280" s="20" t="s">
        <v>102</v>
      </c>
      <c r="E280" s="20" t="s">
        <v>34</v>
      </c>
      <c r="F280" s="28">
        <f>'Final Output'!K37</f>
        <v>2.6502070624940276E-2</v>
      </c>
    </row>
    <row r="281" spans="1:6" ht="13.9" x14ac:dyDescent="0.4">
      <c r="A281" s="20" t="s">
        <v>61</v>
      </c>
      <c r="B281" s="20" t="s">
        <v>169</v>
      </c>
      <c r="C281" s="20" t="s">
        <v>170</v>
      </c>
      <c r="D281" s="20" t="s">
        <v>102</v>
      </c>
      <c r="E281" s="20" t="s">
        <v>34</v>
      </c>
      <c r="F281" s="28">
        <f>'Final Output'!K38</f>
        <v>3.9710933617870217E-2</v>
      </c>
    </row>
    <row r="282" spans="1:6" ht="13.9" x14ac:dyDescent="0.4">
      <c r="A282" s="20" t="s">
        <v>61</v>
      </c>
      <c r="B282" s="20" t="s">
        <v>171</v>
      </c>
      <c r="C282" s="20" t="s">
        <v>172</v>
      </c>
      <c r="D282" s="20" t="s">
        <v>102</v>
      </c>
      <c r="E282" s="20" t="s">
        <v>34</v>
      </c>
      <c r="F282" s="28">
        <f>'Final Output'!K39</f>
        <v>5.3265439894555767E-2</v>
      </c>
    </row>
    <row r="283" spans="1:6" ht="13.9" x14ac:dyDescent="0.4">
      <c r="A283" s="20" t="s">
        <v>61</v>
      </c>
      <c r="B283" s="20" t="s">
        <v>173</v>
      </c>
      <c r="C283" s="20" t="s">
        <v>174</v>
      </c>
      <c r="D283" s="20" t="s">
        <v>102</v>
      </c>
      <c r="E283" s="20" t="s">
        <v>34</v>
      </c>
      <c r="F283" s="28">
        <f>'Final Output'!K40</f>
        <v>5.9656505650614054E-2</v>
      </c>
    </row>
    <row r="284" spans="1:6" ht="13.9" x14ac:dyDescent="0.4">
      <c r="A284" s="20" t="s">
        <v>61</v>
      </c>
      <c r="B284" s="20" t="s">
        <v>175</v>
      </c>
      <c r="C284" s="20" t="s">
        <v>176</v>
      </c>
      <c r="D284" s="20" t="s">
        <v>102</v>
      </c>
      <c r="E284" s="20" t="s">
        <v>34</v>
      </c>
      <c r="F284" s="28">
        <f>'Final Output'!K41</f>
        <v>7.2635013104052293E-2</v>
      </c>
    </row>
    <row r="285" spans="1:6" ht="13.9" x14ac:dyDescent="0.4">
      <c r="A285" s="20" t="s">
        <v>61</v>
      </c>
      <c r="B285" s="20" t="s">
        <v>177</v>
      </c>
      <c r="C285" s="20" t="s">
        <v>178</v>
      </c>
      <c r="D285" s="20" t="s">
        <v>102</v>
      </c>
      <c r="E285" s="20" t="s">
        <v>34</v>
      </c>
      <c r="F285" s="28">
        <f>'Final Output'!K42</f>
        <v>8.1541326383880952E-2</v>
      </c>
    </row>
    <row r="286" spans="1:6" ht="13.9" x14ac:dyDescent="0.4">
      <c r="A286" s="20" t="s">
        <v>61</v>
      </c>
      <c r="B286" s="20" t="s">
        <v>179</v>
      </c>
      <c r="C286" s="20" t="s">
        <v>180</v>
      </c>
      <c r="D286" s="20" t="s">
        <v>102</v>
      </c>
      <c r="E286" s="20" t="s">
        <v>34</v>
      </c>
      <c r="F286" s="28">
        <f>'Final Output'!K43</f>
        <v>9.679681148616838E-2</v>
      </c>
    </row>
    <row r="287" spans="1:6" ht="13.9" x14ac:dyDescent="0.4">
      <c r="A287" s="20" t="s">
        <v>61</v>
      </c>
      <c r="B287" s="20" t="s">
        <v>181</v>
      </c>
      <c r="C287" s="20" t="s">
        <v>182</v>
      </c>
      <c r="D287" s="20" t="s">
        <v>102</v>
      </c>
      <c r="E287" s="20" t="s">
        <v>34</v>
      </c>
      <c r="F287" s="28">
        <f>'Final Output'!K9</f>
        <v>-6.5703864011792859E-2</v>
      </c>
    </row>
    <row r="288" spans="1:6" ht="13.9" x14ac:dyDescent="0.4">
      <c r="A288" s="20" t="s">
        <v>61</v>
      </c>
      <c r="B288" s="20" t="s">
        <v>183</v>
      </c>
      <c r="C288" s="20" t="s">
        <v>184</v>
      </c>
      <c r="D288" s="20" t="s">
        <v>102</v>
      </c>
      <c r="E288" s="20" t="s">
        <v>34</v>
      </c>
      <c r="F288" s="28">
        <f>'Final Output'!K10</f>
        <v>-4.8434415772688172E-2</v>
      </c>
    </row>
    <row r="289" spans="1:6" ht="13.9" x14ac:dyDescent="0.4">
      <c r="A289" s="20" t="s">
        <v>61</v>
      </c>
      <c r="B289" s="20" t="s">
        <v>185</v>
      </c>
      <c r="C289" s="20" t="s">
        <v>186</v>
      </c>
      <c r="D289" s="20" t="s">
        <v>102</v>
      </c>
      <c r="E289" s="20" t="s">
        <v>34</v>
      </c>
      <c r="F289" s="28">
        <f>'Final Output'!K11</f>
        <v>-4.1773779563880883E-2</v>
      </c>
    </row>
    <row r="290" spans="1:6" ht="13.9" x14ac:dyDescent="0.4">
      <c r="A290" s="20" t="s">
        <v>61</v>
      </c>
      <c r="B290" s="20" t="s">
        <v>187</v>
      </c>
      <c r="C290" s="20" t="s">
        <v>188</v>
      </c>
      <c r="D290" s="20" t="s">
        <v>102</v>
      </c>
      <c r="E290" s="20" t="s">
        <v>34</v>
      </c>
      <c r="F290" s="28">
        <f>'Final Output'!K12</f>
        <v>-3.7912815833552369E-2</v>
      </c>
    </row>
    <row r="291" spans="1:6" ht="13.9" x14ac:dyDescent="0.4">
      <c r="A291" s="20" t="s">
        <v>61</v>
      </c>
      <c r="B291" s="20" t="s">
        <v>189</v>
      </c>
      <c r="C291" s="20" t="s">
        <v>190</v>
      </c>
      <c r="D291" s="20" t="s">
        <v>102</v>
      </c>
      <c r="E291" s="20" t="s">
        <v>34</v>
      </c>
      <c r="F291" s="28">
        <f>'Final Output'!K13</f>
        <v>-3.5623914367531956E-2</v>
      </c>
    </row>
    <row r="292" spans="1:6" ht="13.9" x14ac:dyDescent="0.4">
      <c r="A292" s="20" t="s">
        <v>61</v>
      </c>
      <c r="B292" s="20" t="s">
        <v>191</v>
      </c>
      <c r="C292" s="20" t="s">
        <v>192</v>
      </c>
      <c r="D292" s="20" t="s">
        <v>102</v>
      </c>
      <c r="E292" s="20" t="s">
        <v>34</v>
      </c>
      <c r="F292" s="28">
        <f>'Final Output'!K14</f>
        <v>-2.8419468525651321E-2</v>
      </c>
    </row>
    <row r="293" spans="1:6" ht="13.9" x14ac:dyDescent="0.4">
      <c r="A293" s="20" t="s">
        <v>61</v>
      </c>
      <c r="B293" s="20" t="s">
        <v>193</v>
      </c>
      <c r="C293" s="20" t="s">
        <v>194</v>
      </c>
      <c r="D293" s="20" t="s">
        <v>102</v>
      </c>
      <c r="E293" s="20" t="s">
        <v>34</v>
      </c>
      <c r="F293" s="28">
        <f>'Final Output'!K15</f>
        <v>-1.5286447542521703E-2</v>
      </c>
    </row>
    <row r="294" spans="1:6" ht="13.9" x14ac:dyDescent="0.4">
      <c r="A294" s="20" t="s">
        <v>61</v>
      </c>
      <c r="B294" s="20" t="s">
        <v>195</v>
      </c>
      <c r="C294" s="20" t="s">
        <v>196</v>
      </c>
      <c r="D294" s="20" t="s">
        <v>102</v>
      </c>
      <c r="E294" s="20" t="s">
        <v>34</v>
      </c>
      <c r="F294" s="28">
        <f>'Final Output'!K16</f>
        <v>-6.6832871879386607E-3</v>
      </c>
    </row>
    <row r="295" spans="1:6" ht="13.9" x14ac:dyDescent="0.4">
      <c r="A295" s="20" t="s">
        <v>61</v>
      </c>
      <c r="B295" s="20" t="s">
        <v>197</v>
      </c>
      <c r="C295" s="20" t="s">
        <v>198</v>
      </c>
      <c r="D295" s="20" t="s">
        <v>102</v>
      </c>
      <c r="E295" s="20" t="s">
        <v>34</v>
      </c>
      <c r="F295" s="28">
        <f>'Final Output'!K17</f>
        <v>0</v>
      </c>
    </row>
    <row r="296" spans="1:6" ht="13.9" x14ac:dyDescent="0.4">
      <c r="A296" s="20" t="s">
        <v>61</v>
      </c>
      <c r="B296" s="20" t="s">
        <v>199</v>
      </c>
      <c r="C296" s="20" t="s">
        <v>200</v>
      </c>
      <c r="D296" s="20" t="s">
        <v>102</v>
      </c>
      <c r="E296" s="20" t="s">
        <v>34</v>
      </c>
      <c r="F296" s="28">
        <f>'Final Output'!K18</f>
        <v>6.6832871879386607E-3</v>
      </c>
    </row>
    <row r="297" spans="1:6" ht="13.9" x14ac:dyDescent="0.4">
      <c r="A297" s="20" t="s">
        <v>61</v>
      </c>
      <c r="B297" s="20" t="s">
        <v>201</v>
      </c>
      <c r="C297" s="20" t="s">
        <v>202</v>
      </c>
      <c r="D297" s="20" t="s">
        <v>102</v>
      </c>
      <c r="E297" s="20" t="s">
        <v>34</v>
      </c>
      <c r="F297" s="28">
        <f>'Final Output'!K19</f>
        <v>1.5286447542521703E-2</v>
      </c>
    </row>
    <row r="298" spans="1:6" ht="13.9" x14ac:dyDescent="0.4">
      <c r="A298" s="20" t="s">
        <v>61</v>
      </c>
      <c r="B298" s="20" t="s">
        <v>203</v>
      </c>
      <c r="C298" s="20" t="s">
        <v>204</v>
      </c>
      <c r="D298" s="20" t="s">
        <v>102</v>
      </c>
      <c r="E298" s="20" t="s">
        <v>34</v>
      </c>
      <c r="F298" s="28">
        <f>'Final Output'!K20</f>
        <v>2.8419468525651321E-2</v>
      </c>
    </row>
    <row r="299" spans="1:6" ht="13.9" x14ac:dyDescent="0.4">
      <c r="A299" s="20" t="s">
        <v>61</v>
      </c>
      <c r="B299" s="20" t="s">
        <v>205</v>
      </c>
      <c r="C299" s="20" t="s">
        <v>206</v>
      </c>
      <c r="D299" s="20" t="s">
        <v>102</v>
      </c>
      <c r="E299" s="20" t="s">
        <v>34</v>
      </c>
      <c r="F299" s="28">
        <f>'Final Output'!K21</f>
        <v>3.5623914367531956E-2</v>
      </c>
    </row>
    <row r="300" spans="1:6" ht="13.9" x14ac:dyDescent="0.4">
      <c r="A300" s="20" t="s">
        <v>61</v>
      </c>
      <c r="B300" s="20" t="s">
        <v>207</v>
      </c>
      <c r="C300" s="20" t="s">
        <v>208</v>
      </c>
      <c r="D300" s="20" t="s">
        <v>102</v>
      </c>
      <c r="E300" s="20" t="s">
        <v>34</v>
      </c>
      <c r="F300" s="28">
        <f>'Final Output'!K22</f>
        <v>3.7912815833552369E-2</v>
      </c>
    </row>
    <row r="301" spans="1:6" ht="13.9" x14ac:dyDescent="0.4">
      <c r="A301" s="20" t="s">
        <v>61</v>
      </c>
      <c r="B301" s="20" t="s">
        <v>209</v>
      </c>
      <c r="C301" s="20" t="s">
        <v>210</v>
      </c>
      <c r="D301" s="20" t="s">
        <v>102</v>
      </c>
      <c r="E301" s="20" t="s">
        <v>34</v>
      </c>
      <c r="F301" s="28">
        <f>'Final Output'!K23</f>
        <v>4.1773779563880883E-2</v>
      </c>
    </row>
    <row r="302" spans="1:6" ht="13.9" x14ac:dyDescent="0.4">
      <c r="A302" s="20" t="s">
        <v>61</v>
      </c>
      <c r="B302" s="20" t="s">
        <v>211</v>
      </c>
      <c r="C302" s="20" t="s">
        <v>212</v>
      </c>
      <c r="D302" s="20" t="s">
        <v>102</v>
      </c>
      <c r="E302" s="20" t="s">
        <v>34</v>
      </c>
      <c r="F302" s="28">
        <f>'Final Output'!K24</f>
        <v>4.8434415772688172E-2</v>
      </c>
    </row>
    <row r="303" spans="1:6" ht="13.9" x14ac:dyDescent="0.4">
      <c r="A303" s="20" t="s">
        <v>61</v>
      </c>
      <c r="B303" s="20" t="s">
        <v>213</v>
      </c>
      <c r="C303" s="20" t="s">
        <v>214</v>
      </c>
      <c r="D303" s="20" t="s">
        <v>102</v>
      </c>
      <c r="E303" s="20" t="s">
        <v>34</v>
      </c>
      <c r="F303" s="28">
        <f>'Final Output'!K25</f>
        <v>6.5703864011792859E-2</v>
      </c>
    </row>
    <row r="304" spans="1:6" ht="13.9" x14ac:dyDescent="0.4">
      <c r="A304" s="20" t="s">
        <v>61</v>
      </c>
      <c r="B304" s="20" t="s">
        <v>215</v>
      </c>
      <c r="C304" s="20" t="s">
        <v>216</v>
      </c>
      <c r="D304" s="20" t="s">
        <v>102</v>
      </c>
      <c r="E304" s="20" t="s">
        <v>34</v>
      </c>
      <c r="F304" s="28" t="str">
        <f ca="1">CONCATENATE("[…]", TEXT(NOW(),"dd/mm/yyy hh:mm:ss"))</f>
        <v>[…]12/12/2024 16:42:19</v>
      </c>
    </row>
    <row r="305" spans="1:6" ht="13.9" x14ac:dyDescent="0.4">
      <c r="A305" s="20" t="s">
        <v>61</v>
      </c>
      <c r="B305" s="20" t="s">
        <v>217</v>
      </c>
      <c r="C305" s="20" t="s">
        <v>218</v>
      </c>
      <c r="D305" s="20" t="s">
        <v>102</v>
      </c>
      <c r="E305" s="20" t="s">
        <v>34</v>
      </c>
      <c r="F305" s="28" t="str">
        <f ca="1">MID(CELL("filename"),SEARCH("[",CELL("filename"))+1,SEARCH("]",CELL("filename"))-SEARCH("[",CELL("filename"))-1)</f>
        <v>PR24 FD OC13 ODI risk - Feeder Model (Per Capita Consumption and Business Demand).xlsx</v>
      </c>
    </row>
    <row r="306" spans="1:6" ht="13.9" x14ac:dyDescent="0.4">
      <c r="A306" s="20" t="s">
        <v>61</v>
      </c>
      <c r="B306" s="20" t="s">
        <v>219</v>
      </c>
      <c r="C306" s="20" t="s">
        <v>220</v>
      </c>
      <c r="D306" s="20" t="s">
        <v>102</v>
      </c>
      <c r="E306" s="20" t="s">
        <v>34</v>
      </c>
      <c r="F306" s="28" t="str">
        <f>F_Inputs!$E$1</f>
        <v>Run on 06 Dec 2024 15:13</v>
      </c>
    </row>
    <row r="307" spans="1:6" ht="13.9" x14ac:dyDescent="0.4">
      <c r="A307" s="20" t="s">
        <v>61</v>
      </c>
      <c r="B307" s="20" t="s">
        <v>221</v>
      </c>
      <c r="C307" s="20" t="s">
        <v>222</v>
      </c>
      <c r="D307" s="20" t="s">
        <v>102</v>
      </c>
      <c r="E307" s="20" t="s">
        <v>34</v>
      </c>
      <c r="F307" s="28" t="s">
        <v>223</v>
      </c>
    </row>
    <row r="308" spans="1:6" ht="13.9" x14ac:dyDescent="0.4">
      <c r="A308" s="20" t="s">
        <v>60</v>
      </c>
      <c r="B308" s="20" t="s">
        <v>147</v>
      </c>
      <c r="C308" s="20" t="s">
        <v>148</v>
      </c>
      <c r="D308" s="20" t="s">
        <v>102</v>
      </c>
      <c r="E308" s="20" t="s">
        <v>34</v>
      </c>
      <c r="F308" s="28">
        <f>'Final Output'!K27</f>
        <v>-9.679681148616838E-2</v>
      </c>
    </row>
    <row r="309" spans="1:6" ht="13.9" x14ac:dyDescent="0.4">
      <c r="A309" s="20" t="s">
        <v>60</v>
      </c>
      <c r="B309" s="20" t="s">
        <v>149</v>
      </c>
      <c r="C309" s="20" t="s">
        <v>150</v>
      </c>
      <c r="D309" s="20" t="s">
        <v>102</v>
      </c>
      <c r="E309" s="20" t="s">
        <v>34</v>
      </c>
      <c r="F309" s="28">
        <f>'Final Output'!K28</f>
        <v>-8.1541326383880952E-2</v>
      </c>
    </row>
    <row r="310" spans="1:6" ht="13.9" x14ac:dyDescent="0.4">
      <c r="A310" s="20" t="s">
        <v>60</v>
      </c>
      <c r="B310" s="20" t="s">
        <v>151</v>
      </c>
      <c r="C310" s="20" t="s">
        <v>152</v>
      </c>
      <c r="D310" s="20" t="s">
        <v>102</v>
      </c>
      <c r="E310" s="20" t="s">
        <v>34</v>
      </c>
      <c r="F310" s="28">
        <f>'Final Output'!K29</f>
        <v>-7.2635013104052293E-2</v>
      </c>
    </row>
    <row r="311" spans="1:6" ht="13.9" x14ac:dyDescent="0.4">
      <c r="A311" s="20" t="s">
        <v>60</v>
      </c>
      <c r="B311" s="20" t="s">
        <v>153</v>
      </c>
      <c r="C311" s="20" t="s">
        <v>154</v>
      </c>
      <c r="D311" s="20" t="s">
        <v>102</v>
      </c>
      <c r="E311" s="20" t="s">
        <v>34</v>
      </c>
      <c r="F311" s="28">
        <f>'Final Output'!K30</f>
        <v>-5.9656505650614054E-2</v>
      </c>
    </row>
    <row r="312" spans="1:6" ht="13.9" x14ac:dyDescent="0.4">
      <c r="A312" s="20" t="s">
        <v>60</v>
      </c>
      <c r="B312" s="20" t="s">
        <v>155</v>
      </c>
      <c r="C312" s="20" t="s">
        <v>156</v>
      </c>
      <c r="D312" s="20" t="s">
        <v>102</v>
      </c>
      <c r="E312" s="20" t="s">
        <v>34</v>
      </c>
      <c r="F312" s="28">
        <f>'Final Output'!K31</f>
        <v>-5.3265439894555767E-2</v>
      </c>
    </row>
    <row r="313" spans="1:6" ht="13.9" x14ac:dyDescent="0.4">
      <c r="A313" s="20" t="s">
        <v>60</v>
      </c>
      <c r="B313" s="20" t="s">
        <v>157</v>
      </c>
      <c r="C313" s="20" t="s">
        <v>158</v>
      </c>
      <c r="D313" s="20" t="s">
        <v>102</v>
      </c>
      <c r="E313" s="20" t="s">
        <v>34</v>
      </c>
      <c r="F313" s="28">
        <f>'Final Output'!K32</f>
        <v>-3.9710933617870217E-2</v>
      </c>
    </row>
    <row r="314" spans="1:6" ht="13.9" x14ac:dyDescent="0.4">
      <c r="A314" s="20" t="s">
        <v>60</v>
      </c>
      <c r="B314" s="20" t="s">
        <v>159</v>
      </c>
      <c r="C314" s="20" t="s">
        <v>160</v>
      </c>
      <c r="D314" s="20" t="s">
        <v>102</v>
      </c>
      <c r="E314" s="20" t="s">
        <v>34</v>
      </c>
      <c r="F314" s="28">
        <f>'Final Output'!K33</f>
        <v>-2.6502070624940276E-2</v>
      </c>
    </row>
    <row r="315" spans="1:6" ht="13.9" x14ac:dyDescent="0.4">
      <c r="A315" s="20" t="s">
        <v>60</v>
      </c>
      <c r="B315" s="20" t="s">
        <v>161</v>
      </c>
      <c r="C315" s="20" t="s">
        <v>162</v>
      </c>
      <c r="D315" s="20" t="s">
        <v>102</v>
      </c>
      <c r="E315" s="20" t="s">
        <v>34</v>
      </c>
      <c r="F315" s="28">
        <f>'Final Output'!K34</f>
        <v>-1.2207272797456018E-2</v>
      </c>
    </row>
    <row r="316" spans="1:6" ht="13.9" x14ac:dyDescent="0.4">
      <c r="A316" s="20" t="s">
        <v>60</v>
      </c>
      <c r="B316" s="20" t="s">
        <v>163</v>
      </c>
      <c r="C316" s="20" t="s">
        <v>164</v>
      </c>
      <c r="D316" s="20" t="s">
        <v>102</v>
      </c>
      <c r="E316" s="20" t="s">
        <v>34</v>
      </c>
      <c r="F316" s="28">
        <f>'Final Output'!K35</f>
        <v>0</v>
      </c>
    </row>
    <row r="317" spans="1:6" ht="13.9" x14ac:dyDescent="0.4">
      <c r="A317" s="20" t="s">
        <v>60</v>
      </c>
      <c r="B317" s="20" t="s">
        <v>165</v>
      </c>
      <c r="C317" s="20" t="s">
        <v>166</v>
      </c>
      <c r="D317" s="20" t="s">
        <v>102</v>
      </c>
      <c r="E317" s="20" t="s">
        <v>34</v>
      </c>
      <c r="F317" s="28">
        <f>'Final Output'!K36</f>
        <v>1.2207272797456018E-2</v>
      </c>
    </row>
    <row r="318" spans="1:6" ht="13.9" x14ac:dyDescent="0.4">
      <c r="A318" s="20" t="s">
        <v>60</v>
      </c>
      <c r="B318" s="20" t="s">
        <v>167</v>
      </c>
      <c r="C318" s="20" t="s">
        <v>168</v>
      </c>
      <c r="D318" s="20" t="s">
        <v>102</v>
      </c>
      <c r="E318" s="20" t="s">
        <v>34</v>
      </c>
      <c r="F318" s="28">
        <f>'Final Output'!K37</f>
        <v>2.6502070624940276E-2</v>
      </c>
    </row>
    <row r="319" spans="1:6" ht="13.9" x14ac:dyDescent="0.4">
      <c r="A319" s="20" t="s">
        <v>60</v>
      </c>
      <c r="B319" s="20" t="s">
        <v>169</v>
      </c>
      <c r="C319" s="20" t="s">
        <v>170</v>
      </c>
      <c r="D319" s="20" t="s">
        <v>102</v>
      </c>
      <c r="E319" s="20" t="s">
        <v>34</v>
      </c>
      <c r="F319" s="28">
        <f>'Final Output'!K38</f>
        <v>3.9710933617870217E-2</v>
      </c>
    </row>
    <row r="320" spans="1:6" ht="13.9" x14ac:dyDescent="0.4">
      <c r="A320" s="20" t="s">
        <v>60</v>
      </c>
      <c r="B320" s="20" t="s">
        <v>171</v>
      </c>
      <c r="C320" s="20" t="s">
        <v>172</v>
      </c>
      <c r="D320" s="20" t="s">
        <v>102</v>
      </c>
      <c r="E320" s="20" t="s">
        <v>34</v>
      </c>
      <c r="F320" s="28">
        <f>'Final Output'!K39</f>
        <v>5.3265439894555767E-2</v>
      </c>
    </row>
    <row r="321" spans="1:6" ht="13.9" x14ac:dyDescent="0.4">
      <c r="A321" s="20" t="s">
        <v>60</v>
      </c>
      <c r="B321" s="20" t="s">
        <v>173</v>
      </c>
      <c r="C321" s="20" t="s">
        <v>174</v>
      </c>
      <c r="D321" s="20" t="s">
        <v>102</v>
      </c>
      <c r="E321" s="20" t="s">
        <v>34</v>
      </c>
      <c r="F321" s="28">
        <f>'Final Output'!K40</f>
        <v>5.9656505650614054E-2</v>
      </c>
    </row>
    <row r="322" spans="1:6" ht="13.9" x14ac:dyDescent="0.4">
      <c r="A322" s="20" t="s">
        <v>60</v>
      </c>
      <c r="B322" s="20" t="s">
        <v>175</v>
      </c>
      <c r="C322" s="20" t="s">
        <v>176</v>
      </c>
      <c r="D322" s="20" t="s">
        <v>102</v>
      </c>
      <c r="E322" s="20" t="s">
        <v>34</v>
      </c>
      <c r="F322" s="28">
        <f>'Final Output'!K41</f>
        <v>7.2635013104052293E-2</v>
      </c>
    </row>
    <row r="323" spans="1:6" ht="13.9" x14ac:dyDescent="0.4">
      <c r="A323" s="20" t="s">
        <v>60</v>
      </c>
      <c r="B323" s="20" t="s">
        <v>177</v>
      </c>
      <c r="C323" s="20" t="s">
        <v>178</v>
      </c>
      <c r="D323" s="20" t="s">
        <v>102</v>
      </c>
      <c r="E323" s="20" t="s">
        <v>34</v>
      </c>
      <c r="F323" s="28">
        <f>'Final Output'!K42</f>
        <v>8.1541326383880952E-2</v>
      </c>
    </row>
    <row r="324" spans="1:6" ht="13.9" x14ac:dyDescent="0.4">
      <c r="A324" s="20" t="s">
        <v>60</v>
      </c>
      <c r="B324" s="20" t="s">
        <v>179</v>
      </c>
      <c r="C324" s="20" t="s">
        <v>180</v>
      </c>
      <c r="D324" s="20" t="s">
        <v>102</v>
      </c>
      <c r="E324" s="20" t="s">
        <v>34</v>
      </c>
      <c r="F324" s="28">
        <f>'Final Output'!K43</f>
        <v>9.679681148616838E-2</v>
      </c>
    </row>
    <row r="325" spans="1:6" ht="13.9" x14ac:dyDescent="0.4">
      <c r="A325" s="20" t="s">
        <v>60</v>
      </c>
      <c r="B325" s="20" t="s">
        <v>181</v>
      </c>
      <c r="C325" s="20" t="s">
        <v>182</v>
      </c>
      <c r="D325" s="20" t="s">
        <v>102</v>
      </c>
      <c r="E325" s="20" t="s">
        <v>34</v>
      </c>
      <c r="F325" s="28">
        <f>'Final Output'!K9</f>
        <v>-6.5703864011792859E-2</v>
      </c>
    </row>
    <row r="326" spans="1:6" ht="13.9" x14ac:dyDescent="0.4">
      <c r="A326" s="20" t="s">
        <v>60</v>
      </c>
      <c r="B326" s="20" t="s">
        <v>183</v>
      </c>
      <c r="C326" s="20" t="s">
        <v>184</v>
      </c>
      <c r="D326" s="20" t="s">
        <v>102</v>
      </c>
      <c r="E326" s="20" t="s">
        <v>34</v>
      </c>
      <c r="F326" s="28">
        <f>'Final Output'!K10</f>
        <v>-4.8434415772688172E-2</v>
      </c>
    </row>
    <row r="327" spans="1:6" ht="13.9" x14ac:dyDescent="0.4">
      <c r="A327" s="20" t="s">
        <v>60</v>
      </c>
      <c r="B327" s="20" t="s">
        <v>185</v>
      </c>
      <c r="C327" s="20" t="s">
        <v>186</v>
      </c>
      <c r="D327" s="20" t="s">
        <v>102</v>
      </c>
      <c r="E327" s="20" t="s">
        <v>34</v>
      </c>
      <c r="F327" s="28">
        <f>'Final Output'!K11</f>
        <v>-4.1773779563880883E-2</v>
      </c>
    </row>
    <row r="328" spans="1:6" ht="13.9" x14ac:dyDescent="0.4">
      <c r="A328" s="20" t="s">
        <v>60</v>
      </c>
      <c r="B328" s="20" t="s">
        <v>187</v>
      </c>
      <c r="C328" s="20" t="s">
        <v>188</v>
      </c>
      <c r="D328" s="20" t="s">
        <v>102</v>
      </c>
      <c r="E328" s="20" t="s">
        <v>34</v>
      </c>
      <c r="F328" s="28">
        <f>'Final Output'!K12</f>
        <v>-3.7912815833552369E-2</v>
      </c>
    </row>
    <row r="329" spans="1:6" ht="13.9" x14ac:dyDescent="0.4">
      <c r="A329" s="20" t="s">
        <v>60</v>
      </c>
      <c r="B329" s="20" t="s">
        <v>189</v>
      </c>
      <c r="C329" s="20" t="s">
        <v>190</v>
      </c>
      <c r="D329" s="20" t="s">
        <v>102</v>
      </c>
      <c r="E329" s="20" t="s">
        <v>34</v>
      </c>
      <c r="F329" s="28">
        <f>'Final Output'!K13</f>
        <v>-3.5623914367531956E-2</v>
      </c>
    </row>
    <row r="330" spans="1:6" ht="13.9" x14ac:dyDescent="0.4">
      <c r="A330" s="20" t="s">
        <v>60</v>
      </c>
      <c r="B330" s="20" t="s">
        <v>191</v>
      </c>
      <c r="C330" s="20" t="s">
        <v>192</v>
      </c>
      <c r="D330" s="20" t="s">
        <v>102</v>
      </c>
      <c r="E330" s="20" t="s">
        <v>34</v>
      </c>
      <c r="F330" s="28">
        <f>'Final Output'!K14</f>
        <v>-2.8419468525651321E-2</v>
      </c>
    </row>
    <row r="331" spans="1:6" ht="13.9" x14ac:dyDescent="0.4">
      <c r="A331" s="20" t="s">
        <v>60</v>
      </c>
      <c r="B331" s="20" t="s">
        <v>193</v>
      </c>
      <c r="C331" s="20" t="s">
        <v>194</v>
      </c>
      <c r="D331" s="20" t="s">
        <v>102</v>
      </c>
      <c r="E331" s="20" t="s">
        <v>34</v>
      </c>
      <c r="F331" s="28">
        <f>'Final Output'!K15</f>
        <v>-1.5286447542521703E-2</v>
      </c>
    </row>
    <row r="332" spans="1:6" ht="13.9" x14ac:dyDescent="0.4">
      <c r="A332" s="20" t="s">
        <v>60</v>
      </c>
      <c r="B332" s="20" t="s">
        <v>195</v>
      </c>
      <c r="C332" s="20" t="s">
        <v>196</v>
      </c>
      <c r="D332" s="20" t="s">
        <v>102</v>
      </c>
      <c r="E332" s="20" t="s">
        <v>34</v>
      </c>
      <c r="F332" s="28">
        <f>'Final Output'!K16</f>
        <v>-6.6832871879386607E-3</v>
      </c>
    </row>
    <row r="333" spans="1:6" ht="13.9" x14ac:dyDescent="0.4">
      <c r="A333" s="20" t="s">
        <v>60</v>
      </c>
      <c r="B333" s="20" t="s">
        <v>197</v>
      </c>
      <c r="C333" s="20" t="s">
        <v>198</v>
      </c>
      <c r="D333" s="20" t="s">
        <v>102</v>
      </c>
      <c r="E333" s="20" t="s">
        <v>34</v>
      </c>
      <c r="F333" s="28">
        <f>'Final Output'!K17</f>
        <v>0</v>
      </c>
    </row>
    <row r="334" spans="1:6" ht="13.9" x14ac:dyDescent="0.4">
      <c r="A334" s="20" t="s">
        <v>60</v>
      </c>
      <c r="B334" s="20" t="s">
        <v>199</v>
      </c>
      <c r="C334" s="20" t="s">
        <v>200</v>
      </c>
      <c r="D334" s="20" t="s">
        <v>102</v>
      </c>
      <c r="E334" s="20" t="s">
        <v>34</v>
      </c>
      <c r="F334" s="28">
        <f>'Final Output'!K18</f>
        <v>6.6832871879386607E-3</v>
      </c>
    </row>
    <row r="335" spans="1:6" ht="13.9" x14ac:dyDescent="0.4">
      <c r="A335" s="20" t="s">
        <v>60</v>
      </c>
      <c r="B335" s="20" t="s">
        <v>201</v>
      </c>
      <c r="C335" s="20" t="s">
        <v>202</v>
      </c>
      <c r="D335" s="20" t="s">
        <v>102</v>
      </c>
      <c r="E335" s="20" t="s">
        <v>34</v>
      </c>
      <c r="F335" s="28">
        <f>'Final Output'!K19</f>
        <v>1.5286447542521703E-2</v>
      </c>
    </row>
    <row r="336" spans="1:6" ht="13.9" x14ac:dyDescent="0.4">
      <c r="A336" s="20" t="s">
        <v>60</v>
      </c>
      <c r="B336" s="20" t="s">
        <v>203</v>
      </c>
      <c r="C336" s="20" t="s">
        <v>204</v>
      </c>
      <c r="D336" s="20" t="s">
        <v>102</v>
      </c>
      <c r="E336" s="20" t="s">
        <v>34</v>
      </c>
      <c r="F336" s="28">
        <f>'Final Output'!K20</f>
        <v>2.8419468525651321E-2</v>
      </c>
    </row>
    <row r="337" spans="1:6" ht="13.9" x14ac:dyDescent="0.4">
      <c r="A337" s="20" t="s">
        <v>60</v>
      </c>
      <c r="B337" s="20" t="s">
        <v>205</v>
      </c>
      <c r="C337" s="20" t="s">
        <v>206</v>
      </c>
      <c r="D337" s="20" t="s">
        <v>102</v>
      </c>
      <c r="E337" s="20" t="s">
        <v>34</v>
      </c>
      <c r="F337" s="28">
        <f>'Final Output'!K21</f>
        <v>3.5623914367531956E-2</v>
      </c>
    </row>
    <row r="338" spans="1:6" ht="13.9" x14ac:dyDescent="0.4">
      <c r="A338" s="20" t="s">
        <v>60</v>
      </c>
      <c r="B338" s="20" t="s">
        <v>207</v>
      </c>
      <c r="C338" s="20" t="s">
        <v>208</v>
      </c>
      <c r="D338" s="20" t="s">
        <v>102</v>
      </c>
      <c r="E338" s="20" t="s">
        <v>34</v>
      </c>
      <c r="F338" s="28">
        <f>'Final Output'!K22</f>
        <v>3.7912815833552369E-2</v>
      </c>
    </row>
    <row r="339" spans="1:6" ht="13.9" x14ac:dyDescent="0.4">
      <c r="A339" s="20" t="s">
        <v>60</v>
      </c>
      <c r="B339" s="20" t="s">
        <v>209</v>
      </c>
      <c r="C339" s="20" t="s">
        <v>210</v>
      </c>
      <c r="D339" s="20" t="s">
        <v>102</v>
      </c>
      <c r="E339" s="20" t="s">
        <v>34</v>
      </c>
      <c r="F339" s="28">
        <f>'Final Output'!K23</f>
        <v>4.1773779563880883E-2</v>
      </c>
    </row>
    <row r="340" spans="1:6" ht="13.9" x14ac:dyDescent="0.4">
      <c r="A340" s="20" t="s">
        <v>60</v>
      </c>
      <c r="B340" s="20" t="s">
        <v>211</v>
      </c>
      <c r="C340" s="20" t="s">
        <v>212</v>
      </c>
      <c r="D340" s="20" t="s">
        <v>102</v>
      </c>
      <c r="E340" s="20" t="s">
        <v>34</v>
      </c>
      <c r="F340" s="28">
        <f>'Final Output'!K24</f>
        <v>4.8434415772688172E-2</v>
      </c>
    </row>
    <row r="341" spans="1:6" ht="13.9" x14ac:dyDescent="0.4">
      <c r="A341" s="20" t="s">
        <v>60</v>
      </c>
      <c r="B341" s="20" t="s">
        <v>213</v>
      </c>
      <c r="C341" s="20" t="s">
        <v>214</v>
      </c>
      <c r="D341" s="20" t="s">
        <v>102</v>
      </c>
      <c r="E341" s="20" t="s">
        <v>34</v>
      </c>
      <c r="F341" s="28">
        <f>'Final Output'!K25</f>
        <v>6.5703864011792859E-2</v>
      </c>
    </row>
    <row r="342" spans="1:6" ht="13.9" x14ac:dyDescent="0.4">
      <c r="A342" s="20" t="s">
        <v>60</v>
      </c>
      <c r="B342" s="20" t="s">
        <v>215</v>
      </c>
      <c r="C342" s="20" t="s">
        <v>216</v>
      </c>
      <c r="D342" s="20" t="s">
        <v>102</v>
      </c>
      <c r="E342" s="20" t="s">
        <v>34</v>
      </c>
      <c r="F342" s="28" t="str">
        <f ca="1">CONCATENATE("[…]", TEXT(NOW(),"dd/mm/yyy hh:mm:ss"))</f>
        <v>[…]12/12/2024 16:42:19</v>
      </c>
    </row>
    <row r="343" spans="1:6" ht="13.9" x14ac:dyDescent="0.4">
      <c r="A343" s="20" t="s">
        <v>60</v>
      </c>
      <c r="B343" s="20" t="s">
        <v>217</v>
      </c>
      <c r="C343" s="20" t="s">
        <v>218</v>
      </c>
      <c r="D343" s="20" t="s">
        <v>102</v>
      </c>
      <c r="E343" s="20" t="s">
        <v>34</v>
      </c>
      <c r="F343" s="28" t="str">
        <f ca="1">MID(CELL("filename"),SEARCH("[",CELL("filename"))+1,SEARCH("]",CELL("filename"))-SEARCH("[",CELL("filename"))-1)</f>
        <v>PR24 FD OC13 ODI risk - Feeder Model (Per Capita Consumption and Business Demand).xlsx</v>
      </c>
    </row>
    <row r="344" spans="1:6" ht="13.9" x14ac:dyDescent="0.4">
      <c r="A344" s="20" t="s">
        <v>60</v>
      </c>
      <c r="B344" s="20" t="s">
        <v>219</v>
      </c>
      <c r="C344" s="20" t="s">
        <v>220</v>
      </c>
      <c r="D344" s="20" t="s">
        <v>102</v>
      </c>
      <c r="E344" s="20" t="s">
        <v>34</v>
      </c>
      <c r="F344" s="28" t="str">
        <f>F_Inputs!$E$1</f>
        <v>Run on 06 Dec 2024 15:13</v>
      </c>
    </row>
    <row r="345" spans="1:6" ht="13.9" x14ac:dyDescent="0.4">
      <c r="A345" s="20" t="s">
        <v>60</v>
      </c>
      <c r="B345" s="20" t="s">
        <v>221</v>
      </c>
      <c r="C345" s="20" t="s">
        <v>222</v>
      </c>
      <c r="D345" s="20" t="s">
        <v>102</v>
      </c>
      <c r="E345" s="20" t="s">
        <v>34</v>
      </c>
      <c r="F345" s="28" t="s">
        <v>223</v>
      </c>
    </row>
    <row r="346" spans="1:6" ht="13.9" x14ac:dyDescent="0.4">
      <c r="A346" s="20" t="s">
        <v>51</v>
      </c>
      <c r="B346" s="20" t="s">
        <v>147</v>
      </c>
      <c r="C346" s="20" t="s">
        <v>148</v>
      </c>
      <c r="D346" s="20" t="s">
        <v>102</v>
      </c>
      <c r="E346" s="20" t="s">
        <v>34</v>
      </c>
      <c r="F346" s="28">
        <f>'Final Output'!K27</f>
        <v>-9.679681148616838E-2</v>
      </c>
    </row>
    <row r="347" spans="1:6" ht="13.9" x14ac:dyDescent="0.4">
      <c r="A347" s="20" t="s">
        <v>51</v>
      </c>
      <c r="B347" s="20" t="s">
        <v>149</v>
      </c>
      <c r="C347" s="20" t="s">
        <v>150</v>
      </c>
      <c r="D347" s="20" t="s">
        <v>102</v>
      </c>
      <c r="E347" s="20" t="s">
        <v>34</v>
      </c>
      <c r="F347" s="28">
        <f>'Final Output'!K28</f>
        <v>-8.1541326383880952E-2</v>
      </c>
    </row>
    <row r="348" spans="1:6" ht="13.9" x14ac:dyDescent="0.4">
      <c r="A348" s="20" t="s">
        <v>51</v>
      </c>
      <c r="B348" s="20" t="s">
        <v>151</v>
      </c>
      <c r="C348" s="20" t="s">
        <v>152</v>
      </c>
      <c r="D348" s="20" t="s">
        <v>102</v>
      </c>
      <c r="E348" s="20" t="s">
        <v>34</v>
      </c>
      <c r="F348" s="28">
        <f>'Final Output'!K29</f>
        <v>-7.2635013104052293E-2</v>
      </c>
    </row>
    <row r="349" spans="1:6" ht="13.9" x14ac:dyDescent="0.4">
      <c r="A349" s="20" t="s">
        <v>51</v>
      </c>
      <c r="B349" s="20" t="s">
        <v>153</v>
      </c>
      <c r="C349" s="20" t="s">
        <v>154</v>
      </c>
      <c r="D349" s="20" t="s">
        <v>102</v>
      </c>
      <c r="E349" s="20" t="s">
        <v>34</v>
      </c>
      <c r="F349" s="28">
        <f>'Final Output'!K30</f>
        <v>-5.9656505650614054E-2</v>
      </c>
    </row>
    <row r="350" spans="1:6" ht="13.9" x14ac:dyDescent="0.4">
      <c r="A350" s="20" t="s">
        <v>51</v>
      </c>
      <c r="B350" s="20" t="s">
        <v>155</v>
      </c>
      <c r="C350" s="20" t="s">
        <v>156</v>
      </c>
      <c r="D350" s="20" t="s">
        <v>102</v>
      </c>
      <c r="E350" s="20" t="s">
        <v>34</v>
      </c>
      <c r="F350" s="28">
        <f>'Final Output'!K31</f>
        <v>-5.3265439894555767E-2</v>
      </c>
    </row>
    <row r="351" spans="1:6" ht="13.9" x14ac:dyDescent="0.4">
      <c r="A351" s="20" t="s">
        <v>51</v>
      </c>
      <c r="B351" s="20" t="s">
        <v>157</v>
      </c>
      <c r="C351" s="20" t="s">
        <v>158</v>
      </c>
      <c r="D351" s="20" t="s">
        <v>102</v>
      </c>
      <c r="E351" s="20" t="s">
        <v>34</v>
      </c>
      <c r="F351" s="28">
        <f>'Final Output'!K32</f>
        <v>-3.9710933617870217E-2</v>
      </c>
    </row>
    <row r="352" spans="1:6" ht="13.9" x14ac:dyDescent="0.4">
      <c r="A352" s="20" t="s">
        <v>51</v>
      </c>
      <c r="B352" s="20" t="s">
        <v>159</v>
      </c>
      <c r="C352" s="20" t="s">
        <v>160</v>
      </c>
      <c r="D352" s="20" t="s">
        <v>102</v>
      </c>
      <c r="E352" s="20" t="s">
        <v>34</v>
      </c>
      <c r="F352" s="28">
        <f>'Final Output'!K33</f>
        <v>-2.6502070624940276E-2</v>
      </c>
    </row>
    <row r="353" spans="1:6" ht="13.9" x14ac:dyDescent="0.4">
      <c r="A353" s="20" t="s">
        <v>51</v>
      </c>
      <c r="B353" s="20" t="s">
        <v>161</v>
      </c>
      <c r="C353" s="20" t="s">
        <v>162</v>
      </c>
      <c r="D353" s="20" t="s">
        <v>102</v>
      </c>
      <c r="E353" s="20" t="s">
        <v>34</v>
      </c>
      <c r="F353" s="28">
        <f>'Final Output'!K34</f>
        <v>-1.2207272797456018E-2</v>
      </c>
    </row>
    <row r="354" spans="1:6" ht="13.9" x14ac:dyDescent="0.4">
      <c r="A354" s="20" t="s">
        <v>51</v>
      </c>
      <c r="B354" s="20" t="s">
        <v>163</v>
      </c>
      <c r="C354" s="20" t="s">
        <v>164</v>
      </c>
      <c r="D354" s="20" t="s">
        <v>102</v>
      </c>
      <c r="E354" s="20" t="s">
        <v>34</v>
      </c>
      <c r="F354" s="28">
        <f>'Final Output'!K35</f>
        <v>0</v>
      </c>
    </row>
    <row r="355" spans="1:6" ht="13.9" x14ac:dyDescent="0.4">
      <c r="A355" s="20" t="s">
        <v>51</v>
      </c>
      <c r="B355" s="20" t="s">
        <v>165</v>
      </c>
      <c r="C355" s="20" t="s">
        <v>166</v>
      </c>
      <c r="D355" s="20" t="s">
        <v>102</v>
      </c>
      <c r="E355" s="20" t="s">
        <v>34</v>
      </c>
      <c r="F355" s="28">
        <f>'Final Output'!K36</f>
        <v>1.2207272797456018E-2</v>
      </c>
    </row>
    <row r="356" spans="1:6" ht="13.9" x14ac:dyDescent="0.4">
      <c r="A356" s="20" t="s">
        <v>51</v>
      </c>
      <c r="B356" s="20" t="s">
        <v>167</v>
      </c>
      <c r="C356" s="20" t="s">
        <v>168</v>
      </c>
      <c r="D356" s="20" t="s">
        <v>102</v>
      </c>
      <c r="E356" s="20" t="s">
        <v>34</v>
      </c>
      <c r="F356" s="28">
        <f>'Final Output'!K37</f>
        <v>2.6502070624940276E-2</v>
      </c>
    </row>
    <row r="357" spans="1:6" ht="13.9" x14ac:dyDescent="0.4">
      <c r="A357" s="20" t="s">
        <v>51</v>
      </c>
      <c r="B357" s="20" t="s">
        <v>169</v>
      </c>
      <c r="C357" s="20" t="s">
        <v>170</v>
      </c>
      <c r="D357" s="20" t="s">
        <v>102</v>
      </c>
      <c r="E357" s="20" t="s">
        <v>34</v>
      </c>
      <c r="F357" s="28">
        <f>'Final Output'!K38</f>
        <v>3.9710933617870217E-2</v>
      </c>
    </row>
    <row r="358" spans="1:6" ht="13.9" x14ac:dyDescent="0.4">
      <c r="A358" s="20" t="s">
        <v>51</v>
      </c>
      <c r="B358" s="20" t="s">
        <v>171</v>
      </c>
      <c r="C358" s="20" t="s">
        <v>172</v>
      </c>
      <c r="D358" s="20" t="s">
        <v>102</v>
      </c>
      <c r="E358" s="20" t="s">
        <v>34</v>
      </c>
      <c r="F358" s="28">
        <f>'Final Output'!K39</f>
        <v>5.3265439894555767E-2</v>
      </c>
    </row>
    <row r="359" spans="1:6" ht="13.9" x14ac:dyDescent="0.4">
      <c r="A359" s="20" t="s">
        <v>51</v>
      </c>
      <c r="B359" s="20" t="s">
        <v>173</v>
      </c>
      <c r="C359" s="20" t="s">
        <v>174</v>
      </c>
      <c r="D359" s="20" t="s">
        <v>102</v>
      </c>
      <c r="E359" s="20" t="s">
        <v>34</v>
      </c>
      <c r="F359" s="28">
        <f>'Final Output'!K40</f>
        <v>5.9656505650614054E-2</v>
      </c>
    </row>
    <row r="360" spans="1:6" ht="13.9" x14ac:dyDescent="0.4">
      <c r="A360" s="20" t="s">
        <v>51</v>
      </c>
      <c r="B360" s="20" t="s">
        <v>175</v>
      </c>
      <c r="C360" s="20" t="s">
        <v>176</v>
      </c>
      <c r="D360" s="20" t="s">
        <v>102</v>
      </c>
      <c r="E360" s="20" t="s">
        <v>34</v>
      </c>
      <c r="F360" s="28">
        <f>'Final Output'!K41</f>
        <v>7.2635013104052293E-2</v>
      </c>
    </row>
    <row r="361" spans="1:6" ht="13.9" x14ac:dyDescent="0.4">
      <c r="A361" s="20" t="s">
        <v>51</v>
      </c>
      <c r="B361" s="20" t="s">
        <v>177</v>
      </c>
      <c r="C361" s="20" t="s">
        <v>178</v>
      </c>
      <c r="D361" s="20" t="s">
        <v>102</v>
      </c>
      <c r="E361" s="20" t="s">
        <v>34</v>
      </c>
      <c r="F361" s="28">
        <f>'Final Output'!K42</f>
        <v>8.1541326383880952E-2</v>
      </c>
    </row>
    <row r="362" spans="1:6" ht="13.9" x14ac:dyDescent="0.4">
      <c r="A362" s="20" t="s">
        <v>51</v>
      </c>
      <c r="B362" s="20" t="s">
        <v>179</v>
      </c>
      <c r="C362" s="20" t="s">
        <v>180</v>
      </c>
      <c r="D362" s="20" t="s">
        <v>102</v>
      </c>
      <c r="E362" s="20" t="s">
        <v>34</v>
      </c>
      <c r="F362" s="28">
        <f>'Final Output'!K43</f>
        <v>9.679681148616838E-2</v>
      </c>
    </row>
    <row r="363" spans="1:6" ht="13.9" x14ac:dyDescent="0.4">
      <c r="A363" s="20" t="s">
        <v>51</v>
      </c>
      <c r="B363" s="20" t="s">
        <v>181</v>
      </c>
      <c r="C363" s="20" t="s">
        <v>182</v>
      </c>
      <c r="D363" s="20" t="s">
        <v>102</v>
      </c>
      <c r="E363" s="20" t="s">
        <v>34</v>
      </c>
      <c r="F363" s="28">
        <f>'Final Output'!K9</f>
        <v>-6.5703864011792859E-2</v>
      </c>
    </row>
    <row r="364" spans="1:6" ht="13.9" x14ac:dyDescent="0.4">
      <c r="A364" s="20" t="s">
        <v>51</v>
      </c>
      <c r="B364" s="20" t="s">
        <v>183</v>
      </c>
      <c r="C364" s="20" t="s">
        <v>184</v>
      </c>
      <c r="D364" s="20" t="s">
        <v>102</v>
      </c>
      <c r="E364" s="20" t="s">
        <v>34</v>
      </c>
      <c r="F364" s="28">
        <f>'Final Output'!K10</f>
        <v>-4.8434415772688172E-2</v>
      </c>
    </row>
    <row r="365" spans="1:6" ht="13.9" x14ac:dyDescent="0.4">
      <c r="A365" s="20" t="s">
        <v>51</v>
      </c>
      <c r="B365" s="20" t="s">
        <v>185</v>
      </c>
      <c r="C365" s="20" t="s">
        <v>186</v>
      </c>
      <c r="D365" s="20" t="s">
        <v>102</v>
      </c>
      <c r="E365" s="20" t="s">
        <v>34</v>
      </c>
      <c r="F365" s="28">
        <f>'Final Output'!K11</f>
        <v>-4.1773779563880883E-2</v>
      </c>
    </row>
    <row r="366" spans="1:6" ht="13.9" x14ac:dyDescent="0.4">
      <c r="A366" s="20" t="s">
        <v>51</v>
      </c>
      <c r="B366" s="20" t="s">
        <v>187</v>
      </c>
      <c r="C366" s="20" t="s">
        <v>188</v>
      </c>
      <c r="D366" s="20" t="s">
        <v>102</v>
      </c>
      <c r="E366" s="20" t="s">
        <v>34</v>
      </c>
      <c r="F366" s="28">
        <f>'Final Output'!K12</f>
        <v>-3.7912815833552369E-2</v>
      </c>
    </row>
    <row r="367" spans="1:6" ht="13.9" x14ac:dyDescent="0.4">
      <c r="A367" s="20" t="s">
        <v>51</v>
      </c>
      <c r="B367" s="20" t="s">
        <v>189</v>
      </c>
      <c r="C367" s="20" t="s">
        <v>190</v>
      </c>
      <c r="D367" s="20" t="s">
        <v>102</v>
      </c>
      <c r="E367" s="20" t="s">
        <v>34</v>
      </c>
      <c r="F367" s="28">
        <f>'Final Output'!K13</f>
        <v>-3.5623914367531956E-2</v>
      </c>
    </row>
    <row r="368" spans="1:6" ht="13.9" x14ac:dyDescent="0.4">
      <c r="A368" s="20" t="s">
        <v>51</v>
      </c>
      <c r="B368" s="20" t="s">
        <v>191</v>
      </c>
      <c r="C368" s="20" t="s">
        <v>192</v>
      </c>
      <c r="D368" s="20" t="s">
        <v>102</v>
      </c>
      <c r="E368" s="20" t="s">
        <v>34</v>
      </c>
      <c r="F368" s="28">
        <f>'Final Output'!K14</f>
        <v>-2.8419468525651321E-2</v>
      </c>
    </row>
    <row r="369" spans="1:6" ht="13.9" x14ac:dyDescent="0.4">
      <c r="A369" s="20" t="s">
        <v>51</v>
      </c>
      <c r="B369" s="20" t="s">
        <v>193</v>
      </c>
      <c r="C369" s="20" t="s">
        <v>194</v>
      </c>
      <c r="D369" s="20" t="s">
        <v>102</v>
      </c>
      <c r="E369" s="20" t="s">
        <v>34</v>
      </c>
      <c r="F369" s="28">
        <f>'Final Output'!K15</f>
        <v>-1.5286447542521703E-2</v>
      </c>
    </row>
    <row r="370" spans="1:6" ht="13.9" x14ac:dyDescent="0.4">
      <c r="A370" s="20" t="s">
        <v>51</v>
      </c>
      <c r="B370" s="20" t="s">
        <v>195</v>
      </c>
      <c r="C370" s="20" t="s">
        <v>196</v>
      </c>
      <c r="D370" s="20" t="s">
        <v>102</v>
      </c>
      <c r="E370" s="20" t="s">
        <v>34</v>
      </c>
      <c r="F370" s="28">
        <f>'Final Output'!K16</f>
        <v>-6.6832871879386607E-3</v>
      </c>
    </row>
    <row r="371" spans="1:6" ht="13.9" x14ac:dyDescent="0.4">
      <c r="A371" s="20" t="s">
        <v>51</v>
      </c>
      <c r="B371" s="20" t="s">
        <v>197</v>
      </c>
      <c r="C371" s="20" t="s">
        <v>198</v>
      </c>
      <c r="D371" s="20" t="s">
        <v>102</v>
      </c>
      <c r="E371" s="20" t="s">
        <v>34</v>
      </c>
      <c r="F371" s="28">
        <f>'Final Output'!K17</f>
        <v>0</v>
      </c>
    </row>
    <row r="372" spans="1:6" ht="13.9" x14ac:dyDescent="0.4">
      <c r="A372" s="20" t="s">
        <v>51</v>
      </c>
      <c r="B372" s="20" t="s">
        <v>199</v>
      </c>
      <c r="C372" s="20" t="s">
        <v>200</v>
      </c>
      <c r="D372" s="20" t="s">
        <v>102</v>
      </c>
      <c r="E372" s="20" t="s">
        <v>34</v>
      </c>
      <c r="F372" s="28">
        <f>'Final Output'!K18</f>
        <v>6.6832871879386607E-3</v>
      </c>
    </row>
    <row r="373" spans="1:6" ht="13.9" x14ac:dyDescent="0.4">
      <c r="A373" s="20" t="s">
        <v>51</v>
      </c>
      <c r="B373" s="20" t="s">
        <v>201</v>
      </c>
      <c r="C373" s="20" t="s">
        <v>202</v>
      </c>
      <c r="D373" s="20" t="s">
        <v>102</v>
      </c>
      <c r="E373" s="20" t="s">
        <v>34</v>
      </c>
      <c r="F373" s="28">
        <f>'Final Output'!K19</f>
        <v>1.5286447542521703E-2</v>
      </c>
    </row>
    <row r="374" spans="1:6" ht="13.9" x14ac:dyDescent="0.4">
      <c r="A374" s="20" t="s">
        <v>51</v>
      </c>
      <c r="B374" s="20" t="s">
        <v>203</v>
      </c>
      <c r="C374" s="20" t="s">
        <v>204</v>
      </c>
      <c r="D374" s="20" t="s">
        <v>102</v>
      </c>
      <c r="E374" s="20" t="s">
        <v>34</v>
      </c>
      <c r="F374" s="28">
        <f>'Final Output'!K20</f>
        <v>2.8419468525651321E-2</v>
      </c>
    </row>
    <row r="375" spans="1:6" ht="13.9" x14ac:dyDescent="0.4">
      <c r="A375" s="20" t="s">
        <v>51</v>
      </c>
      <c r="B375" s="20" t="s">
        <v>205</v>
      </c>
      <c r="C375" s="20" t="s">
        <v>206</v>
      </c>
      <c r="D375" s="20" t="s">
        <v>102</v>
      </c>
      <c r="E375" s="20" t="s">
        <v>34</v>
      </c>
      <c r="F375" s="28">
        <f>'Final Output'!K21</f>
        <v>3.5623914367531956E-2</v>
      </c>
    </row>
    <row r="376" spans="1:6" ht="13.9" x14ac:dyDescent="0.4">
      <c r="A376" s="20" t="s">
        <v>51</v>
      </c>
      <c r="B376" s="20" t="s">
        <v>207</v>
      </c>
      <c r="C376" s="20" t="s">
        <v>208</v>
      </c>
      <c r="D376" s="20" t="s">
        <v>102</v>
      </c>
      <c r="E376" s="20" t="s">
        <v>34</v>
      </c>
      <c r="F376" s="28">
        <f>'Final Output'!K22</f>
        <v>3.7912815833552369E-2</v>
      </c>
    </row>
    <row r="377" spans="1:6" ht="13.9" x14ac:dyDescent="0.4">
      <c r="A377" s="20" t="s">
        <v>51</v>
      </c>
      <c r="B377" s="20" t="s">
        <v>209</v>
      </c>
      <c r="C377" s="20" t="s">
        <v>210</v>
      </c>
      <c r="D377" s="20" t="s">
        <v>102</v>
      </c>
      <c r="E377" s="20" t="s">
        <v>34</v>
      </c>
      <c r="F377" s="28">
        <f>'Final Output'!K23</f>
        <v>4.1773779563880883E-2</v>
      </c>
    </row>
    <row r="378" spans="1:6" ht="13.9" x14ac:dyDescent="0.4">
      <c r="A378" s="20" t="s">
        <v>51</v>
      </c>
      <c r="B378" s="20" t="s">
        <v>211</v>
      </c>
      <c r="C378" s="20" t="s">
        <v>212</v>
      </c>
      <c r="D378" s="20" t="s">
        <v>102</v>
      </c>
      <c r="E378" s="20" t="s">
        <v>34</v>
      </c>
      <c r="F378" s="28">
        <f>'Final Output'!K24</f>
        <v>4.8434415772688172E-2</v>
      </c>
    </row>
    <row r="379" spans="1:6" ht="13.9" x14ac:dyDescent="0.4">
      <c r="A379" s="20" t="s">
        <v>51</v>
      </c>
      <c r="B379" s="20" t="s">
        <v>213</v>
      </c>
      <c r="C379" s="20" t="s">
        <v>214</v>
      </c>
      <c r="D379" s="20" t="s">
        <v>102</v>
      </c>
      <c r="E379" s="20" t="s">
        <v>34</v>
      </c>
      <c r="F379" s="28">
        <f>'Final Output'!K25</f>
        <v>6.5703864011792859E-2</v>
      </c>
    </row>
    <row r="380" spans="1:6" ht="13.9" x14ac:dyDescent="0.4">
      <c r="A380" s="20" t="s">
        <v>51</v>
      </c>
      <c r="B380" s="20" t="s">
        <v>215</v>
      </c>
      <c r="C380" s="20" t="s">
        <v>216</v>
      </c>
      <c r="D380" s="20" t="s">
        <v>102</v>
      </c>
      <c r="E380" s="20" t="s">
        <v>34</v>
      </c>
      <c r="F380" s="28" t="str">
        <f ca="1">CONCATENATE("[…]", TEXT(NOW(),"dd/mm/yyy hh:mm:ss"))</f>
        <v>[…]12/12/2024 16:42:19</v>
      </c>
    </row>
    <row r="381" spans="1:6" ht="13.9" x14ac:dyDescent="0.4">
      <c r="A381" s="20" t="s">
        <v>51</v>
      </c>
      <c r="B381" s="20" t="s">
        <v>217</v>
      </c>
      <c r="C381" s="20" t="s">
        <v>218</v>
      </c>
      <c r="D381" s="20" t="s">
        <v>102</v>
      </c>
      <c r="E381" s="20" t="s">
        <v>34</v>
      </c>
      <c r="F381" s="28" t="str">
        <f ca="1">MID(CELL("filename"),SEARCH("[",CELL("filename"))+1,SEARCH("]",CELL("filename"))-SEARCH("[",CELL("filename"))-1)</f>
        <v>PR24 FD OC13 ODI risk - Feeder Model (Per Capita Consumption and Business Demand).xlsx</v>
      </c>
    </row>
    <row r="382" spans="1:6" ht="13.9" x14ac:dyDescent="0.4">
      <c r="A382" s="20" t="s">
        <v>51</v>
      </c>
      <c r="B382" s="20" t="s">
        <v>219</v>
      </c>
      <c r="C382" s="20" t="s">
        <v>220</v>
      </c>
      <c r="D382" s="20" t="s">
        <v>102</v>
      </c>
      <c r="E382" s="20" t="s">
        <v>34</v>
      </c>
      <c r="F382" s="28" t="str">
        <f>F_Inputs!$E$1</f>
        <v>Run on 06 Dec 2024 15:13</v>
      </c>
    </row>
    <row r="383" spans="1:6" ht="13.9" x14ac:dyDescent="0.4">
      <c r="A383" s="20" t="s">
        <v>51</v>
      </c>
      <c r="B383" s="20" t="s">
        <v>221</v>
      </c>
      <c r="C383" s="20" t="s">
        <v>222</v>
      </c>
      <c r="D383" s="20" t="s">
        <v>102</v>
      </c>
      <c r="E383" s="20" t="s">
        <v>34</v>
      </c>
      <c r="F383" s="28" t="s">
        <v>223</v>
      </c>
    </row>
    <row r="384" spans="1:6" ht="13.9" x14ac:dyDescent="0.4">
      <c r="A384" s="20" t="s">
        <v>58</v>
      </c>
      <c r="B384" s="20" t="s">
        <v>147</v>
      </c>
      <c r="C384" s="20" t="s">
        <v>148</v>
      </c>
      <c r="D384" s="20" t="s">
        <v>102</v>
      </c>
      <c r="E384" s="20" t="s">
        <v>34</v>
      </c>
      <c r="F384" s="28">
        <f>'Final Output'!K27</f>
        <v>-9.679681148616838E-2</v>
      </c>
    </row>
    <row r="385" spans="1:6" ht="13.9" x14ac:dyDescent="0.4">
      <c r="A385" s="20" t="s">
        <v>58</v>
      </c>
      <c r="B385" s="20" t="s">
        <v>149</v>
      </c>
      <c r="C385" s="20" t="s">
        <v>150</v>
      </c>
      <c r="D385" s="20" t="s">
        <v>102</v>
      </c>
      <c r="E385" s="20" t="s">
        <v>34</v>
      </c>
      <c r="F385" s="28">
        <f>'Final Output'!K28</f>
        <v>-8.1541326383880952E-2</v>
      </c>
    </row>
    <row r="386" spans="1:6" ht="13.9" x14ac:dyDescent="0.4">
      <c r="A386" s="20" t="s">
        <v>58</v>
      </c>
      <c r="B386" s="20" t="s">
        <v>151</v>
      </c>
      <c r="C386" s="20" t="s">
        <v>152</v>
      </c>
      <c r="D386" s="20" t="s">
        <v>102</v>
      </c>
      <c r="E386" s="20" t="s">
        <v>34</v>
      </c>
      <c r="F386" s="28">
        <f>'Final Output'!K29</f>
        <v>-7.2635013104052293E-2</v>
      </c>
    </row>
    <row r="387" spans="1:6" ht="13.9" x14ac:dyDescent="0.4">
      <c r="A387" s="20" t="s">
        <v>58</v>
      </c>
      <c r="B387" s="20" t="s">
        <v>153</v>
      </c>
      <c r="C387" s="20" t="s">
        <v>154</v>
      </c>
      <c r="D387" s="20" t="s">
        <v>102</v>
      </c>
      <c r="E387" s="20" t="s">
        <v>34</v>
      </c>
      <c r="F387" s="28">
        <f>'Final Output'!K30</f>
        <v>-5.9656505650614054E-2</v>
      </c>
    </row>
    <row r="388" spans="1:6" ht="13.9" x14ac:dyDescent="0.4">
      <c r="A388" s="20" t="s">
        <v>58</v>
      </c>
      <c r="B388" s="20" t="s">
        <v>155</v>
      </c>
      <c r="C388" s="20" t="s">
        <v>156</v>
      </c>
      <c r="D388" s="20" t="s">
        <v>102</v>
      </c>
      <c r="E388" s="20" t="s">
        <v>34</v>
      </c>
      <c r="F388" s="28">
        <f>'Final Output'!K31</f>
        <v>-5.3265439894555767E-2</v>
      </c>
    </row>
    <row r="389" spans="1:6" ht="13.9" x14ac:dyDescent="0.4">
      <c r="A389" s="20" t="s">
        <v>58</v>
      </c>
      <c r="B389" s="20" t="s">
        <v>157</v>
      </c>
      <c r="C389" s="20" t="s">
        <v>158</v>
      </c>
      <c r="D389" s="20" t="s">
        <v>102</v>
      </c>
      <c r="E389" s="20" t="s">
        <v>34</v>
      </c>
      <c r="F389" s="28">
        <f>'Final Output'!K32</f>
        <v>-3.9710933617870217E-2</v>
      </c>
    </row>
    <row r="390" spans="1:6" ht="13.9" x14ac:dyDescent="0.4">
      <c r="A390" s="20" t="s">
        <v>58</v>
      </c>
      <c r="B390" s="20" t="s">
        <v>159</v>
      </c>
      <c r="C390" s="20" t="s">
        <v>160</v>
      </c>
      <c r="D390" s="20" t="s">
        <v>102</v>
      </c>
      <c r="E390" s="20" t="s">
        <v>34</v>
      </c>
      <c r="F390" s="28">
        <f>'Final Output'!K33</f>
        <v>-2.6502070624940276E-2</v>
      </c>
    </row>
    <row r="391" spans="1:6" ht="13.9" x14ac:dyDescent="0.4">
      <c r="A391" s="20" t="s">
        <v>58</v>
      </c>
      <c r="B391" s="20" t="s">
        <v>161</v>
      </c>
      <c r="C391" s="20" t="s">
        <v>162</v>
      </c>
      <c r="D391" s="20" t="s">
        <v>102</v>
      </c>
      <c r="E391" s="20" t="s">
        <v>34</v>
      </c>
      <c r="F391" s="28">
        <f>'Final Output'!K34</f>
        <v>-1.2207272797456018E-2</v>
      </c>
    </row>
    <row r="392" spans="1:6" ht="13.9" x14ac:dyDescent="0.4">
      <c r="A392" s="20" t="s">
        <v>58</v>
      </c>
      <c r="B392" s="20" t="s">
        <v>163</v>
      </c>
      <c r="C392" s="20" t="s">
        <v>164</v>
      </c>
      <c r="D392" s="20" t="s">
        <v>102</v>
      </c>
      <c r="E392" s="20" t="s">
        <v>34</v>
      </c>
      <c r="F392" s="28">
        <f>'Final Output'!K35</f>
        <v>0</v>
      </c>
    </row>
    <row r="393" spans="1:6" ht="13.9" x14ac:dyDescent="0.4">
      <c r="A393" s="20" t="s">
        <v>58</v>
      </c>
      <c r="B393" s="20" t="s">
        <v>165</v>
      </c>
      <c r="C393" s="20" t="s">
        <v>166</v>
      </c>
      <c r="D393" s="20" t="s">
        <v>102</v>
      </c>
      <c r="E393" s="20" t="s">
        <v>34</v>
      </c>
      <c r="F393" s="28">
        <f>'Final Output'!K36</f>
        <v>1.2207272797456018E-2</v>
      </c>
    </row>
    <row r="394" spans="1:6" ht="13.9" x14ac:dyDescent="0.4">
      <c r="A394" s="20" t="s">
        <v>58</v>
      </c>
      <c r="B394" s="20" t="s">
        <v>167</v>
      </c>
      <c r="C394" s="20" t="s">
        <v>168</v>
      </c>
      <c r="D394" s="20" t="s">
        <v>102</v>
      </c>
      <c r="E394" s="20" t="s">
        <v>34</v>
      </c>
      <c r="F394" s="28">
        <f>'Final Output'!K37</f>
        <v>2.6502070624940276E-2</v>
      </c>
    </row>
    <row r="395" spans="1:6" ht="13.9" x14ac:dyDescent="0.4">
      <c r="A395" s="20" t="s">
        <v>58</v>
      </c>
      <c r="B395" s="20" t="s">
        <v>169</v>
      </c>
      <c r="C395" s="20" t="s">
        <v>170</v>
      </c>
      <c r="D395" s="20" t="s">
        <v>102</v>
      </c>
      <c r="E395" s="20" t="s">
        <v>34</v>
      </c>
      <c r="F395" s="28">
        <f>'Final Output'!K38</f>
        <v>3.9710933617870217E-2</v>
      </c>
    </row>
    <row r="396" spans="1:6" ht="13.9" x14ac:dyDescent="0.4">
      <c r="A396" s="20" t="s">
        <v>58</v>
      </c>
      <c r="B396" s="20" t="s">
        <v>171</v>
      </c>
      <c r="C396" s="20" t="s">
        <v>172</v>
      </c>
      <c r="D396" s="20" t="s">
        <v>102</v>
      </c>
      <c r="E396" s="20" t="s">
        <v>34</v>
      </c>
      <c r="F396" s="28">
        <f>'Final Output'!K39</f>
        <v>5.3265439894555767E-2</v>
      </c>
    </row>
    <row r="397" spans="1:6" ht="13.9" x14ac:dyDescent="0.4">
      <c r="A397" s="20" t="s">
        <v>58</v>
      </c>
      <c r="B397" s="20" t="s">
        <v>173</v>
      </c>
      <c r="C397" s="20" t="s">
        <v>174</v>
      </c>
      <c r="D397" s="20" t="s">
        <v>102</v>
      </c>
      <c r="E397" s="20" t="s">
        <v>34</v>
      </c>
      <c r="F397" s="28">
        <f>'Final Output'!K40</f>
        <v>5.9656505650614054E-2</v>
      </c>
    </row>
    <row r="398" spans="1:6" ht="13.9" x14ac:dyDescent="0.4">
      <c r="A398" s="20" t="s">
        <v>58</v>
      </c>
      <c r="B398" s="20" t="s">
        <v>175</v>
      </c>
      <c r="C398" s="20" t="s">
        <v>176</v>
      </c>
      <c r="D398" s="20" t="s">
        <v>102</v>
      </c>
      <c r="E398" s="20" t="s">
        <v>34</v>
      </c>
      <c r="F398" s="28">
        <f>'Final Output'!K41</f>
        <v>7.2635013104052293E-2</v>
      </c>
    </row>
    <row r="399" spans="1:6" ht="13.9" x14ac:dyDescent="0.4">
      <c r="A399" s="20" t="s">
        <v>58</v>
      </c>
      <c r="B399" s="20" t="s">
        <v>177</v>
      </c>
      <c r="C399" s="20" t="s">
        <v>178</v>
      </c>
      <c r="D399" s="20" t="s">
        <v>102</v>
      </c>
      <c r="E399" s="20" t="s">
        <v>34</v>
      </c>
      <c r="F399" s="28">
        <f>'Final Output'!K42</f>
        <v>8.1541326383880952E-2</v>
      </c>
    </row>
    <row r="400" spans="1:6" ht="13.9" x14ac:dyDescent="0.4">
      <c r="A400" s="20" t="s">
        <v>58</v>
      </c>
      <c r="B400" s="20" t="s">
        <v>179</v>
      </c>
      <c r="C400" s="20" t="s">
        <v>180</v>
      </c>
      <c r="D400" s="20" t="s">
        <v>102</v>
      </c>
      <c r="E400" s="20" t="s">
        <v>34</v>
      </c>
      <c r="F400" s="28">
        <f>'Final Output'!K43</f>
        <v>9.679681148616838E-2</v>
      </c>
    </row>
    <row r="401" spans="1:6" ht="13.9" x14ac:dyDescent="0.4">
      <c r="A401" s="20" t="s">
        <v>58</v>
      </c>
      <c r="B401" s="20" t="s">
        <v>181</v>
      </c>
      <c r="C401" s="20" t="s">
        <v>182</v>
      </c>
      <c r="D401" s="20" t="s">
        <v>102</v>
      </c>
      <c r="E401" s="20" t="s">
        <v>34</v>
      </c>
      <c r="F401" s="28">
        <f>'Final Output'!K9</f>
        <v>-6.5703864011792859E-2</v>
      </c>
    </row>
    <row r="402" spans="1:6" ht="13.9" x14ac:dyDescent="0.4">
      <c r="A402" s="20" t="s">
        <v>58</v>
      </c>
      <c r="B402" s="20" t="s">
        <v>183</v>
      </c>
      <c r="C402" s="20" t="s">
        <v>184</v>
      </c>
      <c r="D402" s="20" t="s">
        <v>102</v>
      </c>
      <c r="E402" s="20" t="s">
        <v>34</v>
      </c>
      <c r="F402" s="28">
        <f>'Final Output'!K10</f>
        <v>-4.8434415772688172E-2</v>
      </c>
    </row>
    <row r="403" spans="1:6" ht="13.9" x14ac:dyDescent="0.4">
      <c r="A403" s="20" t="s">
        <v>58</v>
      </c>
      <c r="B403" s="20" t="s">
        <v>185</v>
      </c>
      <c r="C403" s="20" t="s">
        <v>186</v>
      </c>
      <c r="D403" s="20" t="s">
        <v>102</v>
      </c>
      <c r="E403" s="20" t="s">
        <v>34</v>
      </c>
      <c r="F403" s="28">
        <f>'Final Output'!K11</f>
        <v>-4.1773779563880883E-2</v>
      </c>
    </row>
    <row r="404" spans="1:6" ht="13.9" x14ac:dyDescent="0.4">
      <c r="A404" s="20" t="s">
        <v>58</v>
      </c>
      <c r="B404" s="20" t="s">
        <v>187</v>
      </c>
      <c r="C404" s="20" t="s">
        <v>188</v>
      </c>
      <c r="D404" s="20" t="s">
        <v>102</v>
      </c>
      <c r="E404" s="20" t="s">
        <v>34</v>
      </c>
      <c r="F404" s="28">
        <f>'Final Output'!K12</f>
        <v>-3.7912815833552369E-2</v>
      </c>
    </row>
    <row r="405" spans="1:6" ht="13.9" x14ac:dyDescent="0.4">
      <c r="A405" s="20" t="s">
        <v>58</v>
      </c>
      <c r="B405" s="20" t="s">
        <v>189</v>
      </c>
      <c r="C405" s="20" t="s">
        <v>190</v>
      </c>
      <c r="D405" s="20" t="s">
        <v>102</v>
      </c>
      <c r="E405" s="20" t="s">
        <v>34</v>
      </c>
      <c r="F405" s="28">
        <f>'Final Output'!K13</f>
        <v>-3.5623914367531956E-2</v>
      </c>
    </row>
    <row r="406" spans="1:6" ht="13.9" x14ac:dyDescent="0.4">
      <c r="A406" s="20" t="s">
        <v>58</v>
      </c>
      <c r="B406" s="20" t="s">
        <v>191</v>
      </c>
      <c r="C406" s="20" t="s">
        <v>192</v>
      </c>
      <c r="D406" s="20" t="s">
        <v>102</v>
      </c>
      <c r="E406" s="20" t="s">
        <v>34</v>
      </c>
      <c r="F406" s="28">
        <f>'Final Output'!K14</f>
        <v>-2.8419468525651321E-2</v>
      </c>
    </row>
    <row r="407" spans="1:6" ht="13.9" x14ac:dyDescent="0.4">
      <c r="A407" s="20" t="s">
        <v>58</v>
      </c>
      <c r="B407" s="20" t="s">
        <v>193</v>
      </c>
      <c r="C407" s="20" t="s">
        <v>194</v>
      </c>
      <c r="D407" s="20" t="s">
        <v>102</v>
      </c>
      <c r="E407" s="20" t="s">
        <v>34</v>
      </c>
      <c r="F407" s="28">
        <f>'Final Output'!K15</f>
        <v>-1.5286447542521703E-2</v>
      </c>
    </row>
    <row r="408" spans="1:6" ht="13.9" x14ac:dyDescent="0.4">
      <c r="A408" s="20" t="s">
        <v>58</v>
      </c>
      <c r="B408" s="20" t="s">
        <v>195</v>
      </c>
      <c r="C408" s="20" t="s">
        <v>196</v>
      </c>
      <c r="D408" s="20" t="s">
        <v>102</v>
      </c>
      <c r="E408" s="20" t="s">
        <v>34</v>
      </c>
      <c r="F408" s="28">
        <f>'Final Output'!K16</f>
        <v>-6.6832871879386607E-3</v>
      </c>
    </row>
    <row r="409" spans="1:6" ht="13.9" x14ac:dyDescent="0.4">
      <c r="A409" s="20" t="s">
        <v>58</v>
      </c>
      <c r="B409" s="20" t="s">
        <v>197</v>
      </c>
      <c r="C409" s="20" t="s">
        <v>198</v>
      </c>
      <c r="D409" s="20" t="s">
        <v>102</v>
      </c>
      <c r="E409" s="20" t="s">
        <v>34</v>
      </c>
      <c r="F409" s="28">
        <f>'Final Output'!K17</f>
        <v>0</v>
      </c>
    </row>
    <row r="410" spans="1:6" ht="13.9" x14ac:dyDescent="0.4">
      <c r="A410" s="20" t="s">
        <v>58</v>
      </c>
      <c r="B410" s="20" t="s">
        <v>199</v>
      </c>
      <c r="C410" s="20" t="s">
        <v>200</v>
      </c>
      <c r="D410" s="20" t="s">
        <v>102</v>
      </c>
      <c r="E410" s="20" t="s">
        <v>34</v>
      </c>
      <c r="F410" s="28">
        <f>'Final Output'!K18</f>
        <v>6.6832871879386607E-3</v>
      </c>
    </row>
    <row r="411" spans="1:6" ht="13.9" x14ac:dyDescent="0.4">
      <c r="A411" s="20" t="s">
        <v>58</v>
      </c>
      <c r="B411" s="20" t="s">
        <v>201</v>
      </c>
      <c r="C411" s="20" t="s">
        <v>202</v>
      </c>
      <c r="D411" s="20" t="s">
        <v>102</v>
      </c>
      <c r="E411" s="20" t="s">
        <v>34</v>
      </c>
      <c r="F411" s="28">
        <f>'Final Output'!K19</f>
        <v>1.5286447542521703E-2</v>
      </c>
    </row>
    <row r="412" spans="1:6" ht="13.9" x14ac:dyDescent="0.4">
      <c r="A412" s="20" t="s">
        <v>58</v>
      </c>
      <c r="B412" s="20" t="s">
        <v>203</v>
      </c>
      <c r="C412" s="20" t="s">
        <v>204</v>
      </c>
      <c r="D412" s="20" t="s">
        <v>102</v>
      </c>
      <c r="E412" s="20" t="s">
        <v>34</v>
      </c>
      <c r="F412" s="28">
        <f>'Final Output'!K20</f>
        <v>2.8419468525651321E-2</v>
      </c>
    </row>
    <row r="413" spans="1:6" ht="13.9" x14ac:dyDescent="0.4">
      <c r="A413" s="20" t="s">
        <v>58</v>
      </c>
      <c r="B413" s="20" t="s">
        <v>205</v>
      </c>
      <c r="C413" s="20" t="s">
        <v>206</v>
      </c>
      <c r="D413" s="20" t="s">
        <v>102</v>
      </c>
      <c r="E413" s="20" t="s">
        <v>34</v>
      </c>
      <c r="F413" s="28">
        <f>'Final Output'!K21</f>
        <v>3.5623914367531956E-2</v>
      </c>
    </row>
    <row r="414" spans="1:6" ht="13.9" x14ac:dyDescent="0.4">
      <c r="A414" s="20" t="s">
        <v>58</v>
      </c>
      <c r="B414" s="20" t="s">
        <v>207</v>
      </c>
      <c r="C414" s="20" t="s">
        <v>208</v>
      </c>
      <c r="D414" s="20" t="s">
        <v>102</v>
      </c>
      <c r="E414" s="20" t="s">
        <v>34</v>
      </c>
      <c r="F414" s="28">
        <f>'Final Output'!K22</f>
        <v>3.7912815833552369E-2</v>
      </c>
    </row>
    <row r="415" spans="1:6" ht="13.9" x14ac:dyDescent="0.4">
      <c r="A415" s="20" t="s">
        <v>58</v>
      </c>
      <c r="B415" s="20" t="s">
        <v>209</v>
      </c>
      <c r="C415" s="20" t="s">
        <v>210</v>
      </c>
      <c r="D415" s="20" t="s">
        <v>102</v>
      </c>
      <c r="E415" s="20" t="s">
        <v>34</v>
      </c>
      <c r="F415" s="28">
        <f>'Final Output'!K23</f>
        <v>4.1773779563880883E-2</v>
      </c>
    </row>
    <row r="416" spans="1:6" ht="13.9" x14ac:dyDescent="0.4">
      <c r="A416" s="20" t="s">
        <v>58</v>
      </c>
      <c r="B416" s="20" t="s">
        <v>211</v>
      </c>
      <c r="C416" s="20" t="s">
        <v>212</v>
      </c>
      <c r="D416" s="20" t="s">
        <v>102</v>
      </c>
      <c r="E416" s="20" t="s">
        <v>34</v>
      </c>
      <c r="F416" s="28">
        <f>'Final Output'!K24</f>
        <v>4.8434415772688172E-2</v>
      </c>
    </row>
    <row r="417" spans="1:6" ht="13.9" x14ac:dyDescent="0.4">
      <c r="A417" s="20" t="s">
        <v>58</v>
      </c>
      <c r="B417" s="20" t="s">
        <v>213</v>
      </c>
      <c r="C417" s="20" t="s">
        <v>214</v>
      </c>
      <c r="D417" s="20" t="s">
        <v>102</v>
      </c>
      <c r="E417" s="20" t="s">
        <v>34</v>
      </c>
      <c r="F417" s="28">
        <f>'Final Output'!K25</f>
        <v>6.5703864011792859E-2</v>
      </c>
    </row>
    <row r="418" spans="1:6" ht="13.9" x14ac:dyDescent="0.4">
      <c r="A418" s="20" t="s">
        <v>58</v>
      </c>
      <c r="B418" s="20" t="s">
        <v>215</v>
      </c>
      <c r="C418" s="20" t="s">
        <v>216</v>
      </c>
      <c r="D418" s="20" t="s">
        <v>102</v>
      </c>
      <c r="E418" s="20" t="s">
        <v>34</v>
      </c>
      <c r="F418" s="28" t="str">
        <f ca="1">CONCATENATE("[…]", TEXT(NOW(),"dd/mm/yyy hh:mm:ss"))</f>
        <v>[…]12/12/2024 16:42:19</v>
      </c>
    </row>
    <row r="419" spans="1:6" ht="13.9" x14ac:dyDescent="0.4">
      <c r="A419" s="20" t="s">
        <v>58</v>
      </c>
      <c r="B419" s="20" t="s">
        <v>217</v>
      </c>
      <c r="C419" s="20" t="s">
        <v>218</v>
      </c>
      <c r="D419" s="20" t="s">
        <v>102</v>
      </c>
      <c r="E419" s="20" t="s">
        <v>34</v>
      </c>
      <c r="F419" s="28" t="str">
        <f ca="1">MID(CELL("filename"),SEARCH("[",CELL("filename"))+1,SEARCH("]",CELL("filename"))-SEARCH("[",CELL("filename"))-1)</f>
        <v>PR24 FD OC13 ODI risk - Feeder Model (Per Capita Consumption and Business Demand).xlsx</v>
      </c>
    </row>
    <row r="420" spans="1:6" ht="13.9" x14ac:dyDescent="0.4">
      <c r="A420" s="20" t="s">
        <v>58</v>
      </c>
      <c r="B420" s="20" t="s">
        <v>219</v>
      </c>
      <c r="C420" s="20" t="s">
        <v>220</v>
      </c>
      <c r="D420" s="20" t="s">
        <v>102</v>
      </c>
      <c r="E420" s="20" t="s">
        <v>34</v>
      </c>
      <c r="F420" s="28" t="str">
        <f>F_Inputs!$E$1</f>
        <v>Run on 06 Dec 2024 15:13</v>
      </c>
    </row>
    <row r="421" spans="1:6" ht="13.9" x14ac:dyDescent="0.4">
      <c r="A421" s="20" t="s">
        <v>58</v>
      </c>
      <c r="B421" s="20" t="s">
        <v>221</v>
      </c>
      <c r="C421" s="20" t="s">
        <v>222</v>
      </c>
      <c r="D421" s="20" t="s">
        <v>102</v>
      </c>
      <c r="E421" s="20" t="s">
        <v>34</v>
      </c>
      <c r="F421" s="28" t="s">
        <v>223</v>
      </c>
    </row>
    <row r="422" spans="1:6" ht="13.9" x14ac:dyDescent="0.4">
      <c r="A422" s="20" t="s">
        <v>49</v>
      </c>
      <c r="B422" s="20" t="s">
        <v>147</v>
      </c>
      <c r="C422" s="20" t="s">
        <v>148</v>
      </c>
      <c r="D422" s="20" t="s">
        <v>102</v>
      </c>
      <c r="E422" s="20" t="s">
        <v>34</v>
      </c>
      <c r="F422" s="28">
        <f>'Final Output'!K27</f>
        <v>-9.679681148616838E-2</v>
      </c>
    </row>
    <row r="423" spans="1:6" ht="13.9" x14ac:dyDescent="0.4">
      <c r="A423" s="20" t="s">
        <v>49</v>
      </c>
      <c r="B423" s="20" t="s">
        <v>149</v>
      </c>
      <c r="C423" s="20" t="s">
        <v>150</v>
      </c>
      <c r="D423" s="20" t="s">
        <v>102</v>
      </c>
      <c r="E423" s="20" t="s">
        <v>34</v>
      </c>
      <c r="F423" s="28">
        <f>'Final Output'!K28</f>
        <v>-8.1541326383880952E-2</v>
      </c>
    </row>
    <row r="424" spans="1:6" ht="13.9" x14ac:dyDescent="0.4">
      <c r="A424" s="20" t="s">
        <v>49</v>
      </c>
      <c r="B424" s="20" t="s">
        <v>151</v>
      </c>
      <c r="C424" s="20" t="s">
        <v>152</v>
      </c>
      <c r="D424" s="20" t="s">
        <v>102</v>
      </c>
      <c r="E424" s="20" t="s">
        <v>34</v>
      </c>
      <c r="F424" s="28">
        <f>'Final Output'!K29</f>
        <v>-7.2635013104052293E-2</v>
      </c>
    </row>
    <row r="425" spans="1:6" ht="13.9" x14ac:dyDescent="0.4">
      <c r="A425" s="20" t="s">
        <v>49</v>
      </c>
      <c r="B425" s="20" t="s">
        <v>153</v>
      </c>
      <c r="C425" s="20" t="s">
        <v>154</v>
      </c>
      <c r="D425" s="20" t="s">
        <v>102</v>
      </c>
      <c r="E425" s="20" t="s">
        <v>34</v>
      </c>
      <c r="F425" s="28">
        <f>'Final Output'!K30</f>
        <v>-5.9656505650614054E-2</v>
      </c>
    </row>
    <row r="426" spans="1:6" ht="13.9" x14ac:dyDescent="0.4">
      <c r="A426" s="20" t="s">
        <v>49</v>
      </c>
      <c r="B426" s="20" t="s">
        <v>155</v>
      </c>
      <c r="C426" s="20" t="s">
        <v>156</v>
      </c>
      <c r="D426" s="20" t="s">
        <v>102</v>
      </c>
      <c r="E426" s="20" t="s">
        <v>34</v>
      </c>
      <c r="F426" s="28">
        <f>'Final Output'!K31</f>
        <v>-5.3265439894555767E-2</v>
      </c>
    </row>
    <row r="427" spans="1:6" ht="13.9" x14ac:dyDescent="0.4">
      <c r="A427" s="20" t="s">
        <v>49</v>
      </c>
      <c r="B427" s="20" t="s">
        <v>157</v>
      </c>
      <c r="C427" s="20" t="s">
        <v>158</v>
      </c>
      <c r="D427" s="20" t="s">
        <v>102</v>
      </c>
      <c r="E427" s="20" t="s">
        <v>34</v>
      </c>
      <c r="F427" s="28">
        <f>'Final Output'!K32</f>
        <v>-3.9710933617870217E-2</v>
      </c>
    </row>
    <row r="428" spans="1:6" ht="13.9" x14ac:dyDescent="0.4">
      <c r="A428" s="20" t="s">
        <v>49</v>
      </c>
      <c r="B428" s="20" t="s">
        <v>159</v>
      </c>
      <c r="C428" s="20" t="s">
        <v>160</v>
      </c>
      <c r="D428" s="20" t="s">
        <v>102</v>
      </c>
      <c r="E428" s="20" t="s">
        <v>34</v>
      </c>
      <c r="F428" s="28">
        <f>'Final Output'!K33</f>
        <v>-2.6502070624940276E-2</v>
      </c>
    </row>
    <row r="429" spans="1:6" ht="13.9" x14ac:dyDescent="0.4">
      <c r="A429" s="20" t="s">
        <v>49</v>
      </c>
      <c r="B429" s="20" t="s">
        <v>161</v>
      </c>
      <c r="C429" s="20" t="s">
        <v>162</v>
      </c>
      <c r="D429" s="20" t="s">
        <v>102</v>
      </c>
      <c r="E429" s="20" t="s">
        <v>34</v>
      </c>
      <c r="F429" s="28">
        <f>'Final Output'!K34</f>
        <v>-1.2207272797456018E-2</v>
      </c>
    </row>
    <row r="430" spans="1:6" ht="13.9" x14ac:dyDescent="0.4">
      <c r="A430" s="20" t="s">
        <v>49</v>
      </c>
      <c r="B430" s="20" t="s">
        <v>163</v>
      </c>
      <c r="C430" s="20" t="s">
        <v>164</v>
      </c>
      <c r="D430" s="20" t="s">
        <v>102</v>
      </c>
      <c r="E430" s="20" t="s">
        <v>34</v>
      </c>
      <c r="F430" s="28">
        <f>'Final Output'!K35</f>
        <v>0</v>
      </c>
    </row>
    <row r="431" spans="1:6" ht="13.9" x14ac:dyDescent="0.4">
      <c r="A431" s="20" t="s">
        <v>49</v>
      </c>
      <c r="B431" s="20" t="s">
        <v>165</v>
      </c>
      <c r="C431" s="20" t="s">
        <v>166</v>
      </c>
      <c r="D431" s="20" t="s">
        <v>102</v>
      </c>
      <c r="E431" s="20" t="s">
        <v>34</v>
      </c>
      <c r="F431" s="28">
        <f>'Final Output'!K36</f>
        <v>1.2207272797456018E-2</v>
      </c>
    </row>
    <row r="432" spans="1:6" ht="13.9" x14ac:dyDescent="0.4">
      <c r="A432" s="20" t="s">
        <v>49</v>
      </c>
      <c r="B432" s="20" t="s">
        <v>167</v>
      </c>
      <c r="C432" s="20" t="s">
        <v>168</v>
      </c>
      <c r="D432" s="20" t="s">
        <v>102</v>
      </c>
      <c r="E432" s="20" t="s">
        <v>34</v>
      </c>
      <c r="F432" s="28">
        <f>'Final Output'!K37</f>
        <v>2.6502070624940276E-2</v>
      </c>
    </row>
    <row r="433" spans="1:6" ht="13.9" x14ac:dyDescent="0.4">
      <c r="A433" s="20" t="s">
        <v>49</v>
      </c>
      <c r="B433" s="20" t="s">
        <v>169</v>
      </c>
      <c r="C433" s="20" t="s">
        <v>170</v>
      </c>
      <c r="D433" s="20" t="s">
        <v>102</v>
      </c>
      <c r="E433" s="20" t="s">
        <v>34</v>
      </c>
      <c r="F433" s="28">
        <f>'Final Output'!K38</f>
        <v>3.9710933617870217E-2</v>
      </c>
    </row>
    <row r="434" spans="1:6" ht="13.9" x14ac:dyDescent="0.4">
      <c r="A434" s="20" t="s">
        <v>49</v>
      </c>
      <c r="B434" s="20" t="s">
        <v>171</v>
      </c>
      <c r="C434" s="20" t="s">
        <v>172</v>
      </c>
      <c r="D434" s="20" t="s">
        <v>102</v>
      </c>
      <c r="E434" s="20" t="s">
        <v>34</v>
      </c>
      <c r="F434" s="28">
        <f>'Final Output'!K39</f>
        <v>5.3265439894555767E-2</v>
      </c>
    </row>
    <row r="435" spans="1:6" ht="13.9" x14ac:dyDescent="0.4">
      <c r="A435" s="20" t="s">
        <v>49</v>
      </c>
      <c r="B435" s="20" t="s">
        <v>173</v>
      </c>
      <c r="C435" s="20" t="s">
        <v>174</v>
      </c>
      <c r="D435" s="20" t="s">
        <v>102</v>
      </c>
      <c r="E435" s="20" t="s">
        <v>34</v>
      </c>
      <c r="F435" s="28">
        <f>'Final Output'!K40</f>
        <v>5.9656505650614054E-2</v>
      </c>
    </row>
    <row r="436" spans="1:6" ht="13.9" x14ac:dyDescent="0.4">
      <c r="A436" s="20" t="s">
        <v>49</v>
      </c>
      <c r="B436" s="20" t="s">
        <v>175</v>
      </c>
      <c r="C436" s="20" t="s">
        <v>176</v>
      </c>
      <c r="D436" s="20" t="s">
        <v>102</v>
      </c>
      <c r="E436" s="20" t="s">
        <v>34</v>
      </c>
      <c r="F436" s="28">
        <f>'Final Output'!K41</f>
        <v>7.2635013104052293E-2</v>
      </c>
    </row>
    <row r="437" spans="1:6" ht="13.9" x14ac:dyDescent="0.4">
      <c r="A437" s="20" t="s">
        <v>49</v>
      </c>
      <c r="B437" s="20" t="s">
        <v>177</v>
      </c>
      <c r="C437" s="20" t="s">
        <v>178</v>
      </c>
      <c r="D437" s="20" t="s">
        <v>102</v>
      </c>
      <c r="E437" s="20" t="s">
        <v>34</v>
      </c>
      <c r="F437" s="28">
        <f>'Final Output'!K42</f>
        <v>8.1541326383880952E-2</v>
      </c>
    </row>
    <row r="438" spans="1:6" ht="13.9" x14ac:dyDescent="0.4">
      <c r="A438" s="20" t="s">
        <v>49</v>
      </c>
      <c r="B438" s="20" t="s">
        <v>179</v>
      </c>
      <c r="C438" s="20" t="s">
        <v>180</v>
      </c>
      <c r="D438" s="20" t="s">
        <v>102</v>
      </c>
      <c r="E438" s="20" t="s">
        <v>34</v>
      </c>
      <c r="F438" s="28">
        <f>'Final Output'!K43</f>
        <v>9.679681148616838E-2</v>
      </c>
    </row>
    <row r="439" spans="1:6" ht="13.9" x14ac:dyDescent="0.4">
      <c r="A439" s="20" t="s">
        <v>49</v>
      </c>
      <c r="B439" s="20" t="s">
        <v>181</v>
      </c>
      <c r="C439" s="20" t="s">
        <v>182</v>
      </c>
      <c r="D439" s="20" t="s">
        <v>102</v>
      </c>
      <c r="E439" s="20" t="s">
        <v>34</v>
      </c>
      <c r="F439" s="28">
        <f>'Final Output'!K9</f>
        <v>-6.5703864011792859E-2</v>
      </c>
    </row>
    <row r="440" spans="1:6" ht="13.9" x14ac:dyDescent="0.4">
      <c r="A440" s="20" t="s">
        <v>49</v>
      </c>
      <c r="B440" s="20" t="s">
        <v>183</v>
      </c>
      <c r="C440" s="20" t="s">
        <v>184</v>
      </c>
      <c r="D440" s="20" t="s">
        <v>102</v>
      </c>
      <c r="E440" s="20" t="s">
        <v>34</v>
      </c>
      <c r="F440" s="28">
        <f>'Final Output'!K10</f>
        <v>-4.8434415772688172E-2</v>
      </c>
    </row>
    <row r="441" spans="1:6" ht="13.9" x14ac:dyDescent="0.4">
      <c r="A441" s="20" t="s">
        <v>49</v>
      </c>
      <c r="B441" s="20" t="s">
        <v>185</v>
      </c>
      <c r="C441" s="20" t="s">
        <v>186</v>
      </c>
      <c r="D441" s="20" t="s">
        <v>102</v>
      </c>
      <c r="E441" s="20" t="s">
        <v>34</v>
      </c>
      <c r="F441" s="28">
        <f>'Final Output'!K11</f>
        <v>-4.1773779563880883E-2</v>
      </c>
    </row>
    <row r="442" spans="1:6" ht="13.9" x14ac:dyDescent="0.4">
      <c r="A442" s="20" t="s">
        <v>49</v>
      </c>
      <c r="B442" s="20" t="s">
        <v>187</v>
      </c>
      <c r="C442" s="20" t="s">
        <v>188</v>
      </c>
      <c r="D442" s="20" t="s">
        <v>102</v>
      </c>
      <c r="E442" s="20" t="s">
        <v>34</v>
      </c>
      <c r="F442" s="28">
        <f>'Final Output'!K12</f>
        <v>-3.7912815833552369E-2</v>
      </c>
    </row>
    <row r="443" spans="1:6" ht="13.9" x14ac:dyDescent="0.4">
      <c r="A443" s="20" t="s">
        <v>49</v>
      </c>
      <c r="B443" s="20" t="s">
        <v>189</v>
      </c>
      <c r="C443" s="20" t="s">
        <v>190</v>
      </c>
      <c r="D443" s="20" t="s">
        <v>102</v>
      </c>
      <c r="E443" s="20" t="s">
        <v>34</v>
      </c>
      <c r="F443" s="28">
        <f>'Final Output'!K13</f>
        <v>-3.5623914367531956E-2</v>
      </c>
    </row>
    <row r="444" spans="1:6" ht="13.9" x14ac:dyDescent="0.4">
      <c r="A444" s="20" t="s">
        <v>49</v>
      </c>
      <c r="B444" s="20" t="s">
        <v>191</v>
      </c>
      <c r="C444" s="20" t="s">
        <v>192</v>
      </c>
      <c r="D444" s="20" t="s">
        <v>102</v>
      </c>
      <c r="E444" s="20" t="s">
        <v>34</v>
      </c>
      <c r="F444" s="28">
        <f>'Final Output'!K14</f>
        <v>-2.8419468525651321E-2</v>
      </c>
    </row>
    <row r="445" spans="1:6" ht="13.9" x14ac:dyDescent="0.4">
      <c r="A445" s="20" t="s">
        <v>49</v>
      </c>
      <c r="B445" s="20" t="s">
        <v>193</v>
      </c>
      <c r="C445" s="20" t="s">
        <v>194</v>
      </c>
      <c r="D445" s="20" t="s">
        <v>102</v>
      </c>
      <c r="E445" s="20" t="s">
        <v>34</v>
      </c>
      <c r="F445" s="28">
        <f>'Final Output'!K15</f>
        <v>-1.5286447542521703E-2</v>
      </c>
    </row>
    <row r="446" spans="1:6" ht="13.9" x14ac:dyDescent="0.4">
      <c r="A446" s="20" t="s">
        <v>49</v>
      </c>
      <c r="B446" s="20" t="s">
        <v>195</v>
      </c>
      <c r="C446" s="20" t="s">
        <v>196</v>
      </c>
      <c r="D446" s="20" t="s">
        <v>102</v>
      </c>
      <c r="E446" s="20" t="s">
        <v>34</v>
      </c>
      <c r="F446" s="28">
        <f>'Final Output'!K16</f>
        <v>-6.6832871879386607E-3</v>
      </c>
    </row>
    <row r="447" spans="1:6" ht="13.9" x14ac:dyDescent="0.4">
      <c r="A447" s="20" t="s">
        <v>49</v>
      </c>
      <c r="B447" s="20" t="s">
        <v>197</v>
      </c>
      <c r="C447" s="20" t="s">
        <v>198</v>
      </c>
      <c r="D447" s="20" t="s">
        <v>102</v>
      </c>
      <c r="E447" s="20" t="s">
        <v>34</v>
      </c>
      <c r="F447" s="28">
        <f>'Final Output'!K17</f>
        <v>0</v>
      </c>
    </row>
    <row r="448" spans="1:6" ht="13.9" x14ac:dyDescent="0.4">
      <c r="A448" s="20" t="s">
        <v>49</v>
      </c>
      <c r="B448" s="20" t="s">
        <v>199</v>
      </c>
      <c r="C448" s="20" t="s">
        <v>200</v>
      </c>
      <c r="D448" s="20" t="s">
        <v>102</v>
      </c>
      <c r="E448" s="20" t="s">
        <v>34</v>
      </c>
      <c r="F448" s="28">
        <f>'Final Output'!K18</f>
        <v>6.6832871879386607E-3</v>
      </c>
    </row>
    <row r="449" spans="1:6" ht="13.9" x14ac:dyDescent="0.4">
      <c r="A449" s="20" t="s">
        <v>49</v>
      </c>
      <c r="B449" s="20" t="s">
        <v>201</v>
      </c>
      <c r="C449" s="20" t="s">
        <v>202</v>
      </c>
      <c r="D449" s="20" t="s">
        <v>102</v>
      </c>
      <c r="E449" s="20" t="s">
        <v>34</v>
      </c>
      <c r="F449" s="28">
        <f>'Final Output'!K19</f>
        <v>1.5286447542521703E-2</v>
      </c>
    </row>
    <row r="450" spans="1:6" ht="13.9" x14ac:dyDescent="0.4">
      <c r="A450" s="20" t="s">
        <v>49</v>
      </c>
      <c r="B450" s="20" t="s">
        <v>203</v>
      </c>
      <c r="C450" s="20" t="s">
        <v>204</v>
      </c>
      <c r="D450" s="20" t="s">
        <v>102</v>
      </c>
      <c r="E450" s="20" t="s">
        <v>34</v>
      </c>
      <c r="F450" s="28">
        <f>'Final Output'!K20</f>
        <v>2.8419468525651321E-2</v>
      </c>
    </row>
    <row r="451" spans="1:6" ht="13.9" x14ac:dyDescent="0.4">
      <c r="A451" s="20" t="s">
        <v>49</v>
      </c>
      <c r="B451" s="20" t="s">
        <v>205</v>
      </c>
      <c r="C451" s="20" t="s">
        <v>206</v>
      </c>
      <c r="D451" s="20" t="s">
        <v>102</v>
      </c>
      <c r="E451" s="20" t="s">
        <v>34</v>
      </c>
      <c r="F451" s="28">
        <f>'Final Output'!K21</f>
        <v>3.5623914367531956E-2</v>
      </c>
    </row>
    <row r="452" spans="1:6" ht="13.9" x14ac:dyDescent="0.4">
      <c r="A452" s="20" t="s">
        <v>49</v>
      </c>
      <c r="B452" s="20" t="s">
        <v>207</v>
      </c>
      <c r="C452" s="20" t="s">
        <v>208</v>
      </c>
      <c r="D452" s="20" t="s">
        <v>102</v>
      </c>
      <c r="E452" s="20" t="s">
        <v>34</v>
      </c>
      <c r="F452" s="28">
        <f>'Final Output'!K22</f>
        <v>3.7912815833552369E-2</v>
      </c>
    </row>
    <row r="453" spans="1:6" ht="13.9" x14ac:dyDescent="0.4">
      <c r="A453" s="20" t="s">
        <v>49</v>
      </c>
      <c r="B453" s="20" t="s">
        <v>209</v>
      </c>
      <c r="C453" s="20" t="s">
        <v>210</v>
      </c>
      <c r="D453" s="20" t="s">
        <v>102</v>
      </c>
      <c r="E453" s="20" t="s">
        <v>34</v>
      </c>
      <c r="F453" s="28">
        <f>'Final Output'!K23</f>
        <v>4.1773779563880883E-2</v>
      </c>
    </row>
    <row r="454" spans="1:6" ht="13.9" x14ac:dyDescent="0.4">
      <c r="A454" s="20" t="s">
        <v>49</v>
      </c>
      <c r="B454" s="20" t="s">
        <v>211</v>
      </c>
      <c r="C454" s="20" t="s">
        <v>212</v>
      </c>
      <c r="D454" s="20" t="s">
        <v>102</v>
      </c>
      <c r="E454" s="20" t="s">
        <v>34</v>
      </c>
      <c r="F454" s="28">
        <f>'Final Output'!K24</f>
        <v>4.8434415772688172E-2</v>
      </c>
    </row>
    <row r="455" spans="1:6" ht="13.9" x14ac:dyDescent="0.4">
      <c r="A455" s="20" t="s">
        <v>49</v>
      </c>
      <c r="B455" s="20" t="s">
        <v>213</v>
      </c>
      <c r="C455" s="20" t="s">
        <v>214</v>
      </c>
      <c r="D455" s="20" t="s">
        <v>102</v>
      </c>
      <c r="E455" s="20" t="s">
        <v>34</v>
      </c>
      <c r="F455" s="28">
        <f>'Final Output'!K25</f>
        <v>6.5703864011792859E-2</v>
      </c>
    </row>
    <row r="456" spans="1:6" ht="13.9" x14ac:dyDescent="0.4">
      <c r="A456" s="20" t="s">
        <v>49</v>
      </c>
      <c r="B456" s="20" t="s">
        <v>215</v>
      </c>
      <c r="C456" s="20" t="s">
        <v>216</v>
      </c>
      <c r="D456" s="20" t="s">
        <v>102</v>
      </c>
      <c r="E456" s="20" t="s">
        <v>34</v>
      </c>
      <c r="F456" s="28" t="str">
        <f ca="1">CONCATENATE("[…]", TEXT(NOW(),"dd/mm/yyy hh:mm:ss"))</f>
        <v>[…]12/12/2024 16:42:19</v>
      </c>
    </row>
    <row r="457" spans="1:6" ht="13.9" x14ac:dyDescent="0.4">
      <c r="A457" s="20" t="s">
        <v>49</v>
      </c>
      <c r="B457" s="20" t="s">
        <v>217</v>
      </c>
      <c r="C457" s="20" t="s">
        <v>218</v>
      </c>
      <c r="D457" s="20" t="s">
        <v>102</v>
      </c>
      <c r="E457" s="20" t="s">
        <v>34</v>
      </c>
      <c r="F457" s="28" t="str">
        <f ca="1">MID(CELL("filename"),SEARCH("[",CELL("filename"))+1,SEARCH("]",CELL("filename"))-SEARCH("[",CELL("filename"))-1)</f>
        <v>PR24 FD OC13 ODI risk - Feeder Model (Per Capita Consumption and Business Demand).xlsx</v>
      </c>
    </row>
    <row r="458" spans="1:6" ht="13.9" x14ac:dyDescent="0.4">
      <c r="A458" s="20" t="s">
        <v>49</v>
      </c>
      <c r="B458" s="20" t="s">
        <v>219</v>
      </c>
      <c r="C458" s="20" t="s">
        <v>220</v>
      </c>
      <c r="D458" s="20" t="s">
        <v>102</v>
      </c>
      <c r="E458" s="20" t="s">
        <v>34</v>
      </c>
      <c r="F458" s="28" t="str">
        <f>F_Inputs!$E$1</f>
        <v>Run on 06 Dec 2024 15:13</v>
      </c>
    </row>
    <row r="459" spans="1:6" ht="13.9" x14ac:dyDescent="0.4">
      <c r="A459" s="20" t="s">
        <v>49</v>
      </c>
      <c r="B459" s="20" t="s">
        <v>221</v>
      </c>
      <c r="C459" s="20" t="s">
        <v>222</v>
      </c>
      <c r="D459" s="20" t="s">
        <v>102</v>
      </c>
      <c r="E459" s="20" t="s">
        <v>34</v>
      </c>
      <c r="F459" s="28" t="s">
        <v>223</v>
      </c>
    </row>
    <row r="460" spans="1:6" ht="13.9" x14ac:dyDescent="0.4">
      <c r="A460" s="20" t="s">
        <v>50</v>
      </c>
      <c r="B460" s="20" t="s">
        <v>147</v>
      </c>
      <c r="C460" s="20" t="s">
        <v>148</v>
      </c>
      <c r="D460" s="20" t="s">
        <v>102</v>
      </c>
      <c r="E460" s="20" t="s">
        <v>34</v>
      </c>
      <c r="F460" s="28">
        <f>'Final Output'!K27</f>
        <v>-9.679681148616838E-2</v>
      </c>
    </row>
    <row r="461" spans="1:6" ht="13.9" x14ac:dyDescent="0.4">
      <c r="A461" s="20" t="s">
        <v>50</v>
      </c>
      <c r="B461" s="20" t="s">
        <v>149</v>
      </c>
      <c r="C461" s="20" t="s">
        <v>150</v>
      </c>
      <c r="D461" s="20" t="s">
        <v>102</v>
      </c>
      <c r="E461" s="20" t="s">
        <v>34</v>
      </c>
      <c r="F461" s="28">
        <f>'Final Output'!K28</f>
        <v>-8.1541326383880952E-2</v>
      </c>
    </row>
    <row r="462" spans="1:6" ht="13.9" x14ac:dyDescent="0.4">
      <c r="A462" s="20" t="s">
        <v>50</v>
      </c>
      <c r="B462" s="20" t="s">
        <v>151</v>
      </c>
      <c r="C462" s="20" t="s">
        <v>152</v>
      </c>
      <c r="D462" s="20" t="s">
        <v>102</v>
      </c>
      <c r="E462" s="20" t="s">
        <v>34</v>
      </c>
      <c r="F462" s="28">
        <f>'Final Output'!K29</f>
        <v>-7.2635013104052293E-2</v>
      </c>
    </row>
    <row r="463" spans="1:6" ht="13.9" x14ac:dyDescent="0.4">
      <c r="A463" s="20" t="s">
        <v>50</v>
      </c>
      <c r="B463" s="20" t="s">
        <v>153</v>
      </c>
      <c r="C463" s="20" t="s">
        <v>154</v>
      </c>
      <c r="D463" s="20" t="s">
        <v>102</v>
      </c>
      <c r="E463" s="20" t="s">
        <v>34</v>
      </c>
      <c r="F463" s="28">
        <f>'Final Output'!K30</f>
        <v>-5.9656505650614054E-2</v>
      </c>
    </row>
    <row r="464" spans="1:6" ht="13.9" x14ac:dyDescent="0.4">
      <c r="A464" s="20" t="s">
        <v>50</v>
      </c>
      <c r="B464" s="20" t="s">
        <v>155</v>
      </c>
      <c r="C464" s="20" t="s">
        <v>156</v>
      </c>
      <c r="D464" s="20" t="s">
        <v>102</v>
      </c>
      <c r="E464" s="20" t="s">
        <v>34</v>
      </c>
      <c r="F464" s="28">
        <f>'Final Output'!K31</f>
        <v>-5.3265439894555767E-2</v>
      </c>
    </row>
    <row r="465" spans="1:6" ht="13.9" x14ac:dyDescent="0.4">
      <c r="A465" s="20" t="s">
        <v>50</v>
      </c>
      <c r="B465" s="20" t="s">
        <v>157</v>
      </c>
      <c r="C465" s="20" t="s">
        <v>158</v>
      </c>
      <c r="D465" s="20" t="s">
        <v>102</v>
      </c>
      <c r="E465" s="20" t="s">
        <v>34</v>
      </c>
      <c r="F465" s="28">
        <f>'Final Output'!K32</f>
        <v>-3.9710933617870217E-2</v>
      </c>
    </row>
    <row r="466" spans="1:6" ht="13.9" x14ac:dyDescent="0.4">
      <c r="A466" s="20" t="s">
        <v>50</v>
      </c>
      <c r="B466" s="20" t="s">
        <v>159</v>
      </c>
      <c r="C466" s="20" t="s">
        <v>160</v>
      </c>
      <c r="D466" s="20" t="s">
        <v>102</v>
      </c>
      <c r="E466" s="20" t="s">
        <v>34</v>
      </c>
      <c r="F466" s="28">
        <f>'Final Output'!K33</f>
        <v>-2.6502070624940276E-2</v>
      </c>
    </row>
    <row r="467" spans="1:6" ht="13.9" x14ac:dyDescent="0.4">
      <c r="A467" s="20" t="s">
        <v>50</v>
      </c>
      <c r="B467" s="20" t="s">
        <v>161</v>
      </c>
      <c r="C467" s="20" t="s">
        <v>162</v>
      </c>
      <c r="D467" s="20" t="s">
        <v>102</v>
      </c>
      <c r="E467" s="20" t="s">
        <v>34</v>
      </c>
      <c r="F467" s="28">
        <f>'Final Output'!K34</f>
        <v>-1.2207272797456018E-2</v>
      </c>
    </row>
    <row r="468" spans="1:6" ht="13.9" x14ac:dyDescent="0.4">
      <c r="A468" s="20" t="s">
        <v>50</v>
      </c>
      <c r="B468" s="20" t="s">
        <v>163</v>
      </c>
      <c r="C468" s="20" t="s">
        <v>164</v>
      </c>
      <c r="D468" s="20" t="s">
        <v>102</v>
      </c>
      <c r="E468" s="20" t="s">
        <v>34</v>
      </c>
      <c r="F468" s="28">
        <f>'Final Output'!K35</f>
        <v>0</v>
      </c>
    </row>
    <row r="469" spans="1:6" ht="13.9" x14ac:dyDescent="0.4">
      <c r="A469" s="20" t="s">
        <v>50</v>
      </c>
      <c r="B469" s="20" t="s">
        <v>165</v>
      </c>
      <c r="C469" s="20" t="s">
        <v>166</v>
      </c>
      <c r="D469" s="20" t="s">
        <v>102</v>
      </c>
      <c r="E469" s="20" t="s">
        <v>34</v>
      </c>
      <c r="F469" s="28">
        <f>'Final Output'!K36</f>
        <v>1.2207272797456018E-2</v>
      </c>
    </row>
    <row r="470" spans="1:6" ht="13.9" x14ac:dyDescent="0.4">
      <c r="A470" s="20" t="s">
        <v>50</v>
      </c>
      <c r="B470" s="20" t="s">
        <v>167</v>
      </c>
      <c r="C470" s="20" t="s">
        <v>168</v>
      </c>
      <c r="D470" s="20" t="s">
        <v>102</v>
      </c>
      <c r="E470" s="20" t="s">
        <v>34</v>
      </c>
      <c r="F470" s="28">
        <f>'Final Output'!K37</f>
        <v>2.6502070624940276E-2</v>
      </c>
    </row>
    <row r="471" spans="1:6" ht="13.9" x14ac:dyDescent="0.4">
      <c r="A471" s="20" t="s">
        <v>50</v>
      </c>
      <c r="B471" s="20" t="s">
        <v>169</v>
      </c>
      <c r="C471" s="20" t="s">
        <v>170</v>
      </c>
      <c r="D471" s="20" t="s">
        <v>102</v>
      </c>
      <c r="E471" s="20" t="s">
        <v>34</v>
      </c>
      <c r="F471" s="28">
        <f>'Final Output'!K38</f>
        <v>3.9710933617870217E-2</v>
      </c>
    </row>
    <row r="472" spans="1:6" ht="13.9" x14ac:dyDescent="0.4">
      <c r="A472" s="20" t="s">
        <v>50</v>
      </c>
      <c r="B472" s="20" t="s">
        <v>171</v>
      </c>
      <c r="C472" s="20" t="s">
        <v>172</v>
      </c>
      <c r="D472" s="20" t="s">
        <v>102</v>
      </c>
      <c r="E472" s="20" t="s">
        <v>34</v>
      </c>
      <c r="F472" s="28">
        <f>'Final Output'!K39</f>
        <v>5.3265439894555767E-2</v>
      </c>
    </row>
    <row r="473" spans="1:6" ht="13.9" x14ac:dyDescent="0.4">
      <c r="A473" s="20" t="s">
        <v>50</v>
      </c>
      <c r="B473" s="20" t="s">
        <v>173</v>
      </c>
      <c r="C473" s="20" t="s">
        <v>174</v>
      </c>
      <c r="D473" s="20" t="s">
        <v>102</v>
      </c>
      <c r="E473" s="20" t="s">
        <v>34</v>
      </c>
      <c r="F473" s="28">
        <f>'Final Output'!K40</f>
        <v>5.9656505650614054E-2</v>
      </c>
    </row>
    <row r="474" spans="1:6" ht="13.9" x14ac:dyDescent="0.4">
      <c r="A474" s="20" t="s">
        <v>50</v>
      </c>
      <c r="B474" s="20" t="s">
        <v>175</v>
      </c>
      <c r="C474" s="20" t="s">
        <v>176</v>
      </c>
      <c r="D474" s="20" t="s">
        <v>102</v>
      </c>
      <c r="E474" s="20" t="s">
        <v>34</v>
      </c>
      <c r="F474" s="28">
        <f>'Final Output'!K41</f>
        <v>7.2635013104052293E-2</v>
      </c>
    </row>
    <row r="475" spans="1:6" ht="13.9" x14ac:dyDescent="0.4">
      <c r="A475" s="20" t="s">
        <v>50</v>
      </c>
      <c r="B475" s="20" t="s">
        <v>177</v>
      </c>
      <c r="C475" s="20" t="s">
        <v>178</v>
      </c>
      <c r="D475" s="20" t="s">
        <v>102</v>
      </c>
      <c r="E475" s="20" t="s">
        <v>34</v>
      </c>
      <c r="F475" s="28">
        <f>'Final Output'!K42</f>
        <v>8.1541326383880952E-2</v>
      </c>
    </row>
    <row r="476" spans="1:6" ht="13.9" x14ac:dyDescent="0.4">
      <c r="A476" s="20" t="s">
        <v>50</v>
      </c>
      <c r="B476" s="20" t="s">
        <v>179</v>
      </c>
      <c r="C476" s="20" t="s">
        <v>180</v>
      </c>
      <c r="D476" s="20" t="s">
        <v>102</v>
      </c>
      <c r="E476" s="20" t="s">
        <v>34</v>
      </c>
      <c r="F476" s="28">
        <f>'Final Output'!K43</f>
        <v>9.679681148616838E-2</v>
      </c>
    </row>
    <row r="477" spans="1:6" ht="13.9" x14ac:dyDescent="0.4">
      <c r="A477" s="20" t="s">
        <v>50</v>
      </c>
      <c r="B477" s="20" t="s">
        <v>181</v>
      </c>
      <c r="C477" s="20" t="s">
        <v>182</v>
      </c>
      <c r="D477" s="20" t="s">
        <v>102</v>
      </c>
      <c r="E477" s="20" t="s">
        <v>34</v>
      </c>
      <c r="F477" s="28">
        <f>'Final Output'!K9</f>
        <v>-6.5703864011792859E-2</v>
      </c>
    </row>
    <row r="478" spans="1:6" ht="13.9" x14ac:dyDescent="0.4">
      <c r="A478" s="20" t="s">
        <v>50</v>
      </c>
      <c r="B478" s="20" t="s">
        <v>183</v>
      </c>
      <c r="C478" s="20" t="s">
        <v>184</v>
      </c>
      <c r="D478" s="20" t="s">
        <v>102</v>
      </c>
      <c r="E478" s="20" t="s">
        <v>34</v>
      </c>
      <c r="F478" s="28">
        <f>'Final Output'!K10</f>
        <v>-4.8434415772688172E-2</v>
      </c>
    </row>
    <row r="479" spans="1:6" ht="13.9" x14ac:dyDescent="0.4">
      <c r="A479" s="20" t="s">
        <v>50</v>
      </c>
      <c r="B479" s="20" t="s">
        <v>185</v>
      </c>
      <c r="C479" s="20" t="s">
        <v>186</v>
      </c>
      <c r="D479" s="20" t="s">
        <v>102</v>
      </c>
      <c r="E479" s="20" t="s">
        <v>34</v>
      </c>
      <c r="F479" s="28">
        <f>'Final Output'!K11</f>
        <v>-4.1773779563880883E-2</v>
      </c>
    </row>
    <row r="480" spans="1:6" ht="13.9" x14ac:dyDescent="0.4">
      <c r="A480" s="20" t="s">
        <v>50</v>
      </c>
      <c r="B480" s="20" t="s">
        <v>187</v>
      </c>
      <c r="C480" s="20" t="s">
        <v>188</v>
      </c>
      <c r="D480" s="20" t="s">
        <v>102</v>
      </c>
      <c r="E480" s="20" t="s">
        <v>34</v>
      </c>
      <c r="F480" s="28">
        <f>'Final Output'!K12</f>
        <v>-3.7912815833552369E-2</v>
      </c>
    </row>
    <row r="481" spans="1:6" ht="13.9" x14ac:dyDescent="0.4">
      <c r="A481" s="20" t="s">
        <v>50</v>
      </c>
      <c r="B481" s="20" t="s">
        <v>189</v>
      </c>
      <c r="C481" s="20" t="s">
        <v>190</v>
      </c>
      <c r="D481" s="20" t="s">
        <v>102</v>
      </c>
      <c r="E481" s="20" t="s">
        <v>34</v>
      </c>
      <c r="F481" s="28">
        <f>'Final Output'!K13</f>
        <v>-3.5623914367531956E-2</v>
      </c>
    </row>
    <row r="482" spans="1:6" ht="13.9" x14ac:dyDescent="0.4">
      <c r="A482" s="20" t="s">
        <v>50</v>
      </c>
      <c r="B482" s="20" t="s">
        <v>191</v>
      </c>
      <c r="C482" s="20" t="s">
        <v>192</v>
      </c>
      <c r="D482" s="20" t="s">
        <v>102</v>
      </c>
      <c r="E482" s="20" t="s">
        <v>34</v>
      </c>
      <c r="F482" s="28">
        <f>'Final Output'!K14</f>
        <v>-2.8419468525651321E-2</v>
      </c>
    </row>
    <row r="483" spans="1:6" ht="13.9" x14ac:dyDescent="0.4">
      <c r="A483" s="20" t="s">
        <v>50</v>
      </c>
      <c r="B483" s="20" t="s">
        <v>193</v>
      </c>
      <c r="C483" s="20" t="s">
        <v>194</v>
      </c>
      <c r="D483" s="20" t="s">
        <v>102</v>
      </c>
      <c r="E483" s="20" t="s">
        <v>34</v>
      </c>
      <c r="F483" s="28">
        <f>'Final Output'!K15</f>
        <v>-1.5286447542521703E-2</v>
      </c>
    </row>
    <row r="484" spans="1:6" ht="13.9" x14ac:dyDescent="0.4">
      <c r="A484" s="20" t="s">
        <v>50</v>
      </c>
      <c r="B484" s="20" t="s">
        <v>195</v>
      </c>
      <c r="C484" s="20" t="s">
        <v>196</v>
      </c>
      <c r="D484" s="20" t="s">
        <v>102</v>
      </c>
      <c r="E484" s="20" t="s">
        <v>34</v>
      </c>
      <c r="F484" s="28">
        <f>'Final Output'!K16</f>
        <v>-6.6832871879386607E-3</v>
      </c>
    </row>
    <row r="485" spans="1:6" ht="13.9" x14ac:dyDescent="0.4">
      <c r="A485" s="20" t="s">
        <v>50</v>
      </c>
      <c r="B485" s="20" t="s">
        <v>197</v>
      </c>
      <c r="C485" s="20" t="s">
        <v>198</v>
      </c>
      <c r="D485" s="20" t="s">
        <v>102</v>
      </c>
      <c r="E485" s="20" t="s">
        <v>34</v>
      </c>
      <c r="F485" s="28">
        <f>'Final Output'!K17</f>
        <v>0</v>
      </c>
    </row>
    <row r="486" spans="1:6" ht="13.9" x14ac:dyDescent="0.4">
      <c r="A486" s="20" t="s">
        <v>50</v>
      </c>
      <c r="B486" s="20" t="s">
        <v>199</v>
      </c>
      <c r="C486" s="20" t="s">
        <v>200</v>
      </c>
      <c r="D486" s="20" t="s">
        <v>102</v>
      </c>
      <c r="E486" s="20" t="s">
        <v>34</v>
      </c>
      <c r="F486" s="28">
        <f>'Final Output'!K18</f>
        <v>6.6832871879386607E-3</v>
      </c>
    </row>
    <row r="487" spans="1:6" ht="13.9" x14ac:dyDescent="0.4">
      <c r="A487" s="20" t="s">
        <v>50</v>
      </c>
      <c r="B487" s="20" t="s">
        <v>201</v>
      </c>
      <c r="C487" s="20" t="s">
        <v>202</v>
      </c>
      <c r="D487" s="20" t="s">
        <v>102</v>
      </c>
      <c r="E487" s="20" t="s">
        <v>34</v>
      </c>
      <c r="F487" s="28">
        <f>'Final Output'!K19</f>
        <v>1.5286447542521703E-2</v>
      </c>
    </row>
    <row r="488" spans="1:6" ht="13.9" x14ac:dyDescent="0.4">
      <c r="A488" s="20" t="s">
        <v>50</v>
      </c>
      <c r="B488" s="20" t="s">
        <v>203</v>
      </c>
      <c r="C488" s="20" t="s">
        <v>204</v>
      </c>
      <c r="D488" s="20" t="s">
        <v>102</v>
      </c>
      <c r="E488" s="20" t="s">
        <v>34</v>
      </c>
      <c r="F488" s="28">
        <f>'Final Output'!K20</f>
        <v>2.8419468525651321E-2</v>
      </c>
    </row>
    <row r="489" spans="1:6" ht="13.9" x14ac:dyDescent="0.4">
      <c r="A489" s="20" t="s">
        <v>50</v>
      </c>
      <c r="B489" s="20" t="s">
        <v>205</v>
      </c>
      <c r="C489" s="20" t="s">
        <v>206</v>
      </c>
      <c r="D489" s="20" t="s">
        <v>102</v>
      </c>
      <c r="E489" s="20" t="s">
        <v>34</v>
      </c>
      <c r="F489" s="28">
        <f>'Final Output'!K21</f>
        <v>3.5623914367531956E-2</v>
      </c>
    </row>
    <row r="490" spans="1:6" ht="13.9" x14ac:dyDescent="0.4">
      <c r="A490" s="20" t="s">
        <v>50</v>
      </c>
      <c r="B490" s="20" t="s">
        <v>207</v>
      </c>
      <c r="C490" s="20" t="s">
        <v>208</v>
      </c>
      <c r="D490" s="20" t="s">
        <v>102</v>
      </c>
      <c r="E490" s="20" t="s">
        <v>34</v>
      </c>
      <c r="F490" s="28">
        <f>'Final Output'!K22</f>
        <v>3.7912815833552369E-2</v>
      </c>
    </row>
    <row r="491" spans="1:6" ht="13.9" x14ac:dyDescent="0.4">
      <c r="A491" s="20" t="s">
        <v>50</v>
      </c>
      <c r="B491" s="20" t="s">
        <v>209</v>
      </c>
      <c r="C491" s="20" t="s">
        <v>210</v>
      </c>
      <c r="D491" s="20" t="s">
        <v>102</v>
      </c>
      <c r="E491" s="20" t="s">
        <v>34</v>
      </c>
      <c r="F491" s="28">
        <f>'Final Output'!K23</f>
        <v>4.1773779563880883E-2</v>
      </c>
    </row>
    <row r="492" spans="1:6" ht="13.9" x14ac:dyDescent="0.4">
      <c r="A492" s="20" t="s">
        <v>50</v>
      </c>
      <c r="B492" s="20" t="s">
        <v>211</v>
      </c>
      <c r="C492" s="20" t="s">
        <v>212</v>
      </c>
      <c r="D492" s="20" t="s">
        <v>102</v>
      </c>
      <c r="E492" s="20" t="s">
        <v>34</v>
      </c>
      <c r="F492" s="28">
        <f>'Final Output'!K24</f>
        <v>4.8434415772688172E-2</v>
      </c>
    </row>
    <row r="493" spans="1:6" ht="13.9" x14ac:dyDescent="0.4">
      <c r="A493" s="20" t="s">
        <v>50</v>
      </c>
      <c r="B493" s="20" t="s">
        <v>213</v>
      </c>
      <c r="C493" s="20" t="s">
        <v>214</v>
      </c>
      <c r="D493" s="20" t="s">
        <v>102</v>
      </c>
      <c r="E493" s="20" t="s">
        <v>34</v>
      </c>
      <c r="F493" s="28">
        <f>'Final Output'!K25</f>
        <v>6.5703864011792859E-2</v>
      </c>
    </row>
    <row r="494" spans="1:6" ht="13.9" x14ac:dyDescent="0.4">
      <c r="A494" s="20" t="s">
        <v>50</v>
      </c>
      <c r="B494" s="20" t="s">
        <v>215</v>
      </c>
      <c r="C494" s="20" t="s">
        <v>216</v>
      </c>
      <c r="D494" s="20" t="s">
        <v>102</v>
      </c>
      <c r="E494" s="20" t="s">
        <v>34</v>
      </c>
      <c r="F494" s="28" t="str">
        <f ca="1">CONCATENATE("[…]", TEXT(NOW(),"dd/mm/yyy hh:mm:ss"))</f>
        <v>[…]12/12/2024 16:42:19</v>
      </c>
    </row>
    <row r="495" spans="1:6" ht="13.9" x14ac:dyDescent="0.4">
      <c r="A495" s="20" t="s">
        <v>50</v>
      </c>
      <c r="B495" s="20" t="s">
        <v>217</v>
      </c>
      <c r="C495" s="20" t="s">
        <v>218</v>
      </c>
      <c r="D495" s="20" t="s">
        <v>102</v>
      </c>
      <c r="E495" s="20" t="s">
        <v>34</v>
      </c>
      <c r="F495" s="28" t="str">
        <f ca="1">MID(CELL("filename"),SEARCH("[",CELL("filename"))+1,SEARCH("]",CELL("filename"))-SEARCH("[",CELL("filename"))-1)</f>
        <v>PR24 FD OC13 ODI risk - Feeder Model (Per Capita Consumption and Business Demand).xlsx</v>
      </c>
    </row>
    <row r="496" spans="1:6" ht="13.9" x14ac:dyDescent="0.4">
      <c r="A496" s="20" t="s">
        <v>50</v>
      </c>
      <c r="B496" s="20" t="s">
        <v>219</v>
      </c>
      <c r="C496" s="20" t="s">
        <v>220</v>
      </c>
      <c r="D496" s="20" t="s">
        <v>102</v>
      </c>
      <c r="E496" s="20" t="s">
        <v>34</v>
      </c>
      <c r="F496" s="28" t="str">
        <f>F_Inputs!$E$1</f>
        <v>Run on 06 Dec 2024 15:13</v>
      </c>
    </row>
    <row r="497" spans="1:6" ht="13.9" x14ac:dyDescent="0.4">
      <c r="A497" s="20" t="s">
        <v>50</v>
      </c>
      <c r="B497" s="20" t="s">
        <v>221</v>
      </c>
      <c r="C497" s="20" t="s">
        <v>222</v>
      </c>
      <c r="D497" s="20" t="s">
        <v>102</v>
      </c>
      <c r="E497" s="20" t="s">
        <v>34</v>
      </c>
      <c r="F497" s="28" t="s">
        <v>223</v>
      </c>
    </row>
    <row r="498" spans="1:6" ht="13.9" x14ac:dyDescent="0.4">
      <c r="A498" s="20" t="s">
        <v>52</v>
      </c>
      <c r="B498" s="20" t="s">
        <v>147</v>
      </c>
      <c r="C498" s="20" t="s">
        <v>148</v>
      </c>
      <c r="D498" s="20" t="s">
        <v>102</v>
      </c>
      <c r="E498" s="20" t="s">
        <v>34</v>
      </c>
      <c r="F498" s="28">
        <f>'Final Output'!K27</f>
        <v>-9.679681148616838E-2</v>
      </c>
    </row>
    <row r="499" spans="1:6" ht="13.9" x14ac:dyDescent="0.4">
      <c r="A499" s="20" t="s">
        <v>52</v>
      </c>
      <c r="B499" s="20" t="s">
        <v>149</v>
      </c>
      <c r="C499" s="20" t="s">
        <v>150</v>
      </c>
      <c r="D499" s="20" t="s">
        <v>102</v>
      </c>
      <c r="E499" s="20" t="s">
        <v>34</v>
      </c>
      <c r="F499" s="28">
        <f>'Final Output'!K28</f>
        <v>-8.1541326383880952E-2</v>
      </c>
    </row>
    <row r="500" spans="1:6" ht="13.9" x14ac:dyDescent="0.4">
      <c r="A500" s="20" t="s">
        <v>52</v>
      </c>
      <c r="B500" s="20" t="s">
        <v>151</v>
      </c>
      <c r="C500" s="20" t="s">
        <v>152</v>
      </c>
      <c r="D500" s="20" t="s">
        <v>102</v>
      </c>
      <c r="E500" s="20" t="s">
        <v>34</v>
      </c>
      <c r="F500" s="28">
        <f>'Final Output'!K29</f>
        <v>-7.2635013104052293E-2</v>
      </c>
    </row>
    <row r="501" spans="1:6" ht="13.9" x14ac:dyDescent="0.4">
      <c r="A501" s="20" t="s">
        <v>52</v>
      </c>
      <c r="B501" s="20" t="s">
        <v>153</v>
      </c>
      <c r="C501" s="20" t="s">
        <v>154</v>
      </c>
      <c r="D501" s="20" t="s">
        <v>102</v>
      </c>
      <c r="E501" s="20" t="s">
        <v>34</v>
      </c>
      <c r="F501" s="28">
        <f>'Final Output'!K30</f>
        <v>-5.9656505650614054E-2</v>
      </c>
    </row>
    <row r="502" spans="1:6" ht="13.9" x14ac:dyDescent="0.4">
      <c r="A502" s="20" t="s">
        <v>52</v>
      </c>
      <c r="B502" s="20" t="s">
        <v>155</v>
      </c>
      <c r="C502" s="20" t="s">
        <v>156</v>
      </c>
      <c r="D502" s="20" t="s">
        <v>102</v>
      </c>
      <c r="E502" s="20" t="s">
        <v>34</v>
      </c>
      <c r="F502" s="28">
        <f>'Final Output'!K31</f>
        <v>-5.3265439894555767E-2</v>
      </c>
    </row>
    <row r="503" spans="1:6" ht="13.9" x14ac:dyDescent="0.4">
      <c r="A503" s="20" t="s">
        <v>52</v>
      </c>
      <c r="B503" s="20" t="s">
        <v>157</v>
      </c>
      <c r="C503" s="20" t="s">
        <v>158</v>
      </c>
      <c r="D503" s="20" t="s">
        <v>102</v>
      </c>
      <c r="E503" s="20" t="s">
        <v>34</v>
      </c>
      <c r="F503" s="28">
        <f>'Final Output'!K32</f>
        <v>-3.9710933617870217E-2</v>
      </c>
    </row>
    <row r="504" spans="1:6" ht="13.9" x14ac:dyDescent="0.4">
      <c r="A504" s="20" t="s">
        <v>52</v>
      </c>
      <c r="B504" s="20" t="s">
        <v>159</v>
      </c>
      <c r="C504" s="20" t="s">
        <v>160</v>
      </c>
      <c r="D504" s="20" t="s">
        <v>102</v>
      </c>
      <c r="E504" s="20" t="s">
        <v>34</v>
      </c>
      <c r="F504" s="28">
        <f>'Final Output'!K33</f>
        <v>-2.6502070624940276E-2</v>
      </c>
    </row>
    <row r="505" spans="1:6" ht="13.9" x14ac:dyDescent="0.4">
      <c r="A505" s="20" t="s">
        <v>52</v>
      </c>
      <c r="B505" s="20" t="s">
        <v>161</v>
      </c>
      <c r="C505" s="20" t="s">
        <v>162</v>
      </c>
      <c r="D505" s="20" t="s">
        <v>102</v>
      </c>
      <c r="E505" s="20" t="s">
        <v>34</v>
      </c>
      <c r="F505" s="28">
        <f>'Final Output'!K34</f>
        <v>-1.2207272797456018E-2</v>
      </c>
    </row>
    <row r="506" spans="1:6" ht="13.9" x14ac:dyDescent="0.4">
      <c r="A506" s="20" t="s">
        <v>52</v>
      </c>
      <c r="B506" s="20" t="s">
        <v>163</v>
      </c>
      <c r="C506" s="20" t="s">
        <v>164</v>
      </c>
      <c r="D506" s="20" t="s">
        <v>102</v>
      </c>
      <c r="E506" s="20" t="s">
        <v>34</v>
      </c>
      <c r="F506" s="28">
        <f>'Final Output'!K35</f>
        <v>0</v>
      </c>
    </row>
    <row r="507" spans="1:6" ht="13.9" x14ac:dyDescent="0.4">
      <c r="A507" s="20" t="s">
        <v>52</v>
      </c>
      <c r="B507" s="20" t="s">
        <v>165</v>
      </c>
      <c r="C507" s="20" t="s">
        <v>166</v>
      </c>
      <c r="D507" s="20" t="s">
        <v>102</v>
      </c>
      <c r="E507" s="20" t="s">
        <v>34</v>
      </c>
      <c r="F507" s="28">
        <f>'Final Output'!K36</f>
        <v>1.2207272797456018E-2</v>
      </c>
    </row>
    <row r="508" spans="1:6" ht="13.9" x14ac:dyDescent="0.4">
      <c r="A508" s="20" t="s">
        <v>52</v>
      </c>
      <c r="B508" s="20" t="s">
        <v>167</v>
      </c>
      <c r="C508" s="20" t="s">
        <v>168</v>
      </c>
      <c r="D508" s="20" t="s">
        <v>102</v>
      </c>
      <c r="E508" s="20" t="s">
        <v>34</v>
      </c>
      <c r="F508" s="28">
        <f>'Final Output'!K37</f>
        <v>2.6502070624940276E-2</v>
      </c>
    </row>
    <row r="509" spans="1:6" ht="13.9" x14ac:dyDescent="0.4">
      <c r="A509" s="20" t="s">
        <v>52</v>
      </c>
      <c r="B509" s="20" t="s">
        <v>169</v>
      </c>
      <c r="C509" s="20" t="s">
        <v>170</v>
      </c>
      <c r="D509" s="20" t="s">
        <v>102</v>
      </c>
      <c r="E509" s="20" t="s">
        <v>34</v>
      </c>
      <c r="F509" s="28">
        <f>'Final Output'!K38</f>
        <v>3.9710933617870217E-2</v>
      </c>
    </row>
    <row r="510" spans="1:6" ht="13.9" x14ac:dyDescent="0.4">
      <c r="A510" s="20" t="s">
        <v>52</v>
      </c>
      <c r="B510" s="20" t="s">
        <v>171</v>
      </c>
      <c r="C510" s="20" t="s">
        <v>172</v>
      </c>
      <c r="D510" s="20" t="s">
        <v>102</v>
      </c>
      <c r="E510" s="20" t="s">
        <v>34</v>
      </c>
      <c r="F510" s="28">
        <f>'Final Output'!K39</f>
        <v>5.3265439894555767E-2</v>
      </c>
    </row>
    <row r="511" spans="1:6" ht="13.9" x14ac:dyDescent="0.4">
      <c r="A511" s="20" t="s">
        <v>52</v>
      </c>
      <c r="B511" s="20" t="s">
        <v>173</v>
      </c>
      <c r="C511" s="20" t="s">
        <v>174</v>
      </c>
      <c r="D511" s="20" t="s">
        <v>102</v>
      </c>
      <c r="E511" s="20" t="s">
        <v>34</v>
      </c>
      <c r="F511" s="28">
        <f>'Final Output'!K40</f>
        <v>5.9656505650614054E-2</v>
      </c>
    </row>
    <row r="512" spans="1:6" ht="13.9" x14ac:dyDescent="0.4">
      <c r="A512" s="20" t="s">
        <v>52</v>
      </c>
      <c r="B512" s="20" t="s">
        <v>175</v>
      </c>
      <c r="C512" s="20" t="s">
        <v>176</v>
      </c>
      <c r="D512" s="20" t="s">
        <v>102</v>
      </c>
      <c r="E512" s="20" t="s">
        <v>34</v>
      </c>
      <c r="F512" s="28">
        <f>'Final Output'!K41</f>
        <v>7.2635013104052293E-2</v>
      </c>
    </row>
    <row r="513" spans="1:6" ht="13.9" x14ac:dyDescent="0.4">
      <c r="A513" s="20" t="s">
        <v>52</v>
      </c>
      <c r="B513" s="20" t="s">
        <v>177</v>
      </c>
      <c r="C513" s="20" t="s">
        <v>178</v>
      </c>
      <c r="D513" s="20" t="s">
        <v>102</v>
      </c>
      <c r="E513" s="20" t="s">
        <v>34</v>
      </c>
      <c r="F513" s="28">
        <f>'Final Output'!K42</f>
        <v>8.1541326383880952E-2</v>
      </c>
    </row>
    <row r="514" spans="1:6" ht="13.9" x14ac:dyDescent="0.4">
      <c r="A514" s="20" t="s">
        <v>52</v>
      </c>
      <c r="B514" s="20" t="s">
        <v>179</v>
      </c>
      <c r="C514" s="20" t="s">
        <v>180</v>
      </c>
      <c r="D514" s="20" t="s">
        <v>102</v>
      </c>
      <c r="E514" s="20" t="s">
        <v>34</v>
      </c>
      <c r="F514" s="28">
        <f>'Final Output'!K43</f>
        <v>9.679681148616838E-2</v>
      </c>
    </row>
    <row r="515" spans="1:6" ht="13.9" x14ac:dyDescent="0.4">
      <c r="A515" s="20" t="s">
        <v>52</v>
      </c>
      <c r="B515" s="20" t="s">
        <v>181</v>
      </c>
      <c r="C515" s="20" t="s">
        <v>182</v>
      </c>
      <c r="D515" s="20" t="s">
        <v>102</v>
      </c>
      <c r="E515" s="20" t="s">
        <v>34</v>
      </c>
      <c r="F515" s="28">
        <f>'Final Output'!K9</f>
        <v>-6.5703864011792859E-2</v>
      </c>
    </row>
    <row r="516" spans="1:6" ht="13.9" x14ac:dyDescent="0.4">
      <c r="A516" s="20" t="s">
        <v>52</v>
      </c>
      <c r="B516" s="20" t="s">
        <v>183</v>
      </c>
      <c r="C516" s="20" t="s">
        <v>184</v>
      </c>
      <c r="D516" s="20" t="s">
        <v>102</v>
      </c>
      <c r="E516" s="20" t="s">
        <v>34</v>
      </c>
      <c r="F516" s="28">
        <f>'Final Output'!K10</f>
        <v>-4.8434415772688172E-2</v>
      </c>
    </row>
    <row r="517" spans="1:6" ht="13.9" x14ac:dyDescent="0.4">
      <c r="A517" s="20" t="s">
        <v>52</v>
      </c>
      <c r="B517" s="20" t="s">
        <v>185</v>
      </c>
      <c r="C517" s="20" t="s">
        <v>186</v>
      </c>
      <c r="D517" s="20" t="s">
        <v>102</v>
      </c>
      <c r="E517" s="20" t="s">
        <v>34</v>
      </c>
      <c r="F517" s="28">
        <f>'Final Output'!K11</f>
        <v>-4.1773779563880883E-2</v>
      </c>
    </row>
    <row r="518" spans="1:6" ht="13.9" x14ac:dyDescent="0.4">
      <c r="A518" s="20" t="s">
        <v>52</v>
      </c>
      <c r="B518" s="20" t="s">
        <v>187</v>
      </c>
      <c r="C518" s="20" t="s">
        <v>188</v>
      </c>
      <c r="D518" s="20" t="s">
        <v>102</v>
      </c>
      <c r="E518" s="20" t="s">
        <v>34</v>
      </c>
      <c r="F518" s="28">
        <f>'Final Output'!K12</f>
        <v>-3.7912815833552369E-2</v>
      </c>
    </row>
    <row r="519" spans="1:6" ht="13.9" x14ac:dyDescent="0.4">
      <c r="A519" s="20" t="s">
        <v>52</v>
      </c>
      <c r="B519" s="20" t="s">
        <v>189</v>
      </c>
      <c r="C519" s="20" t="s">
        <v>190</v>
      </c>
      <c r="D519" s="20" t="s">
        <v>102</v>
      </c>
      <c r="E519" s="20" t="s">
        <v>34</v>
      </c>
      <c r="F519" s="28">
        <f>'Final Output'!K13</f>
        <v>-3.5623914367531956E-2</v>
      </c>
    </row>
    <row r="520" spans="1:6" ht="13.9" x14ac:dyDescent="0.4">
      <c r="A520" s="20" t="s">
        <v>52</v>
      </c>
      <c r="B520" s="20" t="s">
        <v>191</v>
      </c>
      <c r="C520" s="20" t="s">
        <v>192</v>
      </c>
      <c r="D520" s="20" t="s">
        <v>102</v>
      </c>
      <c r="E520" s="20" t="s">
        <v>34</v>
      </c>
      <c r="F520" s="28">
        <f>'Final Output'!K14</f>
        <v>-2.8419468525651321E-2</v>
      </c>
    </row>
    <row r="521" spans="1:6" ht="13.9" x14ac:dyDescent="0.4">
      <c r="A521" s="20" t="s">
        <v>52</v>
      </c>
      <c r="B521" s="20" t="s">
        <v>193</v>
      </c>
      <c r="C521" s="20" t="s">
        <v>194</v>
      </c>
      <c r="D521" s="20" t="s">
        <v>102</v>
      </c>
      <c r="E521" s="20" t="s">
        <v>34</v>
      </c>
      <c r="F521" s="28">
        <f>'Final Output'!K15</f>
        <v>-1.5286447542521703E-2</v>
      </c>
    </row>
    <row r="522" spans="1:6" ht="13.9" x14ac:dyDescent="0.4">
      <c r="A522" s="20" t="s">
        <v>52</v>
      </c>
      <c r="B522" s="20" t="s">
        <v>195</v>
      </c>
      <c r="C522" s="20" t="s">
        <v>196</v>
      </c>
      <c r="D522" s="20" t="s">
        <v>102</v>
      </c>
      <c r="E522" s="20" t="s">
        <v>34</v>
      </c>
      <c r="F522" s="28">
        <f>'Final Output'!K16</f>
        <v>-6.6832871879386607E-3</v>
      </c>
    </row>
    <row r="523" spans="1:6" ht="13.9" x14ac:dyDescent="0.4">
      <c r="A523" s="20" t="s">
        <v>52</v>
      </c>
      <c r="B523" s="20" t="s">
        <v>197</v>
      </c>
      <c r="C523" s="20" t="s">
        <v>198</v>
      </c>
      <c r="D523" s="20" t="s">
        <v>102</v>
      </c>
      <c r="E523" s="20" t="s">
        <v>34</v>
      </c>
      <c r="F523" s="28">
        <f>'Final Output'!K17</f>
        <v>0</v>
      </c>
    </row>
    <row r="524" spans="1:6" ht="13.9" x14ac:dyDescent="0.4">
      <c r="A524" s="20" t="s">
        <v>52</v>
      </c>
      <c r="B524" s="20" t="s">
        <v>199</v>
      </c>
      <c r="C524" s="20" t="s">
        <v>200</v>
      </c>
      <c r="D524" s="20" t="s">
        <v>102</v>
      </c>
      <c r="E524" s="20" t="s">
        <v>34</v>
      </c>
      <c r="F524" s="28">
        <f>'Final Output'!K18</f>
        <v>6.6832871879386607E-3</v>
      </c>
    </row>
    <row r="525" spans="1:6" ht="13.9" x14ac:dyDescent="0.4">
      <c r="A525" s="20" t="s">
        <v>52</v>
      </c>
      <c r="B525" s="20" t="s">
        <v>201</v>
      </c>
      <c r="C525" s="20" t="s">
        <v>202</v>
      </c>
      <c r="D525" s="20" t="s">
        <v>102</v>
      </c>
      <c r="E525" s="20" t="s">
        <v>34</v>
      </c>
      <c r="F525" s="28">
        <f>'Final Output'!K19</f>
        <v>1.5286447542521703E-2</v>
      </c>
    </row>
    <row r="526" spans="1:6" ht="13.9" x14ac:dyDescent="0.4">
      <c r="A526" s="20" t="s">
        <v>52</v>
      </c>
      <c r="B526" s="20" t="s">
        <v>203</v>
      </c>
      <c r="C526" s="20" t="s">
        <v>204</v>
      </c>
      <c r="D526" s="20" t="s">
        <v>102</v>
      </c>
      <c r="E526" s="20" t="s">
        <v>34</v>
      </c>
      <c r="F526" s="28">
        <f>'Final Output'!K20</f>
        <v>2.8419468525651321E-2</v>
      </c>
    </row>
    <row r="527" spans="1:6" ht="13.9" x14ac:dyDescent="0.4">
      <c r="A527" s="20" t="s">
        <v>52</v>
      </c>
      <c r="B527" s="20" t="s">
        <v>205</v>
      </c>
      <c r="C527" s="20" t="s">
        <v>206</v>
      </c>
      <c r="D527" s="20" t="s">
        <v>102</v>
      </c>
      <c r="E527" s="20" t="s">
        <v>34</v>
      </c>
      <c r="F527" s="28">
        <f>'Final Output'!K21</f>
        <v>3.5623914367531956E-2</v>
      </c>
    </row>
    <row r="528" spans="1:6" ht="13.9" x14ac:dyDescent="0.4">
      <c r="A528" s="20" t="s">
        <v>52</v>
      </c>
      <c r="B528" s="20" t="s">
        <v>207</v>
      </c>
      <c r="C528" s="20" t="s">
        <v>208</v>
      </c>
      <c r="D528" s="20" t="s">
        <v>102</v>
      </c>
      <c r="E528" s="20" t="s">
        <v>34</v>
      </c>
      <c r="F528" s="28">
        <f>'Final Output'!K22</f>
        <v>3.7912815833552369E-2</v>
      </c>
    </row>
    <row r="529" spans="1:6" ht="13.9" x14ac:dyDescent="0.4">
      <c r="A529" s="20" t="s">
        <v>52</v>
      </c>
      <c r="B529" s="20" t="s">
        <v>209</v>
      </c>
      <c r="C529" s="20" t="s">
        <v>210</v>
      </c>
      <c r="D529" s="20" t="s">
        <v>102</v>
      </c>
      <c r="E529" s="20" t="s">
        <v>34</v>
      </c>
      <c r="F529" s="28">
        <f>'Final Output'!K23</f>
        <v>4.1773779563880883E-2</v>
      </c>
    </row>
    <row r="530" spans="1:6" ht="13.9" x14ac:dyDescent="0.4">
      <c r="A530" s="20" t="s">
        <v>52</v>
      </c>
      <c r="B530" s="20" t="s">
        <v>211</v>
      </c>
      <c r="C530" s="20" t="s">
        <v>212</v>
      </c>
      <c r="D530" s="20" t="s">
        <v>102</v>
      </c>
      <c r="E530" s="20" t="s">
        <v>34</v>
      </c>
      <c r="F530" s="28">
        <f>'Final Output'!K24</f>
        <v>4.8434415772688172E-2</v>
      </c>
    </row>
    <row r="531" spans="1:6" ht="13.9" x14ac:dyDescent="0.4">
      <c r="A531" s="20" t="s">
        <v>52</v>
      </c>
      <c r="B531" s="20" t="s">
        <v>213</v>
      </c>
      <c r="C531" s="20" t="s">
        <v>214</v>
      </c>
      <c r="D531" s="20" t="s">
        <v>102</v>
      </c>
      <c r="E531" s="20" t="s">
        <v>34</v>
      </c>
      <c r="F531" s="28">
        <f>'Final Output'!K25</f>
        <v>6.5703864011792859E-2</v>
      </c>
    </row>
    <row r="532" spans="1:6" ht="13.9" x14ac:dyDescent="0.4">
      <c r="A532" s="20" t="s">
        <v>52</v>
      </c>
      <c r="B532" s="20" t="s">
        <v>215</v>
      </c>
      <c r="C532" s="20" t="s">
        <v>216</v>
      </c>
      <c r="D532" s="20" t="s">
        <v>102</v>
      </c>
      <c r="E532" s="20" t="s">
        <v>34</v>
      </c>
      <c r="F532" s="28" t="str">
        <f ca="1">CONCATENATE("[…]", TEXT(NOW(),"dd/mm/yyy hh:mm:ss"))</f>
        <v>[…]12/12/2024 16:42:19</v>
      </c>
    </row>
    <row r="533" spans="1:6" ht="13.9" x14ac:dyDescent="0.4">
      <c r="A533" s="20" t="s">
        <v>52</v>
      </c>
      <c r="B533" s="20" t="s">
        <v>217</v>
      </c>
      <c r="C533" s="20" t="s">
        <v>218</v>
      </c>
      <c r="D533" s="20" t="s">
        <v>102</v>
      </c>
      <c r="E533" s="20" t="s">
        <v>34</v>
      </c>
      <c r="F533" s="28" t="str">
        <f ca="1">MID(CELL("filename"),SEARCH("[",CELL("filename"))+1,SEARCH("]",CELL("filename"))-SEARCH("[",CELL("filename"))-1)</f>
        <v>PR24 FD OC13 ODI risk - Feeder Model (Per Capita Consumption and Business Demand).xlsx</v>
      </c>
    </row>
    <row r="534" spans="1:6" ht="13.9" x14ac:dyDescent="0.4">
      <c r="A534" s="20" t="s">
        <v>52</v>
      </c>
      <c r="B534" s="20" t="s">
        <v>219</v>
      </c>
      <c r="C534" s="20" t="s">
        <v>220</v>
      </c>
      <c r="D534" s="20" t="s">
        <v>102</v>
      </c>
      <c r="E534" s="20" t="s">
        <v>34</v>
      </c>
      <c r="F534" s="28" t="str">
        <f>F_Inputs!$E$1</f>
        <v>Run on 06 Dec 2024 15:13</v>
      </c>
    </row>
    <row r="535" spans="1:6" ht="13.9" x14ac:dyDescent="0.4">
      <c r="A535" s="20" t="s">
        <v>52</v>
      </c>
      <c r="B535" s="20" t="s">
        <v>221</v>
      </c>
      <c r="C535" s="20" t="s">
        <v>222</v>
      </c>
      <c r="D535" s="20" t="s">
        <v>102</v>
      </c>
      <c r="E535" s="20" t="s">
        <v>34</v>
      </c>
      <c r="F535" s="28" t="s">
        <v>223</v>
      </c>
    </row>
    <row r="536" spans="1:6" ht="13.9" x14ac:dyDescent="0.4">
      <c r="A536" s="20" t="s">
        <v>46</v>
      </c>
      <c r="B536" s="20" t="s">
        <v>147</v>
      </c>
      <c r="C536" s="20" t="s">
        <v>148</v>
      </c>
      <c r="D536" s="20" t="s">
        <v>102</v>
      </c>
      <c r="E536" s="20" t="s">
        <v>34</v>
      </c>
      <c r="F536" s="28">
        <f>'Final Output'!K27</f>
        <v>-9.679681148616838E-2</v>
      </c>
    </row>
    <row r="537" spans="1:6" ht="13.9" x14ac:dyDescent="0.4">
      <c r="A537" s="20" t="s">
        <v>46</v>
      </c>
      <c r="B537" s="20" t="s">
        <v>149</v>
      </c>
      <c r="C537" s="20" t="s">
        <v>150</v>
      </c>
      <c r="D537" s="20" t="s">
        <v>102</v>
      </c>
      <c r="E537" s="20" t="s">
        <v>34</v>
      </c>
      <c r="F537" s="28">
        <f>'Final Output'!K28</f>
        <v>-8.1541326383880952E-2</v>
      </c>
    </row>
    <row r="538" spans="1:6" ht="13.9" x14ac:dyDescent="0.4">
      <c r="A538" s="20" t="s">
        <v>46</v>
      </c>
      <c r="B538" s="20" t="s">
        <v>151</v>
      </c>
      <c r="C538" s="20" t="s">
        <v>152</v>
      </c>
      <c r="D538" s="20" t="s">
        <v>102</v>
      </c>
      <c r="E538" s="20" t="s">
        <v>34</v>
      </c>
      <c r="F538" s="28">
        <f>'Final Output'!K29</f>
        <v>-7.2635013104052293E-2</v>
      </c>
    </row>
    <row r="539" spans="1:6" ht="13.9" x14ac:dyDescent="0.4">
      <c r="A539" s="20" t="s">
        <v>46</v>
      </c>
      <c r="B539" s="20" t="s">
        <v>153</v>
      </c>
      <c r="C539" s="20" t="s">
        <v>154</v>
      </c>
      <c r="D539" s="20" t="s">
        <v>102</v>
      </c>
      <c r="E539" s="20" t="s">
        <v>34</v>
      </c>
      <c r="F539" s="28">
        <f>'Final Output'!K30</f>
        <v>-5.9656505650614054E-2</v>
      </c>
    </row>
    <row r="540" spans="1:6" ht="13.9" x14ac:dyDescent="0.4">
      <c r="A540" s="20" t="s">
        <v>46</v>
      </c>
      <c r="B540" s="20" t="s">
        <v>155</v>
      </c>
      <c r="C540" s="20" t="s">
        <v>156</v>
      </c>
      <c r="D540" s="20" t="s">
        <v>102</v>
      </c>
      <c r="E540" s="20" t="s">
        <v>34</v>
      </c>
      <c r="F540" s="28">
        <f>'Final Output'!K31</f>
        <v>-5.3265439894555767E-2</v>
      </c>
    </row>
    <row r="541" spans="1:6" ht="13.9" x14ac:dyDescent="0.4">
      <c r="A541" s="20" t="s">
        <v>46</v>
      </c>
      <c r="B541" s="20" t="s">
        <v>157</v>
      </c>
      <c r="C541" s="20" t="s">
        <v>158</v>
      </c>
      <c r="D541" s="20" t="s">
        <v>102</v>
      </c>
      <c r="E541" s="20" t="s">
        <v>34</v>
      </c>
      <c r="F541" s="28">
        <f>'Final Output'!K32</f>
        <v>-3.9710933617870217E-2</v>
      </c>
    </row>
    <row r="542" spans="1:6" ht="13.9" x14ac:dyDescent="0.4">
      <c r="A542" s="20" t="s">
        <v>46</v>
      </c>
      <c r="B542" s="20" t="s">
        <v>159</v>
      </c>
      <c r="C542" s="20" t="s">
        <v>160</v>
      </c>
      <c r="D542" s="20" t="s">
        <v>102</v>
      </c>
      <c r="E542" s="20" t="s">
        <v>34</v>
      </c>
      <c r="F542" s="28">
        <f>'Final Output'!K33</f>
        <v>-2.6502070624940276E-2</v>
      </c>
    </row>
    <row r="543" spans="1:6" ht="13.9" x14ac:dyDescent="0.4">
      <c r="A543" s="20" t="s">
        <v>46</v>
      </c>
      <c r="B543" s="20" t="s">
        <v>161</v>
      </c>
      <c r="C543" s="20" t="s">
        <v>162</v>
      </c>
      <c r="D543" s="20" t="s">
        <v>102</v>
      </c>
      <c r="E543" s="20" t="s">
        <v>34</v>
      </c>
      <c r="F543" s="28">
        <f>'Final Output'!K34</f>
        <v>-1.2207272797456018E-2</v>
      </c>
    </row>
    <row r="544" spans="1:6" ht="13.9" x14ac:dyDescent="0.4">
      <c r="A544" s="20" t="s">
        <v>46</v>
      </c>
      <c r="B544" s="20" t="s">
        <v>163</v>
      </c>
      <c r="C544" s="20" t="s">
        <v>164</v>
      </c>
      <c r="D544" s="20" t="s">
        <v>102</v>
      </c>
      <c r="E544" s="20" t="s">
        <v>34</v>
      </c>
      <c r="F544" s="28">
        <f>'Final Output'!K35</f>
        <v>0</v>
      </c>
    </row>
    <row r="545" spans="1:6" ht="13.9" x14ac:dyDescent="0.4">
      <c r="A545" s="20" t="s">
        <v>46</v>
      </c>
      <c r="B545" s="20" t="s">
        <v>165</v>
      </c>
      <c r="C545" s="20" t="s">
        <v>166</v>
      </c>
      <c r="D545" s="20" t="s">
        <v>102</v>
      </c>
      <c r="E545" s="20" t="s">
        <v>34</v>
      </c>
      <c r="F545" s="28">
        <f>'Final Output'!K36</f>
        <v>1.2207272797456018E-2</v>
      </c>
    </row>
    <row r="546" spans="1:6" ht="13.9" x14ac:dyDescent="0.4">
      <c r="A546" s="20" t="s">
        <v>46</v>
      </c>
      <c r="B546" s="20" t="s">
        <v>167</v>
      </c>
      <c r="C546" s="20" t="s">
        <v>168</v>
      </c>
      <c r="D546" s="20" t="s">
        <v>102</v>
      </c>
      <c r="E546" s="20" t="s">
        <v>34</v>
      </c>
      <c r="F546" s="28">
        <f>'Final Output'!K37</f>
        <v>2.6502070624940276E-2</v>
      </c>
    </row>
    <row r="547" spans="1:6" ht="13.9" x14ac:dyDescent="0.4">
      <c r="A547" s="20" t="s">
        <v>46</v>
      </c>
      <c r="B547" s="20" t="s">
        <v>169</v>
      </c>
      <c r="C547" s="20" t="s">
        <v>170</v>
      </c>
      <c r="D547" s="20" t="s">
        <v>102</v>
      </c>
      <c r="E547" s="20" t="s">
        <v>34</v>
      </c>
      <c r="F547" s="28">
        <f>'Final Output'!K38</f>
        <v>3.9710933617870217E-2</v>
      </c>
    </row>
    <row r="548" spans="1:6" ht="13.9" x14ac:dyDescent="0.4">
      <c r="A548" s="20" t="s">
        <v>46</v>
      </c>
      <c r="B548" s="20" t="s">
        <v>171</v>
      </c>
      <c r="C548" s="20" t="s">
        <v>172</v>
      </c>
      <c r="D548" s="20" t="s">
        <v>102</v>
      </c>
      <c r="E548" s="20" t="s">
        <v>34</v>
      </c>
      <c r="F548" s="28">
        <f>'Final Output'!K39</f>
        <v>5.3265439894555767E-2</v>
      </c>
    </row>
    <row r="549" spans="1:6" ht="13.9" x14ac:dyDescent="0.4">
      <c r="A549" s="20" t="s">
        <v>46</v>
      </c>
      <c r="B549" s="20" t="s">
        <v>173</v>
      </c>
      <c r="C549" s="20" t="s">
        <v>174</v>
      </c>
      <c r="D549" s="20" t="s">
        <v>102</v>
      </c>
      <c r="E549" s="20" t="s">
        <v>34</v>
      </c>
      <c r="F549" s="28">
        <f>'Final Output'!K40</f>
        <v>5.9656505650614054E-2</v>
      </c>
    </row>
    <row r="550" spans="1:6" ht="13.9" x14ac:dyDescent="0.4">
      <c r="A550" s="20" t="s">
        <v>46</v>
      </c>
      <c r="B550" s="20" t="s">
        <v>175</v>
      </c>
      <c r="C550" s="20" t="s">
        <v>176</v>
      </c>
      <c r="D550" s="20" t="s">
        <v>102</v>
      </c>
      <c r="E550" s="20" t="s">
        <v>34</v>
      </c>
      <c r="F550" s="28">
        <f>'Final Output'!K41</f>
        <v>7.2635013104052293E-2</v>
      </c>
    </row>
    <row r="551" spans="1:6" ht="13.9" x14ac:dyDescent="0.4">
      <c r="A551" s="20" t="s">
        <v>46</v>
      </c>
      <c r="B551" s="20" t="s">
        <v>177</v>
      </c>
      <c r="C551" s="20" t="s">
        <v>178</v>
      </c>
      <c r="D551" s="20" t="s">
        <v>102</v>
      </c>
      <c r="E551" s="20" t="s">
        <v>34</v>
      </c>
      <c r="F551" s="28">
        <f>'Final Output'!K42</f>
        <v>8.1541326383880952E-2</v>
      </c>
    </row>
    <row r="552" spans="1:6" ht="13.9" x14ac:dyDescent="0.4">
      <c r="A552" s="20" t="s">
        <v>46</v>
      </c>
      <c r="B552" s="20" t="s">
        <v>179</v>
      </c>
      <c r="C552" s="20" t="s">
        <v>180</v>
      </c>
      <c r="D552" s="20" t="s">
        <v>102</v>
      </c>
      <c r="E552" s="20" t="s">
        <v>34</v>
      </c>
      <c r="F552" s="28">
        <f>'Final Output'!K43</f>
        <v>9.679681148616838E-2</v>
      </c>
    </row>
    <row r="553" spans="1:6" ht="13.9" x14ac:dyDescent="0.4">
      <c r="A553" s="20" t="s">
        <v>46</v>
      </c>
      <c r="B553" s="20" t="s">
        <v>181</v>
      </c>
      <c r="C553" s="20" t="s">
        <v>182</v>
      </c>
      <c r="D553" s="20" t="s">
        <v>102</v>
      </c>
      <c r="E553" s="20" t="s">
        <v>34</v>
      </c>
      <c r="F553" s="28">
        <f>'Final Output'!K9</f>
        <v>-6.5703864011792859E-2</v>
      </c>
    </row>
    <row r="554" spans="1:6" ht="13.9" x14ac:dyDescent="0.4">
      <c r="A554" s="20" t="s">
        <v>46</v>
      </c>
      <c r="B554" s="20" t="s">
        <v>183</v>
      </c>
      <c r="C554" s="20" t="s">
        <v>184</v>
      </c>
      <c r="D554" s="20" t="s">
        <v>102</v>
      </c>
      <c r="E554" s="20" t="s">
        <v>34</v>
      </c>
      <c r="F554" s="28">
        <f>'Final Output'!K10</f>
        <v>-4.8434415772688172E-2</v>
      </c>
    </row>
    <row r="555" spans="1:6" ht="13.9" x14ac:dyDescent="0.4">
      <c r="A555" s="20" t="s">
        <v>46</v>
      </c>
      <c r="B555" s="20" t="s">
        <v>185</v>
      </c>
      <c r="C555" s="20" t="s">
        <v>186</v>
      </c>
      <c r="D555" s="20" t="s">
        <v>102</v>
      </c>
      <c r="E555" s="20" t="s">
        <v>34</v>
      </c>
      <c r="F555" s="28">
        <f>'Final Output'!K11</f>
        <v>-4.1773779563880883E-2</v>
      </c>
    </row>
    <row r="556" spans="1:6" ht="13.9" x14ac:dyDescent="0.4">
      <c r="A556" s="20" t="s">
        <v>46</v>
      </c>
      <c r="B556" s="20" t="s">
        <v>187</v>
      </c>
      <c r="C556" s="20" t="s">
        <v>188</v>
      </c>
      <c r="D556" s="20" t="s">
        <v>102</v>
      </c>
      <c r="E556" s="20" t="s">
        <v>34</v>
      </c>
      <c r="F556" s="28">
        <f>'Final Output'!K12</f>
        <v>-3.7912815833552369E-2</v>
      </c>
    </row>
    <row r="557" spans="1:6" ht="13.9" x14ac:dyDescent="0.4">
      <c r="A557" s="20" t="s">
        <v>46</v>
      </c>
      <c r="B557" s="20" t="s">
        <v>189</v>
      </c>
      <c r="C557" s="20" t="s">
        <v>190</v>
      </c>
      <c r="D557" s="20" t="s">
        <v>102</v>
      </c>
      <c r="E557" s="20" t="s">
        <v>34</v>
      </c>
      <c r="F557" s="28">
        <f>'Final Output'!K13</f>
        <v>-3.5623914367531956E-2</v>
      </c>
    </row>
    <row r="558" spans="1:6" ht="13.9" x14ac:dyDescent="0.4">
      <c r="A558" s="20" t="s">
        <v>46</v>
      </c>
      <c r="B558" s="20" t="s">
        <v>191</v>
      </c>
      <c r="C558" s="20" t="s">
        <v>192</v>
      </c>
      <c r="D558" s="20" t="s">
        <v>102</v>
      </c>
      <c r="E558" s="20" t="s">
        <v>34</v>
      </c>
      <c r="F558" s="28">
        <f>'Final Output'!K14</f>
        <v>-2.8419468525651321E-2</v>
      </c>
    </row>
    <row r="559" spans="1:6" ht="13.9" x14ac:dyDescent="0.4">
      <c r="A559" s="20" t="s">
        <v>46</v>
      </c>
      <c r="B559" s="20" t="s">
        <v>193</v>
      </c>
      <c r="C559" s="20" t="s">
        <v>194</v>
      </c>
      <c r="D559" s="20" t="s">
        <v>102</v>
      </c>
      <c r="E559" s="20" t="s">
        <v>34</v>
      </c>
      <c r="F559" s="28">
        <f>'Final Output'!K15</f>
        <v>-1.5286447542521703E-2</v>
      </c>
    </row>
    <row r="560" spans="1:6" ht="13.9" x14ac:dyDescent="0.4">
      <c r="A560" s="20" t="s">
        <v>46</v>
      </c>
      <c r="B560" s="20" t="s">
        <v>195</v>
      </c>
      <c r="C560" s="20" t="s">
        <v>196</v>
      </c>
      <c r="D560" s="20" t="s">
        <v>102</v>
      </c>
      <c r="E560" s="20" t="s">
        <v>34</v>
      </c>
      <c r="F560" s="28">
        <f>'Final Output'!K16</f>
        <v>-6.6832871879386607E-3</v>
      </c>
    </row>
    <row r="561" spans="1:6" ht="13.9" x14ac:dyDescent="0.4">
      <c r="A561" s="20" t="s">
        <v>46</v>
      </c>
      <c r="B561" s="20" t="s">
        <v>197</v>
      </c>
      <c r="C561" s="20" t="s">
        <v>198</v>
      </c>
      <c r="D561" s="20" t="s">
        <v>102</v>
      </c>
      <c r="E561" s="20" t="s">
        <v>34</v>
      </c>
      <c r="F561" s="28">
        <f>'Final Output'!K17</f>
        <v>0</v>
      </c>
    </row>
    <row r="562" spans="1:6" ht="13.9" x14ac:dyDescent="0.4">
      <c r="A562" s="20" t="s">
        <v>46</v>
      </c>
      <c r="B562" s="20" t="s">
        <v>199</v>
      </c>
      <c r="C562" s="20" t="s">
        <v>200</v>
      </c>
      <c r="D562" s="20" t="s">
        <v>102</v>
      </c>
      <c r="E562" s="20" t="s">
        <v>34</v>
      </c>
      <c r="F562" s="28">
        <f>'Final Output'!K18</f>
        <v>6.6832871879386607E-3</v>
      </c>
    </row>
    <row r="563" spans="1:6" ht="13.9" x14ac:dyDescent="0.4">
      <c r="A563" s="20" t="s">
        <v>46</v>
      </c>
      <c r="B563" s="20" t="s">
        <v>201</v>
      </c>
      <c r="C563" s="20" t="s">
        <v>202</v>
      </c>
      <c r="D563" s="20" t="s">
        <v>102</v>
      </c>
      <c r="E563" s="20" t="s">
        <v>34</v>
      </c>
      <c r="F563" s="28">
        <f>'Final Output'!K19</f>
        <v>1.5286447542521703E-2</v>
      </c>
    </row>
    <row r="564" spans="1:6" ht="13.9" x14ac:dyDescent="0.4">
      <c r="A564" s="20" t="s">
        <v>46</v>
      </c>
      <c r="B564" s="20" t="s">
        <v>203</v>
      </c>
      <c r="C564" s="20" t="s">
        <v>204</v>
      </c>
      <c r="D564" s="20" t="s">
        <v>102</v>
      </c>
      <c r="E564" s="20" t="s">
        <v>34</v>
      </c>
      <c r="F564" s="28">
        <f>'Final Output'!K20</f>
        <v>2.8419468525651321E-2</v>
      </c>
    </row>
    <row r="565" spans="1:6" ht="13.9" x14ac:dyDescent="0.4">
      <c r="A565" s="20" t="s">
        <v>46</v>
      </c>
      <c r="B565" s="20" t="s">
        <v>205</v>
      </c>
      <c r="C565" s="20" t="s">
        <v>206</v>
      </c>
      <c r="D565" s="20" t="s">
        <v>102</v>
      </c>
      <c r="E565" s="20" t="s">
        <v>34</v>
      </c>
      <c r="F565" s="28">
        <f>'Final Output'!K21</f>
        <v>3.5623914367531956E-2</v>
      </c>
    </row>
    <row r="566" spans="1:6" ht="13.9" x14ac:dyDescent="0.4">
      <c r="A566" s="20" t="s">
        <v>46</v>
      </c>
      <c r="B566" s="20" t="s">
        <v>207</v>
      </c>
      <c r="C566" s="20" t="s">
        <v>208</v>
      </c>
      <c r="D566" s="20" t="s">
        <v>102</v>
      </c>
      <c r="E566" s="20" t="s">
        <v>34</v>
      </c>
      <c r="F566" s="28">
        <f>'Final Output'!K22</f>
        <v>3.7912815833552369E-2</v>
      </c>
    </row>
    <row r="567" spans="1:6" ht="13.9" x14ac:dyDescent="0.4">
      <c r="A567" s="20" t="s">
        <v>46</v>
      </c>
      <c r="B567" s="20" t="s">
        <v>209</v>
      </c>
      <c r="C567" s="20" t="s">
        <v>210</v>
      </c>
      <c r="D567" s="20" t="s">
        <v>102</v>
      </c>
      <c r="E567" s="20" t="s">
        <v>34</v>
      </c>
      <c r="F567" s="28">
        <f>'Final Output'!K23</f>
        <v>4.1773779563880883E-2</v>
      </c>
    </row>
    <row r="568" spans="1:6" ht="13.9" x14ac:dyDescent="0.4">
      <c r="A568" s="20" t="s">
        <v>46</v>
      </c>
      <c r="B568" s="20" t="s">
        <v>211</v>
      </c>
      <c r="C568" s="20" t="s">
        <v>212</v>
      </c>
      <c r="D568" s="20" t="s">
        <v>102</v>
      </c>
      <c r="E568" s="20" t="s">
        <v>34</v>
      </c>
      <c r="F568" s="28">
        <f>'Final Output'!K24</f>
        <v>4.8434415772688172E-2</v>
      </c>
    </row>
    <row r="569" spans="1:6" ht="13.9" x14ac:dyDescent="0.4">
      <c r="A569" s="20" t="s">
        <v>46</v>
      </c>
      <c r="B569" s="20" t="s">
        <v>213</v>
      </c>
      <c r="C569" s="20" t="s">
        <v>214</v>
      </c>
      <c r="D569" s="20" t="s">
        <v>102</v>
      </c>
      <c r="E569" s="20" t="s">
        <v>34</v>
      </c>
      <c r="F569" s="28">
        <f>'Final Output'!K25</f>
        <v>6.5703864011792859E-2</v>
      </c>
    </row>
    <row r="570" spans="1:6" ht="13.9" x14ac:dyDescent="0.4">
      <c r="A570" s="20" t="s">
        <v>46</v>
      </c>
      <c r="B570" s="20" t="s">
        <v>215</v>
      </c>
      <c r="C570" s="20" t="s">
        <v>216</v>
      </c>
      <c r="D570" s="20" t="s">
        <v>102</v>
      </c>
      <c r="E570" s="20" t="s">
        <v>34</v>
      </c>
      <c r="F570" s="28" t="str">
        <f ca="1">CONCATENATE("[…]", TEXT(NOW(),"dd/mm/yyy hh:mm:ss"))</f>
        <v>[…]12/12/2024 16:42:19</v>
      </c>
    </row>
    <row r="571" spans="1:6" ht="13.9" x14ac:dyDescent="0.4">
      <c r="A571" s="20" t="s">
        <v>46</v>
      </c>
      <c r="B571" s="20" t="s">
        <v>217</v>
      </c>
      <c r="C571" s="20" t="s">
        <v>218</v>
      </c>
      <c r="D571" s="20" t="s">
        <v>102</v>
      </c>
      <c r="E571" s="20" t="s">
        <v>34</v>
      </c>
      <c r="F571" s="28" t="str">
        <f ca="1">MID(CELL("filename"),SEARCH("[",CELL("filename"))+1,SEARCH("]",CELL("filename"))-SEARCH("[",CELL("filename"))-1)</f>
        <v>PR24 FD OC13 ODI risk - Feeder Model (Per Capita Consumption and Business Demand).xlsx</v>
      </c>
    </row>
    <row r="572" spans="1:6" ht="13.9" x14ac:dyDescent="0.4">
      <c r="A572" s="20" t="s">
        <v>46</v>
      </c>
      <c r="B572" s="20" t="s">
        <v>219</v>
      </c>
      <c r="C572" s="20" t="s">
        <v>220</v>
      </c>
      <c r="D572" s="20" t="s">
        <v>102</v>
      </c>
      <c r="E572" s="20" t="s">
        <v>34</v>
      </c>
      <c r="F572" s="28" t="str">
        <f>F_Inputs!$E$1</f>
        <v>Run on 06 Dec 2024 15:13</v>
      </c>
    </row>
    <row r="573" spans="1:6" ht="13.9" x14ac:dyDescent="0.4">
      <c r="A573" s="20" t="s">
        <v>46</v>
      </c>
      <c r="B573" s="20" t="s">
        <v>221</v>
      </c>
      <c r="C573" s="20" t="s">
        <v>222</v>
      </c>
      <c r="D573" s="20" t="s">
        <v>102</v>
      </c>
      <c r="E573" s="20" t="s">
        <v>34</v>
      </c>
      <c r="F573" s="28" t="s">
        <v>223</v>
      </c>
    </row>
    <row r="574" spans="1:6" ht="13.9" x14ac:dyDescent="0.4">
      <c r="A574" s="20" t="s">
        <v>54</v>
      </c>
      <c r="B574" s="20" t="s">
        <v>147</v>
      </c>
      <c r="C574" s="20" t="s">
        <v>148</v>
      </c>
      <c r="D574" s="20" t="s">
        <v>102</v>
      </c>
      <c r="E574" s="20" t="s">
        <v>34</v>
      </c>
      <c r="F574" s="28">
        <f>'Final Output'!K27</f>
        <v>-9.679681148616838E-2</v>
      </c>
    </row>
    <row r="575" spans="1:6" ht="13.9" x14ac:dyDescent="0.4">
      <c r="A575" s="20" t="s">
        <v>54</v>
      </c>
      <c r="B575" s="20" t="s">
        <v>149</v>
      </c>
      <c r="C575" s="20" t="s">
        <v>150</v>
      </c>
      <c r="D575" s="20" t="s">
        <v>102</v>
      </c>
      <c r="E575" s="20" t="s">
        <v>34</v>
      </c>
      <c r="F575" s="28">
        <f>'Final Output'!K28</f>
        <v>-8.1541326383880952E-2</v>
      </c>
    </row>
    <row r="576" spans="1:6" ht="13.9" x14ac:dyDescent="0.4">
      <c r="A576" s="20" t="s">
        <v>54</v>
      </c>
      <c r="B576" s="20" t="s">
        <v>151</v>
      </c>
      <c r="C576" s="20" t="s">
        <v>152</v>
      </c>
      <c r="D576" s="20" t="s">
        <v>102</v>
      </c>
      <c r="E576" s="20" t="s">
        <v>34</v>
      </c>
      <c r="F576" s="28">
        <f>'Final Output'!K29</f>
        <v>-7.2635013104052293E-2</v>
      </c>
    </row>
    <row r="577" spans="1:6" ht="13.9" x14ac:dyDescent="0.4">
      <c r="A577" s="20" t="s">
        <v>54</v>
      </c>
      <c r="B577" s="20" t="s">
        <v>153</v>
      </c>
      <c r="C577" s="20" t="s">
        <v>154</v>
      </c>
      <c r="D577" s="20" t="s">
        <v>102</v>
      </c>
      <c r="E577" s="20" t="s">
        <v>34</v>
      </c>
      <c r="F577" s="28">
        <f>'Final Output'!K30</f>
        <v>-5.9656505650614054E-2</v>
      </c>
    </row>
    <row r="578" spans="1:6" ht="13.9" x14ac:dyDescent="0.4">
      <c r="A578" s="20" t="s">
        <v>54</v>
      </c>
      <c r="B578" s="20" t="s">
        <v>155</v>
      </c>
      <c r="C578" s="20" t="s">
        <v>156</v>
      </c>
      <c r="D578" s="20" t="s">
        <v>102</v>
      </c>
      <c r="E578" s="20" t="s">
        <v>34</v>
      </c>
      <c r="F578" s="28">
        <f>'Final Output'!K31</f>
        <v>-5.3265439894555767E-2</v>
      </c>
    </row>
    <row r="579" spans="1:6" ht="13.9" x14ac:dyDescent="0.4">
      <c r="A579" s="20" t="s">
        <v>54</v>
      </c>
      <c r="B579" s="20" t="s">
        <v>157</v>
      </c>
      <c r="C579" s="20" t="s">
        <v>158</v>
      </c>
      <c r="D579" s="20" t="s">
        <v>102</v>
      </c>
      <c r="E579" s="20" t="s">
        <v>34</v>
      </c>
      <c r="F579" s="28">
        <f>'Final Output'!K32</f>
        <v>-3.9710933617870217E-2</v>
      </c>
    </row>
    <row r="580" spans="1:6" ht="13.9" x14ac:dyDescent="0.4">
      <c r="A580" s="20" t="s">
        <v>54</v>
      </c>
      <c r="B580" s="20" t="s">
        <v>159</v>
      </c>
      <c r="C580" s="20" t="s">
        <v>160</v>
      </c>
      <c r="D580" s="20" t="s">
        <v>102</v>
      </c>
      <c r="E580" s="20" t="s">
        <v>34</v>
      </c>
      <c r="F580" s="28">
        <f>'Final Output'!K33</f>
        <v>-2.6502070624940276E-2</v>
      </c>
    </row>
    <row r="581" spans="1:6" ht="13.9" x14ac:dyDescent="0.4">
      <c r="A581" s="20" t="s">
        <v>54</v>
      </c>
      <c r="B581" s="20" t="s">
        <v>161</v>
      </c>
      <c r="C581" s="20" t="s">
        <v>162</v>
      </c>
      <c r="D581" s="20" t="s">
        <v>102</v>
      </c>
      <c r="E581" s="20" t="s">
        <v>34</v>
      </c>
      <c r="F581" s="28">
        <f>'Final Output'!K34</f>
        <v>-1.2207272797456018E-2</v>
      </c>
    </row>
    <row r="582" spans="1:6" ht="13.9" x14ac:dyDescent="0.4">
      <c r="A582" s="20" t="s">
        <v>54</v>
      </c>
      <c r="B582" s="20" t="s">
        <v>163</v>
      </c>
      <c r="C582" s="20" t="s">
        <v>164</v>
      </c>
      <c r="D582" s="20" t="s">
        <v>102</v>
      </c>
      <c r="E582" s="20" t="s">
        <v>34</v>
      </c>
      <c r="F582" s="28">
        <f>'Final Output'!K35</f>
        <v>0</v>
      </c>
    </row>
    <row r="583" spans="1:6" ht="13.9" x14ac:dyDescent="0.4">
      <c r="A583" s="20" t="s">
        <v>54</v>
      </c>
      <c r="B583" s="20" t="s">
        <v>165</v>
      </c>
      <c r="C583" s="20" t="s">
        <v>166</v>
      </c>
      <c r="D583" s="20" t="s">
        <v>102</v>
      </c>
      <c r="E583" s="20" t="s">
        <v>34</v>
      </c>
      <c r="F583" s="28">
        <f>'Final Output'!K36</f>
        <v>1.2207272797456018E-2</v>
      </c>
    </row>
    <row r="584" spans="1:6" ht="13.9" x14ac:dyDescent="0.4">
      <c r="A584" s="20" t="s">
        <v>54</v>
      </c>
      <c r="B584" s="20" t="s">
        <v>167</v>
      </c>
      <c r="C584" s="20" t="s">
        <v>168</v>
      </c>
      <c r="D584" s="20" t="s">
        <v>102</v>
      </c>
      <c r="E584" s="20" t="s">
        <v>34</v>
      </c>
      <c r="F584" s="28">
        <f>'Final Output'!K37</f>
        <v>2.6502070624940276E-2</v>
      </c>
    </row>
    <row r="585" spans="1:6" ht="13.9" x14ac:dyDescent="0.4">
      <c r="A585" s="20" t="s">
        <v>54</v>
      </c>
      <c r="B585" s="20" t="s">
        <v>169</v>
      </c>
      <c r="C585" s="20" t="s">
        <v>170</v>
      </c>
      <c r="D585" s="20" t="s">
        <v>102</v>
      </c>
      <c r="E585" s="20" t="s">
        <v>34</v>
      </c>
      <c r="F585" s="28">
        <f>'Final Output'!K38</f>
        <v>3.9710933617870217E-2</v>
      </c>
    </row>
    <row r="586" spans="1:6" ht="13.9" x14ac:dyDescent="0.4">
      <c r="A586" s="20" t="s">
        <v>54</v>
      </c>
      <c r="B586" s="20" t="s">
        <v>171</v>
      </c>
      <c r="C586" s="20" t="s">
        <v>172</v>
      </c>
      <c r="D586" s="20" t="s">
        <v>102</v>
      </c>
      <c r="E586" s="20" t="s">
        <v>34</v>
      </c>
      <c r="F586" s="28">
        <f>'Final Output'!K39</f>
        <v>5.3265439894555767E-2</v>
      </c>
    </row>
    <row r="587" spans="1:6" ht="13.9" x14ac:dyDescent="0.4">
      <c r="A587" s="20" t="s">
        <v>54</v>
      </c>
      <c r="B587" s="20" t="s">
        <v>173</v>
      </c>
      <c r="C587" s="20" t="s">
        <v>174</v>
      </c>
      <c r="D587" s="20" t="s">
        <v>102</v>
      </c>
      <c r="E587" s="20" t="s">
        <v>34</v>
      </c>
      <c r="F587" s="28">
        <f>'Final Output'!K40</f>
        <v>5.9656505650614054E-2</v>
      </c>
    </row>
    <row r="588" spans="1:6" ht="13.9" x14ac:dyDescent="0.4">
      <c r="A588" s="20" t="s">
        <v>54</v>
      </c>
      <c r="B588" s="20" t="s">
        <v>175</v>
      </c>
      <c r="C588" s="20" t="s">
        <v>176</v>
      </c>
      <c r="D588" s="20" t="s">
        <v>102</v>
      </c>
      <c r="E588" s="20" t="s">
        <v>34</v>
      </c>
      <c r="F588" s="28">
        <f>'Final Output'!K41</f>
        <v>7.2635013104052293E-2</v>
      </c>
    </row>
    <row r="589" spans="1:6" ht="13.9" x14ac:dyDescent="0.4">
      <c r="A589" s="20" t="s">
        <v>54</v>
      </c>
      <c r="B589" s="20" t="s">
        <v>177</v>
      </c>
      <c r="C589" s="20" t="s">
        <v>178</v>
      </c>
      <c r="D589" s="20" t="s">
        <v>102</v>
      </c>
      <c r="E589" s="20" t="s">
        <v>34</v>
      </c>
      <c r="F589" s="28">
        <f>'Final Output'!K42</f>
        <v>8.1541326383880952E-2</v>
      </c>
    </row>
    <row r="590" spans="1:6" ht="13.9" x14ac:dyDescent="0.4">
      <c r="A590" s="20" t="s">
        <v>54</v>
      </c>
      <c r="B590" s="20" t="s">
        <v>179</v>
      </c>
      <c r="C590" s="20" t="s">
        <v>180</v>
      </c>
      <c r="D590" s="20" t="s">
        <v>102</v>
      </c>
      <c r="E590" s="20" t="s">
        <v>34</v>
      </c>
      <c r="F590" s="28">
        <f>'Final Output'!K43</f>
        <v>9.679681148616838E-2</v>
      </c>
    </row>
    <row r="591" spans="1:6" ht="13.9" x14ac:dyDescent="0.4">
      <c r="A591" s="20" t="s">
        <v>54</v>
      </c>
      <c r="B591" s="20" t="s">
        <v>181</v>
      </c>
      <c r="C591" s="20" t="s">
        <v>182</v>
      </c>
      <c r="D591" s="20" t="s">
        <v>102</v>
      </c>
      <c r="E591" s="20" t="s">
        <v>34</v>
      </c>
      <c r="F591" s="28">
        <f>'Final Output'!K9</f>
        <v>-6.5703864011792859E-2</v>
      </c>
    </row>
    <row r="592" spans="1:6" ht="13.9" x14ac:dyDescent="0.4">
      <c r="A592" s="20" t="s">
        <v>54</v>
      </c>
      <c r="B592" s="20" t="s">
        <v>183</v>
      </c>
      <c r="C592" s="20" t="s">
        <v>184</v>
      </c>
      <c r="D592" s="20" t="s">
        <v>102</v>
      </c>
      <c r="E592" s="20" t="s">
        <v>34</v>
      </c>
      <c r="F592" s="28">
        <f>'Final Output'!K10</f>
        <v>-4.8434415772688172E-2</v>
      </c>
    </row>
    <row r="593" spans="1:6" ht="13.9" x14ac:dyDescent="0.4">
      <c r="A593" s="20" t="s">
        <v>54</v>
      </c>
      <c r="B593" s="20" t="s">
        <v>185</v>
      </c>
      <c r="C593" s="20" t="s">
        <v>186</v>
      </c>
      <c r="D593" s="20" t="s">
        <v>102</v>
      </c>
      <c r="E593" s="20" t="s">
        <v>34</v>
      </c>
      <c r="F593" s="28">
        <f>'Final Output'!K11</f>
        <v>-4.1773779563880883E-2</v>
      </c>
    </row>
    <row r="594" spans="1:6" ht="13.9" x14ac:dyDescent="0.4">
      <c r="A594" s="20" t="s">
        <v>54</v>
      </c>
      <c r="B594" s="20" t="s">
        <v>187</v>
      </c>
      <c r="C594" s="20" t="s">
        <v>188</v>
      </c>
      <c r="D594" s="20" t="s">
        <v>102</v>
      </c>
      <c r="E594" s="20" t="s">
        <v>34</v>
      </c>
      <c r="F594" s="28">
        <f>'Final Output'!K12</f>
        <v>-3.7912815833552369E-2</v>
      </c>
    </row>
    <row r="595" spans="1:6" ht="13.9" x14ac:dyDescent="0.4">
      <c r="A595" s="20" t="s">
        <v>54</v>
      </c>
      <c r="B595" s="20" t="s">
        <v>189</v>
      </c>
      <c r="C595" s="20" t="s">
        <v>190</v>
      </c>
      <c r="D595" s="20" t="s">
        <v>102</v>
      </c>
      <c r="E595" s="20" t="s">
        <v>34</v>
      </c>
      <c r="F595" s="28">
        <f>'Final Output'!K13</f>
        <v>-3.5623914367531956E-2</v>
      </c>
    </row>
    <row r="596" spans="1:6" ht="13.9" x14ac:dyDescent="0.4">
      <c r="A596" s="20" t="s">
        <v>54</v>
      </c>
      <c r="B596" s="20" t="s">
        <v>191</v>
      </c>
      <c r="C596" s="20" t="s">
        <v>192</v>
      </c>
      <c r="D596" s="20" t="s">
        <v>102</v>
      </c>
      <c r="E596" s="20" t="s">
        <v>34</v>
      </c>
      <c r="F596" s="28">
        <f>'Final Output'!K14</f>
        <v>-2.8419468525651321E-2</v>
      </c>
    </row>
    <row r="597" spans="1:6" ht="13.9" x14ac:dyDescent="0.4">
      <c r="A597" s="20" t="s">
        <v>54</v>
      </c>
      <c r="B597" s="20" t="s">
        <v>193</v>
      </c>
      <c r="C597" s="20" t="s">
        <v>194</v>
      </c>
      <c r="D597" s="20" t="s">
        <v>102</v>
      </c>
      <c r="E597" s="20" t="s">
        <v>34</v>
      </c>
      <c r="F597" s="28">
        <f>'Final Output'!K15</f>
        <v>-1.5286447542521703E-2</v>
      </c>
    </row>
    <row r="598" spans="1:6" ht="13.9" x14ac:dyDescent="0.4">
      <c r="A598" s="20" t="s">
        <v>54</v>
      </c>
      <c r="B598" s="20" t="s">
        <v>195</v>
      </c>
      <c r="C598" s="20" t="s">
        <v>196</v>
      </c>
      <c r="D598" s="20" t="s">
        <v>102</v>
      </c>
      <c r="E598" s="20" t="s">
        <v>34</v>
      </c>
      <c r="F598" s="28">
        <f>'Final Output'!K16</f>
        <v>-6.6832871879386607E-3</v>
      </c>
    </row>
    <row r="599" spans="1:6" ht="13.9" x14ac:dyDescent="0.4">
      <c r="A599" s="20" t="s">
        <v>54</v>
      </c>
      <c r="B599" s="20" t="s">
        <v>197</v>
      </c>
      <c r="C599" s="20" t="s">
        <v>198</v>
      </c>
      <c r="D599" s="20" t="s">
        <v>102</v>
      </c>
      <c r="E599" s="20" t="s">
        <v>34</v>
      </c>
      <c r="F599" s="28">
        <f>'Final Output'!K17</f>
        <v>0</v>
      </c>
    </row>
    <row r="600" spans="1:6" ht="13.9" x14ac:dyDescent="0.4">
      <c r="A600" s="20" t="s">
        <v>54</v>
      </c>
      <c r="B600" s="20" t="s">
        <v>199</v>
      </c>
      <c r="C600" s="20" t="s">
        <v>200</v>
      </c>
      <c r="D600" s="20" t="s">
        <v>102</v>
      </c>
      <c r="E600" s="20" t="s">
        <v>34</v>
      </c>
      <c r="F600" s="28">
        <f>'Final Output'!K18</f>
        <v>6.6832871879386607E-3</v>
      </c>
    </row>
    <row r="601" spans="1:6" ht="13.9" x14ac:dyDescent="0.4">
      <c r="A601" s="20" t="s">
        <v>54</v>
      </c>
      <c r="B601" s="20" t="s">
        <v>201</v>
      </c>
      <c r="C601" s="20" t="s">
        <v>202</v>
      </c>
      <c r="D601" s="20" t="s">
        <v>102</v>
      </c>
      <c r="E601" s="20" t="s">
        <v>34</v>
      </c>
      <c r="F601" s="28">
        <f>'Final Output'!K19</f>
        <v>1.5286447542521703E-2</v>
      </c>
    </row>
    <row r="602" spans="1:6" ht="13.9" x14ac:dyDescent="0.4">
      <c r="A602" s="20" t="s">
        <v>54</v>
      </c>
      <c r="B602" s="20" t="s">
        <v>203</v>
      </c>
      <c r="C602" s="20" t="s">
        <v>204</v>
      </c>
      <c r="D602" s="20" t="s">
        <v>102</v>
      </c>
      <c r="E602" s="20" t="s">
        <v>34</v>
      </c>
      <c r="F602" s="28">
        <f>'Final Output'!K20</f>
        <v>2.8419468525651321E-2</v>
      </c>
    </row>
    <row r="603" spans="1:6" ht="13.9" x14ac:dyDescent="0.4">
      <c r="A603" s="20" t="s">
        <v>54</v>
      </c>
      <c r="B603" s="20" t="s">
        <v>205</v>
      </c>
      <c r="C603" s="20" t="s">
        <v>206</v>
      </c>
      <c r="D603" s="20" t="s">
        <v>102</v>
      </c>
      <c r="E603" s="20" t="s">
        <v>34</v>
      </c>
      <c r="F603" s="28">
        <f>'Final Output'!K21</f>
        <v>3.5623914367531956E-2</v>
      </c>
    </row>
    <row r="604" spans="1:6" ht="13.9" x14ac:dyDescent="0.4">
      <c r="A604" s="20" t="s">
        <v>54</v>
      </c>
      <c r="B604" s="20" t="s">
        <v>207</v>
      </c>
      <c r="C604" s="20" t="s">
        <v>208</v>
      </c>
      <c r="D604" s="20" t="s">
        <v>102</v>
      </c>
      <c r="E604" s="20" t="s">
        <v>34</v>
      </c>
      <c r="F604" s="28">
        <f>'Final Output'!K22</f>
        <v>3.7912815833552369E-2</v>
      </c>
    </row>
    <row r="605" spans="1:6" ht="13.9" x14ac:dyDescent="0.4">
      <c r="A605" s="20" t="s">
        <v>54</v>
      </c>
      <c r="B605" s="20" t="s">
        <v>209</v>
      </c>
      <c r="C605" s="20" t="s">
        <v>210</v>
      </c>
      <c r="D605" s="20" t="s">
        <v>102</v>
      </c>
      <c r="E605" s="20" t="s">
        <v>34</v>
      </c>
      <c r="F605" s="28">
        <f>'Final Output'!K23</f>
        <v>4.1773779563880883E-2</v>
      </c>
    </row>
    <row r="606" spans="1:6" ht="13.9" x14ac:dyDescent="0.4">
      <c r="A606" s="20" t="s">
        <v>54</v>
      </c>
      <c r="B606" s="20" t="s">
        <v>211</v>
      </c>
      <c r="C606" s="20" t="s">
        <v>212</v>
      </c>
      <c r="D606" s="20" t="s">
        <v>102</v>
      </c>
      <c r="E606" s="20" t="s">
        <v>34</v>
      </c>
      <c r="F606" s="28">
        <f>'Final Output'!K24</f>
        <v>4.8434415772688172E-2</v>
      </c>
    </row>
    <row r="607" spans="1:6" ht="13.9" x14ac:dyDescent="0.4">
      <c r="A607" s="20" t="s">
        <v>54</v>
      </c>
      <c r="B607" s="20" t="s">
        <v>213</v>
      </c>
      <c r="C607" s="20" t="s">
        <v>214</v>
      </c>
      <c r="D607" s="20" t="s">
        <v>102</v>
      </c>
      <c r="E607" s="20" t="s">
        <v>34</v>
      </c>
      <c r="F607" s="28">
        <f>'Final Output'!K25</f>
        <v>6.5703864011792859E-2</v>
      </c>
    </row>
    <row r="608" spans="1:6" ht="13.9" x14ac:dyDescent="0.4">
      <c r="A608" s="20" t="s">
        <v>54</v>
      </c>
      <c r="B608" s="20" t="s">
        <v>215</v>
      </c>
      <c r="C608" s="20" t="s">
        <v>216</v>
      </c>
      <c r="D608" s="20" t="s">
        <v>102</v>
      </c>
      <c r="E608" s="20" t="s">
        <v>34</v>
      </c>
      <c r="F608" s="28" t="str">
        <f ca="1">CONCATENATE("[…]", TEXT(NOW(),"dd/mm/yyy hh:mm:ss"))</f>
        <v>[…]12/12/2024 16:42:19</v>
      </c>
    </row>
    <row r="609" spans="1:6" ht="13.9" x14ac:dyDescent="0.4">
      <c r="A609" s="20" t="s">
        <v>54</v>
      </c>
      <c r="B609" s="20" t="s">
        <v>217</v>
      </c>
      <c r="C609" s="20" t="s">
        <v>218</v>
      </c>
      <c r="D609" s="20" t="s">
        <v>102</v>
      </c>
      <c r="E609" s="20" t="s">
        <v>34</v>
      </c>
      <c r="F609" s="28" t="str">
        <f ca="1">MID(CELL("filename"),SEARCH("[",CELL("filename"))+1,SEARCH("]",CELL("filename"))-SEARCH("[",CELL("filename"))-1)</f>
        <v>PR24 FD OC13 ODI risk - Feeder Model (Per Capita Consumption and Business Demand).xlsx</v>
      </c>
    </row>
    <row r="610" spans="1:6" ht="13.9" x14ac:dyDescent="0.4">
      <c r="A610" s="20" t="s">
        <v>54</v>
      </c>
      <c r="B610" s="20" t="s">
        <v>219</v>
      </c>
      <c r="C610" s="20" t="s">
        <v>220</v>
      </c>
      <c r="D610" s="20" t="s">
        <v>102</v>
      </c>
      <c r="E610" s="20" t="s">
        <v>34</v>
      </c>
      <c r="F610" s="28" t="str">
        <f>F_Inputs!$E$1</f>
        <v>Run on 06 Dec 2024 15:13</v>
      </c>
    </row>
    <row r="611" spans="1:6" ht="13.9" x14ac:dyDescent="0.4">
      <c r="A611" s="20" t="s">
        <v>54</v>
      </c>
      <c r="B611" s="20" t="s">
        <v>221</v>
      </c>
      <c r="C611" s="20" t="s">
        <v>222</v>
      </c>
      <c r="D611" s="20" t="s">
        <v>102</v>
      </c>
      <c r="E611" s="20" t="s">
        <v>34</v>
      </c>
      <c r="F611" s="28" t="s">
        <v>223</v>
      </c>
    </row>
    <row r="612" spans="1:6" ht="13.9" x14ac:dyDescent="0.4">
      <c r="A612" s="20" t="s">
        <v>55</v>
      </c>
      <c r="B612" s="20" t="s">
        <v>147</v>
      </c>
      <c r="C612" s="20" t="s">
        <v>148</v>
      </c>
      <c r="D612" s="20" t="s">
        <v>102</v>
      </c>
      <c r="E612" s="20" t="s">
        <v>34</v>
      </c>
      <c r="F612" s="28">
        <f>'Final Output'!K27</f>
        <v>-9.679681148616838E-2</v>
      </c>
    </row>
    <row r="613" spans="1:6" ht="13.9" x14ac:dyDescent="0.4">
      <c r="A613" s="20" t="s">
        <v>55</v>
      </c>
      <c r="B613" s="20" t="s">
        <v>149</v>
      </c>
      <c r="C613" s="20" t="s">
        <v>150</v>
      </c>
      <c r="D613" s="20" t="s">
        <v>102</v>
      </c>
      <c r="E613" s="20" t="s">
        <v>34</v>
      </c>
      <c r="F613" s="28">
        <f>'Final Output'!K28</f>
        <v>-8.1541326383880952E-2</v>
      </c>
    </row>
    <row r="614" spans="1:6" ht="13.9" x14ac:dyDescent="0.4">
      <c r="A614" s="20" t="s">
        <v>55</v>
      </c>
      <c r="B614" s="20" t="s">
        <v>151</v>
      </c>
      <c r="C614" s="20" t="s">
        <v>152</v>
      </c>
      <c r="D614" s="20" t="s">
        <v>102</v>
      </c>
      <c r="E614" s="20" t="s">
        <v>34</v>
      </c>
      <c r="F614" s="28">
        <f>'Final Output'!K29</f>
        <v>-7.2635013104052293E-2</v>
      </c>
    </row>
    <row r="615" spans="1:6" ht="13.9" x14ac:dyDescent="0.4">
      <c r="A615" s="20" t="s">
        <v>55</v>
      </c>
      <c r="B615" s="20" t="s">
        <v>153</v>
      </c>
      <c r="C615" s="20" t="s">
        <v>154</v>
      </c>
      <c r="D615" s="20" t="s">
        <v>102</v>
      </c>
      <c r="E615" s="20" t="s">
        <v>34</v>
      </c>
      <c r="F615" s="28">
        <f>'Final Output'!K30</f>
        <v>-5.9656505650614054E-2</v>
      </c>
    </row>
    <row r="616" spans="1:6" ht="13.9" x14ac:dyDescent="0.4">
      <c r="A616" s="20" t="s">
        <v>55</v>
      </c>
      <c r="B616" s="20" t="s">
        <v>155</v>
      </c>
      <c r="C616" s="20" t="s">
        <v>156</v>
      </c>
      <c r="D616" s="20" t="s">
        <v>102</v>
      </c>
      <c r="E616" s="20" t="s">
        <v>34</v>
      </c>
      <c r="F616" s="28">
        <f>'Final Output'!K31</f>
        <v>-5.3265439894555767E-2</v>
      </c>
    </row>
    <row r="617" spans="1:6" ht="13.9" x14ac:dyDescent="0.4">
      <c r="A617" s="20" t="s">
        <v>55</v>
      </c>
      <c r="B617" s="20" t="s">
        <v>157</v>
      </c>
      <c r="C617" s="20" t="s">
        <v>158</v>
      </c>
      <c r="D617" s="20" t="s">
        <v>102</v>
      </c>
      <c r="E617" s="20" t="s">
        <v>34</v>
      </c>
      <c r="F617" s="28">
        <f>'Final Output'!K32</f>
        <v>-3.9710933617870217E-2</v>
      </c>
    </row>
    <row r="618" spans="1:6" ht="13.9" x14ac:dyDescent="0.4">
      <c r="A618" s="20" t="s">
        <v>55</v>
      </c>
      <c r="B618" s="20" t="s">
        <v>159</v>
      </c>
      <c r="C618" s="20" t="s">
        <v>160</v>
      </c>
      <c r="D618" s="20" t="s">
        <v>102</v>
      </c>
      <c r="E618" s="20" t="s">
        <v>34</v>
      </c>
      <c r="F618" s="28">
        <f>'Final Output'!K33</f>
        <v>-2.6502070624940276E-2</v>
      </c>
    </row>
    <row r="619" spans="1:6" ht="13.9" x14ac:dyDescent="0.4">
      <c r="A619" s="20" t="s">
        <v>55</v>
      </c>
      <c r="B619" s="20" t="s">
        <v>161</v>
      </c>
      <c r="C619" s="20" t="s">
        <v>162</v>
      </c>
      <c r="D619" s="20" t="s">
        <v>102</v>
      </c>
      <c r="E619" s="20" t="s">
        <v>34</v>
      </c>
      <c r="F619" s="28">
        <f>'Final Output'!K34</f>
        <v>-1.2207272797456018E-2</v>
      </c>
    </row>
    <row r="620" spans="1:6" ht="13.9" x14ac:dyDescent="0.4">
      <c r="A620" s="20" t="s">
        <v>55</v>
      </c>
      <c r="B620" s="20" t="s">
        <v>163</v>
      </c>
      <c r="C620" s="20" t="s">
        <v>164</v>
      </c>
      <c r="D620" s="20" t="s">
        <v>102</v>
      </c>
      <c r="E620" s="20" t="s">
        <v>34</v>
      </c>
      <c r="F620" s="28">
        <f>'Final Output'!K35</f>
        <v>0</v>
      </c>
    </row>
    <row r="621" spans="1:6" ht="13.9" x14ac:dyDescent="0.4">
      <c r="A621" s="20" t="s">
        <v>55</v>
      </c>
      <c r="B621" s="20" t="s">
        <v>165</v>
      </c>
      <c r="C621" s="20" t="s">
        <v>166</v>
      </c>
      <c r="D621" s="20" t="s">
        <v>102</v>
      </c>
      <c r="E621" s="20" t="s">
        <v>34</v>
      </c>
      <c r="F621" s="28">
        <f>'Final Output'!K36</f>
        <v>1.2207272797456018E-2</v>
      </c>
    </row>
    <row r="622" spans="1:6" ht="13.9" x14ac:dyDescent="0.4">
      <c r="A622" s="20" t="s">
        <v>55</v>
      </c>
      <c r="B622" s="20" t="s">
        <v>167</v>
      </c>
      <c r="C622" s="20" t="s">
        <v>168</v>
      </c>
      <c r="D622" s="20" t="s">
        <v>102</v>
      </c>
      <c r="E622" s="20" t="s">
        <v>34</v>
      </c>
      <c r="F622" s="28">
        <f>'Final Output'!K37</f>
        <v>2.6502070624940276E-2</v>
      </c>
    </row>
    <row r="623" spans="1:6" ht="13.9" x14ac:dyDescent="0.4">
      <c r="A623" s="20" t="s">
        <v>55</v>
      </c>
      <c r="B623" s="20" t="s">
        <v>169</v>
      </c>
      <c r="C623" s="20" t="s">
        <v>170</v>
      </c>
      <c r="D623" s="20" t="s">
        <v>102</v>
      </c>
      <c r="E623" s="20" t="s">
        <v>34</v>
      </c>
      <c r="F623" s="28">
        <f>'Final Output'!K38</f>
        <v>3.9710933617870217E-2</v>
      </c>
    </row>
    <row r="624" spans="1:6" ht="13.9" x14ac:dyDescent="0.4">
      <c r="A624" s="20" t="s">
        <v>55</v>
      </c>
      <c r="B624" s="20" t="s">
        <v>171</v>
      </c>
      <c r="C624" s="20" t="s">
        <v>172</v>
      </c>
      <c r="D624" s="20" t="s">
        <v>102</v>
      </c>
      <c r="E624" s="20" t="s">
        <v>34</v>
      </c>
      <c r="F624" s="28">
        <f>'Final Output'!K39</f>
        <v>5.3265439894555767E-2</v>
      </c>
    </row>
    <row r="625" spans="1:6" ht="13.9" x14ac:dyDescent="0.4">
      <c r="A625" s="20" t="s">
        <v>55</v>
      </c>
      <c r="B625" s="20" t="s">
        <v>173</v>
      </c>
      <c r="C625" s="20" t="s">
        <v>174</v>
      </c>
      <c r="D625" s="20" t="s">
        <v>102</v>
      </c>
      <c r="E625" s="20" t="s">
        <v>34</v>
      </c>
      <c r="F625" s="28">
        <f>'Final Output'!K40</f>
        <v>5.9656505650614054E-2</v>
      </c>
    </row>
    <row r="626" spans="1:6" ht="13.9" x14ac:dyDescent="0.4">
      <c r="A626" s="20" t="s">
        <v>55</v>
      </c>
      <c r="B626" s="20" t="s">
        <v>175</v>
      </c>
      <c r="C626" s="20" t="s">
        <v>176</v>
      </c>
      <c r="D626" s="20" t="s">
        <v>102</v>
      </c>
      <c r="E626" s="20" t="s">
        <v>34</v>
      </c>
      <c r="F626" s="28">
        <f>'Final Output'!K41</f>
        <v>7.2635013104052293E-2</v>
      </c>
    </row>
    <row r="627" spans="1:6" ht="13.9" x14ac:dyDescent="0.4">
      <c r="A627" s="20" t="s">
        <v>55</v>
      </c>
      <c r="B627" s="20" t="s">
        <v>177</v>
      </c>
      <c r="C627" s="20" t="s">
        <v>178</v>
      </c>
      <c r="D627" s="20" t="s">
        <v>102</v>
      </c>
      <c r="E627" s="20" t="s">
        <v>34</v>
      </c>
      <c r="F627" s="28">
        <f>'Final Output'!K42</f>
        <v>8.1541326383880952E-2</v>
      </c>
    </row>
    <row r="628" spans="1:6" ht="13.9" x14ac:dyDescent="0.4">
      <c r="A628" s="20" t="s">
        <v>55</v>
      </c>
      <c r="B628" s="20" t="s">
        <v>179</v>
      </c>
      <c r="C628" s="20" t="s">
        <v>180</v>
      </c>
      <c r="D628" s="20" t="s">
        <v>102</v>
      </c>
      <c r="E628" s="20" t="s">
        <v>34</v>
      </c>
      <c r="F628" s="28">
        <f>'Final Output'!K43</f>
        <v>9.679681148616838E-2</v>
      </c>
    </row>
    <row r="629" spans="1:6" ht="13.9" x14ac:dyDescent="0.4">
      <c r="A629" s="20" t="s">
        <v>55</v>
      </c>
      <c r="B629" s="20" t="s">
        <v>181</v>
      </c>
      <c r="C629" s="20" t="s">
        <v>182</v>
      </c>
      <c r="D629" s="20" t="s">
        <v>102</v>
      </c>
      <c r="E629" s="20" t="s">
        <v>34</v>
      </c>
      <c r="F629" s="28">
        <f>'Final Output'!K9</f>
        <v>-6.5703864011792859E-2</v>
      </c>
    </row>
    <row r="630" spans="1:6" ht="13.9" x14ac:dyDescent="0.4">
      <c r="A630" s="20" t="s">
        <v>55</v>
      </c>
      <c r="B630" s="20" t="s">
        <v>183</v>
      </c>
      <c r="C630" s="20" t="s">
        <v>184</v>
      </c>
      <c r="D630" s="20" t="s">
        <v>102</v>
      </c>
      <c r="E630" s="20" t="s">
        <v>34</v>
      </c>
      <c r="F630" s="28">
        <f>'Final Output'!K10</f>
        <v>-4.8434415772688172E-2</v>
      </c>
    </row>
    <row r="631" spans="1:6" ht="13.9" x14ac:dyDescent="0.4">
      <c r="A631" s="20" t="s">
        <v>55</v>
      </c>
      <c r="B631" s="20" t="s">
        <v>185</v>
      </c>
      <c r="C631" s="20" t="s">
        <v>186</v>
      </c>
      <c r="D631" s="20" t="s">
        <v>102</v>
      </c>
      <c r="E631" s="20" t="s">
        <v>34</v>
      </c>
      <c r="F631" s="28">
        <f>'Final Output'!K11</f>
        <v>-4.1773779563880883E-2</v>
      </c>
    </row>
    <row r="632" spans="1:6" ht="13.9" x14ac:dyDescent="0.4">
      <c r="A632" s="20" t="s">
        <v>55</v>
      </c>
      <c r="B632" s="20" t="s">
        <v>187</v>
      </c>
      <c r="C632" s="20" t="s">
        <v>188</v>
      </c>
      <c r="D632" s="20" t="s">
        <v>102</v>
      </c>
      <c r="E632" s="20" t="s">
        <v>34</v>
      </c>
      <c r="F632" s="28">
        <f>'Final Output'!K12</f>
        <v>-3.7912815833552369E-2</v>
      </c>
    </row>
    <row r="633" spans="1:6" ht="13.9" x14ac:dyDescent="0.4">
      <c r="A633" s="20" t="s">
        <v>55</v>
      </c>
      <c r="B633" s="20" t="s">
        <v>189</v>
      </c>
      <c r="C633" s="20" t="s">
        <v>190</v>
      </c>
      <c r="D633" s="20" t="s">
        <v>102</v>
      </c>
      <c r="E633" s="20" t="s">
        <v>34</v>
      </c>
      <c r="F633" s="28">
        <f>'Final Output'!K13</f>
        <v>-3.5623914367531956E-2</v>
      </c>
    </row>
    <row r="634" spans="1:6" ht="13.9" x14ac:dyDescent="0.4">
      <c r="A634" s="20" t="s">
        <v>55</v>
      </c>
      <c r="B634" s="20" t="s">
        <v>191</v>
      </c>
      <c r="C634" s="20" t="s">
        <v>192</v>
      </c>
      <c r="D634" s="20" t="s">
        <v>102</v>
      </c>
      <c r="E634" s="20" t="s">
        <v>34</v>
      </c>
      <c r="F634" s="28">
        <f>'Final Output'!K14</f>
        <v>-2.8419468525651321E-2</v>
      </c>
    </row>
    <row r="635" spans="1:6" ht="13.9" x14ac:dyDescent="0.4">
      <c r="A635" s="20" t="s">
        <v>55</v>
      </c>
      <c r="B635" s="20" t="s">
        <v>193</v>
      </c>
      <c r="C635" s="20" t="s">
        <v>194</v>
      </c>
      <c r="D635" s="20" t="s">
        <v>102</v>
      </c>
      <c r="E635" s="20" t="s">
        <v>34</v>
      </c>
      <c r="F635" s="28">
        <f>'Final Output'!K15</f>
        <v>-1.5286447542521703E-2</v>
      </c>
    </row>
    <row r="636" spans="1:6" ht="13.9" x14ac:dyDescent="0.4">
      <c r="A636" s="20" t="s">
        <v>55</v>
      </c>
      <c r="B636" s="20" t="s">
        <v>195</v>
      </c>
      <c r="C636" s="20" t="s">
        <v>196</v>
      </c>
      <c r="D636" s="20" t="s">
        <v>102</v>
      </c>
      <c r="E636" s="20" t="s">
        <v>34</v>
      </c>
      <c r="F636" s="28">
        <f>'Final Output'!K16</f>
        <v>-6.6832871879386607E-3</v>
      </c>
    </row>
    <row r="637" spans="1:6" ht="13.9" x14ac:dyDescent="0.4">
      <c r="A637" s="20" t="s">
        <v>55</v>
      </c>
      <c r="B637" s="20" t="s">
        <v>197</v>
      </c>
      <c r="C637" s="20" t="s">
        <v>198</v>
      </c>
      <c r="D637" s="20" t="s">
        <v>102</v>
      </c>
      <c r="E637" s="20" t="s">
        <v>34</v>
      </c>
      <c r="F637" s="28">
        <f>'Final Output'!K17</f>
        <v>0</v>
      </c>
    </row>
    <row r="638" spans="1:6" ht="13.9" x14ac:dyDescent="0.4">
      <c r="A638" s="20" t="s">
        <v>55</v>
      </c>
      <c r="B638" s="20" t="s">
        <v>199</v>
      </c>
      <c r="C638" s="20" t="s">
        <v>200</v>
      </c>
      <c r="D638" s="20" t="s">
        <v>102</v>
      </c>
      <c r="E638" s="20" t="s">
        <v>34</v>
      </c>
      <c r="F638" s="28">
        <f>'Final Output'!K18</f>
        <v>6.6832871879386607E-3</v>
      </c>
    </row>
    <row r="639" spans="1:6" ht="13.9" x14ac:dyDescent="0.4">
      <c r="A639" s="20" t="s">
        <v>55</v>
      </c>
      <c r="B639" s="20" t="s">
        <v>201</v>
      </c>
      <c r="C639" s="20" t="s">
        <v>202</v>
      </c>
      <c r="D639" s="20" t="s">
        <v>102</v>
      </c>
      <c r="E639" s="20" t="s">
        <v>34</v>
      </c>
      <c r="F639" s="28">
        <f>'Final Output'!K19</f>
        <v>1.5286447542521703E-2</v>
      </c>
    </row>
    <row r="640" spans="1:6" ht="13.9" x14ac:dyDescent="0.4">
      <c r="A640" s="20" t="s">
        <v>55</v>
      </c>
      <c r="B640" s="20" t="s">
        <v>203</v>
      </c>
      <c r="C640" s="20" t="s">
        <v>204</v>
      </c>
      <c r="D640" s="20" t="s">
        <v>102</v>
      </c>
      <c r="E640" s="20" t="s">
        <v>34</v>
      </c>
      <c r="F640" s="28">
        <f>'Final Output'!K20</f>
        <v>2.8419468525651321E-2</v>
      </c>
    </row>
    <row r="641" spans="1:12" ht="13.9" x14ac:dyDescent="0.4">
      <c r="A641" s="20" t="s">
        <v>55</v>
      </c>
      <c r="B641" s="20" t="s">
        <v>205</v>
      </c>
      <c r="C641" s="20" t="s">
        <v>206</v>
      </c>
      <c r="D641" s="20" t="s">
        <v>102</v>
      </c>
      <c r="E641" s="20" t="s">
        <v>34</v>
      </c>
      <c r="F641" s="28">
        <f>'Final Output'!K21</f>
        <v>3.5623914367531956E-2</v>
      </c>
    </row>
    <row r="642" spans="1:12" ht="13.9" x14ac:dyDescent="0.4">
      <c r="A642" s="20" t="s">
        <v>55</v>
      </c>
      <c r="B642" s="20" t="s">
        <v>207</v>
      </c>
      <c r="C642" s="20" t="s">
        <v>208</v>
      </c>
      <c r="D642" s="20" t="s">
        <v>102</v>
      </c>
      <c r="E642" s="20" t="s">
        <v>34</v>
      </c>
      <c r="F642" s="28">
        <f>'Final Output'!K22</f>
        <v>3.7912815833552369E-2</v>
      </c>
    </row>
    <row r="643" spans="1:12" ht="13.9" x14ac:dyDescent="0.4">
      <c r="A643" s="20" t="s">
        <v>55</v>
      </c>
      <c r="B643" s="20" t="s">
        <v>209</v>
      </c>
      <c r="C643" s="20" t="s">
        <v>210</v>
      </c>
      <c r="D643" s="20" t="s">
        <v>102</v>
      </c>
      <c r="E643" s="20" t="s">
        <v>34</v>
      </c>
      <c r="F643" s="28">
        <f>'Final Output'!K23</f>
        <v>4.1773779563880883E-2</v>
      </c>
    </row>
    <row r="644" spans="1:12" ht="13.9" x14ac:dyDescent="0.4">
      <c r="A644" s="20" t="s">
        <v>55</v>
      </c>
      <c r="B644" s="20" t="s">
        <v>211</v>
      </c>
      <c r="C644" s="20" t="s">
        <v>212</v>
      </c>
      <c r="D644" s="20" t="s">
        <v>102</v>
      </c>
      <c r="E644" s="20" t="s">
        <v>34</v>
      </c>
      <c r="F644" s="28">
        <f>'Final Output'!K24</f>
        <v>4.8434415772688172E-2</v>
      </c>
    </row>
    <row r="645" spans="1:12" ht="13.9" x14ac:dyDescent="0.4">
      <c r="A645" s="20" t="s">
        <v>55</v>
      </c>
      <c r="B645" s="20" t="s">
        <v>213</v>
      </c>
      <c r="C645" s="20" t="s">
        <v>214</v>
      </c>
      <c r="D645" s="20" t="s">
        <v>102</v>
      </c>
      <c r="E645" s="20" t="s">
        <v>34</v>
      </c>
      <c r="F645" s="28">
        <f>'Final Output'!K25</f>
        <v>6.5703864011792859E-2</v>
      </c>
    </row>
    <row r="646" spans="1:12" ht="13.9" x14ac:dyDescent="0.4">
      <c r="A646" s="20" t="s">
        <v>55</v>
      </c>
      <c r="B646" s="20" t="s">
        <v>215</v>
      </c>
      <c r="C646" s="20" t="s">
        <v>216</v>
      </c>
      <c r="D646" s="20" t="s">
        <v>102</v>
      </c>
      <c r="E646" s="20" t="s">
        <v>34</v>
      </c>
      <c r="F646" s="28" t="str">
        <f ca="1">CONCATENATE("[…]", TEXT(NOW(),"dd/mm/yyy hh:mm:ss"))</f>
        <v>[…]12/12/2024 16:42:19</v>
      </c>
    </row>
    <row r="647" spans="1:12" ht="13.9" x14ac:dyDescent="0.4">
      <c r="A647" s="20" t="s">
        <v>55</v>
      </c>
      <c r="B647" s="20" t="s">
        <v>217</v>
      </c>
      <c r="C647" s="20" t="s">
        <v>218</v>
      </c>
      <c r="D647" s="20" t="s">
        <v>102</v>
      </c>
      <c r="E647" s="20" t="s">
        <v>34</v>
      </c>
      <c r="F647" s="28" t="str">
        <f ca="1">MID(CELL("filename"),SEARCH("[",CELL("filename"))+1,SEARCH("]",CELL("filename"))-SEARCH("[",CELL("filename"))-1)</f>
        <v>PR24 FD OC13 ODI risk - Feeder Model (Per Capita Consumption and Business Demand).xlsx</v>
      </c>
    </row>
    <row r="648" spans="1:12" ht="13.9" x14ac:dyDescent="0.4">
      <c r="A648" s="20" t="s">
        <v>55</v>
      </c>
      <c r="B648" s="20" t="s">
        <v>219</v>
      </c>
      <c r="C648" s="20" t="s">
        <v>220</v>
      </c>
      <c r="D648" s="20" t="s">
        <v>102</v>
      </c>
      <c r="E648" s="20" t="s">
        <v>34</v>
      </c>
      <c r="F648" s="28" t="str">
        <f>F_Inputs!$E$1</f>
        <v>Run on 06 Dec 2024 15:13</v>
      </c>
    </row>
    <row r="649" spans="1:12" ht="13.9" x14ac:dyDescent="0.4">
      <c r="A649" s="20" t="s">
        <v>55</v>
      </c>
      <c r="B649" s="20" t="s">
        <v>221</v>
      </c>
      <c r="C649" s="20" t="s">
        <v>222</v>
      </c>
      <c r="D649" s="20" t="s">
        <v>102</v>
      </c>
      <c r="E649" s="20" t="s">
        <v>34</v>
      </c>
      <c r="F649" s="28" t="s">
        <v>223</v>
      </c>
    </row>
    <row r="650" spans="1:12" x14ac:dyDescent="0.35"/>
    <row r="651" spans="1:12" s="114" customFormat="1" ht="13.9" x14ac:dyDescent="0.4">
      <c r="A651" s="100" t="s">
        <v>83</v>
      </c>
      <c r="B651" s="100"/>
      <c r="C651" s="100"/>
      <c r="D651" s="100"/>
      <c r="E651" s="100"/>
      <c r="F651" s="100"/>
      <c r="G651" s="100"/>
      <c r="H651" s="100"/>
      <c r="I651" s="100"/>
      <c r="J651" s="100"/>
      <c r="K651" s="101"/>
      <c r="L651" s="100"/>
    </row>
  </sheetData>
  <autoFilter ref="A2:F649" xr:uid="{911D4197-CC6F-40ED-A88D-F6DA9B8ED7C5}">
    <sortState xmlns:xlrd2="http://schemas.microsoft.com/office/spreadsheetml/2017/richdata2" ref="A3:F649">
      <sortCondition ref="A2:A649"/>
    </sortState>
  </autoFilter>
  <phoneticPr fontId="7"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0F36128E44943B1120CACFDAE9F7B" ma:contentTypeVersion="18" ma:contentTypeDescription="Create a new document." ma:contentTypeScope="" ma:versionID="dda5e66041eeea5ffa9dd507a65eac01">
  <xsd:schema xmlns:xsd="http://www.w3.org/2001/XMLSchema" xmlns:xs="http://www.w3.org/2001/XMLSchema" xmlns:p="http://schemas.microsoft.com/office/2006/metadata/properties" xmlns:ns2="fadac89a-56fa-4a3d-a427-8ae1dcb95347" xmlns:ns3="71c95305-930c-4d63-9794-2d644343057c" targetNamespace="http://schemas.microsoft.com/office/2006/metadata/properties" ma:root="true" ma:fieldsID="07887bece720a3db8d95f18e05c1dc4e" ns2:_="" ns3:_="">
    <xsd:import namespace="fadac89a-56fa-4a3d-a427-8ae1dcb95347"/>
    <xsd:import namespace="71c95305-930c-4d63-9794-2d64434305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ref"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dac89a-56fa-4a3d-a427-8ae1dcb95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ref" ma:index="12" nillable="true" ma:displayName="ref" ma:format="Dropdown" ma:internalName="ref">
      <xsd:simpleType>
        <xsd:restriction base="dms:Text">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0e5cfab-624c-4e44-8ff4-7cd112c8ab7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1c95305-930c-4d63-9794-2d644343057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fcfc185-b934-4070-b809-bad603feb5c3}" ma:internalName="TaxCatchAll" ma:showField="CatchAllData" ma:web="71c95305-930c-4d63-9794-2d64434305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dac89a-56fa-4a3d-a427-8ae1dcb95347">
      <Terms xmlns="http://schemas.microsoft.com/office/infopath/2007/PartnerControls"/>
    </lcf76f155ced4ddcb4097134ff3c332f>
    <ref xmlns="fadac89a-56fa-4a3d-a427-8ae1dcb95347" xsi:nil="true"/>
    <TaxCatchAll xmlns="71c95305-930c-4d63-9794-2d644343057c" xsi:nil="true"/>
  </documentManagement>
</p:properties>
</file>

<file path=customXml/itemProps1.xml><?xml version="1.0" encoding="utf-8"?>
<ds:datastoreItem xmlns:ds="http://schemas.openxmlformats.org/officeDocument/2006/customXml" ds:itemID="{365D28E9-9E88-4A68-BD08-DE42A97F6B80}"/>
</file>

<file path=customXml/itemProps2.xml><?xml version="1.0" encoding="utf-8"?>
<ds:datastoreItem xmlns:ds="http://schemas.openxmlformats.org/officeDocument/2006/customXml" ds:itemID="{072F1639-64EF-4E2C-A2CF-51F078F36117}"/>
</file>

<file path=customXml/itemProps3.xml><?xml version="1.0" encoding="utf-8"?>
<ds:datastoreItem xmlns:ds="http://schemas.openxmlformats.org/officeDocument/2006/customXml" ds:itemID="{EBE9FB5B-DDC8-43C6-8A85-29678B10ED4A}"/>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15</vt:i4>
      </vt:variant>
    </vt:vector>
  </HeadingPairs>
  <TitlesOfParts>
    <vt:vector size="15" baseType="lpstr">
      <vt:lpstr>Cover</vt:lpstr>
      <vt:lpstr>Conceptual Model</vt:lpstr>
      <vt:lpstr>F_Inputs</vt:lpstr>
      <vt:lpstr>PCC.Inputs</vt:lpstr>
      <vt:lpstr>NHH.Inputs</vt:lpstr>
      <vt:lpstr>NHH.Performance</vt:lpstr>
      <vt:lpstr>NHH.WRMP</vt:lpstr>
      <vt:lpstr>NHH.P.Range</vt:lpstr>
      <vt:lpstr>NHH.Percentiles</vt:lpstr>
      <vt:lpstr>PCC.Performance</vt:lpstr>
      <vt:lpstr>PCC.PCL</vt:lpstr>
      <vt:lpstr>PCC.P.Range</vt:lpstr>
      <vt:lpstr>PCC.Percentiles</vt:lpstr>
      <vt:lpstr>Final Output</vt:lpstr>
      <vt:lpstr>F_Outputs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2024-12-12T11:20:09Z</dcterms:created>
  <dcterms:modified xsi:type="dcterms:W3CDTF">2024-12-12T16:42:24Z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0x0101004010F36128E44943B1120CACFDAE9F7B</vt:lpwstr>
  </property>
</Properties>
</file>