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fileSharing readOnlyRecommended="1"/>
  <workbookPr filterPrivacy="1" codeName="ThisWorkbook" defaultThemeVersion="166925"/>
  <xr:revisionPtr revIDLastSave="44" documentId="8_{16EC5C5F-5B0F-48C5-88E2-934E3EEB12F7}" xr6:coauthVersionLast="47" xr6:coauthVersionMax="47" xr10:uidLastSave="{9068D0D4-BB8B-4B9C-93A0-B678F0AE6F3A}"/>
  <workbookProtection lockStructure="1"/>
  <bookViews>
    <workbookView xWindow="-98" yWindow="-98" windowWidth="21795" windowHeight="13875" tabRatio="733" xr2:uid="{658F2685-4DA9-4E8C-B004-273E83FB23AA}"/>
  </bookViews>
  <sheets>
    <sheet name="Cover" sheetId="20" r:id="rId1"/>
    <sheet name="Conceptual Model" sheetId="16" r:id="rId2"/>
    <sheet name="F_Inputs" sheetId="18" r:id="rId3"/>
    <sheet name="Inputs_All" sheetId="4" r:id="rId4"/>
    <sheet name="Proxy PCL" sheetId="5" r:id="rId5"/>
    <sheet name="Difference to PCL" sheetId="12" r:id="rId6"/>
    <sheet name="Percentiles" sheetId="15" r:id="rId7"/>
    <sheet name="Final Output" sheetId="2" r:id="rId8"/>
    <sheet name="F_Outputs" sheetId="9" r:id="rId9"/>
  </sheets>
  <definedNames>
    <definedName name="____net1" localSheetId="0" hidden="1">{"NET",#N/A,FALSE,"401C11"}</definedName>
    <definedName name="__123Graph_A" localSheetId="0" hidden="1">#REF!</definedName>
    <definedName name="__123Graph_B" localSheetId="0" hidden="1">#REF!</definedName>
    <definedName name="__123Graph_C" localSheetId="0" hidden="1">#REF!</definedName>
    <definedName name="__123Graph_X" localSheetId="0" hidden="1">#REF!</definedName>
    <definedName name="__net1" localSheetId="0" hidden="1">{"NET",#N/A,FALSE,"401C11"}</definedName>
    <definedName name="_1_0__123Grap" localSheetId="0" hidden="1">#REF!</definedName>
    <definedName name="_1_123Grap" localSheetId="0" hidden="1">#REF!</definedName>
    <definedName name="_123Graph_F" localSheetId="0" hidden="1">#REF!</definedName>
    <definedName name="_2_0__123Grap" localSheetId="0" hidden="1">#REF!</definedName>
    <definedName name="_2_123Grap" localSheetId="0" hidden="1">#REF!</definedName>
    <definedName name="_3_0_S" localSheetId="0" hidden="1">#REF!</definedName>
    <definedName name="_3_123Grap" localSheetId="0" hidden="1">#REF!</definedName>
    <definedName name="_34_123Grap" localSheetId="0" hidden="1">#REF!</definedName>
    <definedName name="_42S" localSheetId="0" hidden="1">#REF!</definedName>
    <definedName name="_4S" localSheetId="0" hidden="1">#REF!</definedName>
    <definedName name="_5_0__123Grap" localSheetId="0" hidden="1">#REF!</definedName>
    <definedName name="_6_0_S" localSheetId="0" hidden="1">#REF!</definedName>
    <definedName name="_6_123Grap" localSheetId="0" hidden="1">#REF!</definedName>
    <definedName name="_8_123Grap" localSheetId="0" hidden="1">#REF!</definedName>
    <definedName name="_8S" localSheetId="0" hidden="1">#REF!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OptionCustomItemsCount">0</definedName>
    <definedName name="_AtRisk_SimSetting_ReportOptionDataMode">1</definedName>
    <definedName name="_AtRisk_SimSetting_ReportOptionReportMultiSimType">1</definedName>
    <definedName name="_AtRisk_SimSetting_ReportOptionReportPlacement">1</definedName>
    <definedName name="_AtRisk_SimSetting_ReportOptionReportSelection">257</definedName>
    <definedName name="_AtRisk_SimSetting_ReportOptionReportsFileType">1</definedName>
    <definedName name="_AtRisk_SimSetting_ReportOptionSelectiveQR">FALSE</definedName>
    <definedName name="_AtRisk_SimSetting_ReportsList">257</definedName>
    <definedName name="_AtRisk_SimSetting_ShowSimulationProgressWindow">TRUE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ActiveSimulationNumber">1</definedName>
    <definedName name="_AtRisk_SimSetting_StdRecalcBehavior">1</definedName>
    <definedName name="_AtRisk_SimSetting_StdRecalcWithoutRiskStatic">0</definedName>
    <definedName name="_AtRisk_SimSetting_StdRecalcWithoutRiskStaticPercentile">0.5</definedName>
    <definedName name="_Dist_Values" hidden="1">#REF!</definedName>
    <definedName name="_Fill" localSheetId="0" hidden="1">#REF!</definedName>
    <definedName name="_Key1" localSheetId="0" hidden="1">#REF!</definedName>
    <definedName name="_Key2" localSheetId="0" hidden="1">#REF!</definedName>
    <definedName name="_net1" localSheetId="0" hidden="1">{"NET",#N/A,FALSE,"401C11"}</definedName>
    <definedName name="_Order1">255</definedName>
    <definedName name="_Order2">255</definedName>
    <definedName name="_Sort" localSheetId="0" hidden="1">#REF!</definedName>
    <definedName name="a" localSheetId="0" hidden="1">{"CHARGE",#N/A,FALSE,"401C11"}</definedName>
    <definedName name="aa" localSheetId="0" hidden="1">{"CHARGE",#N/A,FALSE,"401C11"}</definedName>
    <definedName name="aaa" localSheetId="0" hidden="1">{"CHARGE",#N/A,FALSE,"401C11"}</definedName>
    <definedName name="aaaa" localSheetId="0" hidden="1">{"CHARGE",#N/A,FALSE,"401C11"}</definedName>
    <definedName name="abc" localSheetId="0" hidden="1">{"NET",#N/A,FALSE,"401C11"}</definedName>
    <definedName name="adbr" localSheetId="0" hidden="1">{"CHARGE",#N/A,FALSE,"401C11"}</definedName>
    <definedName name="b" localSheetId="0" hidden="1">{"CHARGE",#N/A,FALSE,"401C11"}</definedName>
    <definedName name="BMGHIndex" hidden="1">"O"</definedName>
    <definedName name="change1" localSheetId="0" hidden="1">{"CHARGE",#N/A,FALSE,"401C11"}</definedName>
    <definedName name="charge" localSheetId="0" hidden="1">{"CHARGE",#N/A,FALSE,"401C11"}</definedName>
    <definedName name="da" localSheetId="0" hidden="1">#REF!</definedName>
    <definedName name="dog" localSheetId="0" hidden="1">{"NET",#N/A,FALSE,"401C11"}</definedName>
    <definedName name="EV__LASTREFTIME__" hidden="1">40339.4799074074</definedName>
    <definedName name="Expired" hidden="1">FALSE</definedName>
    <definedName name="F">{"bal",#N/A,FALSE,"working papers";"income",#N/A,FALSE,"working papers"}</definedName>
    <definedName name="fdraf">{"bal",#N/A,FALSE,"working papers";"income",#N/A,FALSE,"working papers"}</definedName>
    <definedName name="Fdraft">{"bal",#N/A,FALSE,"working papers";"income",#N/A,FALSE,"working papers"}</definedName>
    <definedName name="Foutput" localSheetId="0" hidden="1">#REF!</definedName>
    <definedName name="fsdfffd" localSheetId="0" hidden="1">#REF!</definedName>
    <definedName name="fsdfsd" localSheetId="0" hidden="1">#REF!</definedName>
    <definedName name="fsfds" localSheetId="0" hidden="1">#REF!</definedName>
    <definedName name="fsfsd" localSheetId="0" hidden="1">#REF!</definedName>
    <definedName name="gfff" localSheetId="0" hidden="1">{"CHARGE",#N/A,FALSE,"401C11"}</definedName>
    <definedName name="gross" localSheetId="0" hidden="1">{"GROSS",#N/A,FALSE,"401C11"}</definedName>
    <definedName name="gross1" localSheetId="0" hidden="1">{"GROSS",#N/A,FALSE,"401C11"}</definedName>
    <definedName name="hasdfjklhklj" localSheetId="0" hidden="1">{"NET",#N/A,FALSE,"401C11"}</definedName>
    <definedName name="help" localSheetId="0" hidden="1">{"CHARGE",#N/A,FALSE,"401C11"}</definedName>
    <definedName name="hghghhj" localSheetId="0" hidden="1">{"CHARGE",#N/A,FALSE,"401C11"}</definedName>
    <definedName name="HTML_CodePage" hidden="1">1252</definedName>
    <definedName name="HTML_Control" localSheetId="0" hidden="1">{"'Trust by name'!$A$6:$E$350","'Trust by name'!$A$1:$D$348"}</definedName>
    <definedName name="HTML_Description" hidden="1">""</definedName>
    <definedName name="HTML_Email" hidden="1">""</definedName>
    <definedName name="HTML_Header" hidden="1">"Trust by name"</definedName>
    <definedName name="HTML_LastUpdate" hidden="1">"22/03/2001"</definedName>
    <definedName name="HTML_LineAfter" hidden="1">FALSE</definedName>
    <definedName name="HTML_LineBefore" hidden="1">FALSE</definedName>
    <definedName name="HTML_Name" hidden="1">"OISIII"</definedName>
    <definedName name="HTML_OBDlg2" hidden="1">TRUE</definedName>
    <definedName name="HTML_OBDlg4" hidden="1">TRUE</definedName>
    <definedName name="HTML_OS" hidden="1">0</definedName>
    <definedName name="HTML_PathFile" hidden="1">"G:\ACTIVITY\HELP\DTPANIC\2001-02\MyHTML.htm"</definedName>
    <definedName name="HTML_Title" hidden="1">"Section 1"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EXPENSE_CODE_">80019595006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41366.3748958333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JFELL" localSheetId="0" hidden="1">#REF!</definedName>
    <definedName name="new" localSheetId="0" hidden="1">{"bal",#N/A,FALSE,"working papers";"income",#N/A,FALSE,"working papers"}</definedName>
    <definedName name="OISIII" localSheetId="0" hidden="1">#REF!</definedName>
    <definedName name="qfx" localSheetId="0" hidden="1">{"NET",#N/A,FALSE,"401C11"}</definedName>
    <definedName name="qwefqefa" localSheetId="0" hidden="1">#REF!</definedName>
    <definedName name="real" localSheetId="0" hidden="1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tandardRecalc">2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ytry" localSheetId="0" hidden="1">{"NET",#N/A,FALSE,"401C11"}</definedName>
    <definedName name="SAPBEXrevision">1</definedName>
    <definedName name="SAPBEXsysID">"BWB"</definedName>
    <definedName name="SAPBEXwbID">"49ZLUKBQR0WG29D9LLI3IBIIT"</definedName>
    <definedName name="sort" localSheetId="0" hidden="1">#REF!</definedName>
    <definedName name="Table3.4" localSheetId="0" hidden="1">{"CHARGE",#N/A,FALSE,"401C11"}</definedName>
    <definedName name="Test23" localSheetId="0" hidden="1">{"NET",#N/A,FALSE,"401C11"}</definedName>
    <definedName name="trdhtr" localSheetId="0" hidden="1">#REF!</definedName>
    <definedName name="wert" localSheetId="0" hidden="1">{"GROSS",#N/A,FALSE,"401C11"}</definedName>
    <definedName name="wombat" localSheetId="0" hidden="1">#REF!</definedName>
    <definedName name="wotsthis" localSheetId="0" hidden="1">{"P&amp;L phased",#N/A,FALSE,"P and L";"Interest phased",#N/A,FALSE,"Interest";"Cshf phased",#N/A,FALSE,"Cashflow";"BSheet phased",#N/A,FALSE,"B Sheet";"Capex phased",#N/A,FALSE,"Capex"}</definedName>
    <definedName name="wrn.CHARGE." localSheetId="0" hidden="1">{"CHARGE",#N/A,FALSE,"401C11"}</definedName>
    <definedName name="wrn.GROSS." localSheetId="0" hidden="1">{"GROSS",#N/A,FALSE,"401C11"}</definedName>
    <definedName name="wrn.NET." localSheetId="0" hidden="1">{"NET",#N/A,FALSE,"401C11"}</definedName>
    <definedName name="wrn.papersdraft">{"bal",#N/A,FALSE,"working papers";"income",#N/A,FALSE,"working papers"}</definedName>
    <definedName name="wrn.Print._.5._.and._.12." localSheetId="0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wrn.Print._.Phased." localSheetId="0" hidden="1">{"P&amp;L phased",#N/A,FALSE,"P and L";"Interest phased",#N/A,FALSE,"Interest";"Cshf phased",#N/A,FALSE,"Cashflow";"BSheet phased",#N/A,FALSE,"B Sheet";"Capex phased",#N/A,FALSE,"Capex"}</definedName>
    <definedName name="wrn.wpapers.">{"bal",#N/A,FALSE,"working papers";"income",#N/A,FALSE,"working papers"}</definedName>
    <definedName name="xxx" localSheetId="0" hidden="1">{"CHARGE",#N/A,FALSE,"401C11"}</definedName>
    <definedName name="yyy" localSheetId="0" hidden="1">{"GROSS",#N/A,FALSE,"401C11"}</definedName>
    <definedName name="zzz" localSheetId="0" hidden="1">{"NET",#N/A,FALSE,"401C11"}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0" l="1"/>
  <c r="A1" i="20"/>
  <c r="F216" i="9"/>
  <c r="F215" i="9"/>
  <c r="F214" i="9"/>
  <c r="F195" i="9"/>
  <c r="F194" i="9"/>
  <c r="F193" i="9"/>
  <c r="F174" i="9"/>
  <c r="F173" i="9"/>
  <c r="F172" i="9"/>
  <c r="F153" i="9"/>
  <c r="F152" i="9"/>
  <c r="F151" i="9"/>
  <c r="F132" i="9"/>
  <c r="F131" i="9"/>
  <c r="F130" i="9"/>
  <c r="F111" i="9"/>
  <c r="F110" i="9"/>
  <c r="F109" i="9"/>
  <c r="F90" i="9"/>
  <c r="F89" i="9"/>
  <c r="F88" i="9"/>
  <c r="F69" i="9"/>
  <c r="F68" i="9"/>
  <c r="F67" i="9"/>
  <c r="F48" i="9"/>
  <c r="F47" i="9"/>
  <c r="F46" i="9"/>
  <c r="F27" i="9"/>
  <c r="F26" i="9"/>
  <c r="F25" i="9"/>
  <c r="F6" i="9"/>
  <c r="F5" i="9"/>
  <c r="F4" i="9"/>
  <c r="A1" i="2"/>
  <c r="M17" i="15"/>
  <c r="A1" i="15"/>
  <c r="J48" i="12"/>
  <c r="M16" i="15" s="1"/>
  <c r="J43" i="12"/>
  <c r="M11" i="15" s="1"/>
  <c r="J35" i="12"/>
  <c r="J49" i="12" s="1"/>
  <c r="J34" i="12"/>
  <c r="J29" i="12"/>
  <c r="N19" i="12"/>
  <c r="M19" i="12"/>
  <c r="L19" i="12"/>
  <c r="K19" i="12"/>
  <c r="J19" i="12"/>
  <c r="N18" i="12"/>
  <c r="M18" i="12"/>
  <c r="L18" i="12"/>
  <c r="K18" i="12"/>
  <c r="J18" i="12"/>
  <c r="N17" i="12"/>
  <c r="M17" i="12"/>
  <c r="L17" i="12"/>
  <c r="K17" i="12"/>
  <c r="J17" i="12"/>
  <c r="N16" i="12"/>
  <c r="M16" i="12"/>
  <c r="L16" i="12"/>
  <c r="K16" i="12"/>
  <c r="J16" i="12"/>
  <c r="N15" i="12"/>
  <c r="M15" i="12"/>
  <c r="L15" i="12"/>
  <c r="K15" i="12"/>
  <c r="J15" i="12"/>
  <c r="N14" i="12"/>
  <c r="M14" i="12"/>
  <c r="L14" i="12"/>
  <c r="K14" i="12"/>
  <c r="J14" i="12"/>
  <c r="N13" i="12"/>
  <c r="M13" i="12"/>
  <c r="L13" i="12"/>
  <c r="K13" i="12"/>
  <c r="J13" i="12"/>
  <c r="N12" i="12"/>
  <c r="M12" i="12"/>
  <c r="L12" i="12"/>
  <c r="K12" i="12"/>
  <c r="J12" i="12"/>
  <c r="N11" i="12"/>
  <c r="M11" i="12"/>
  <c r="L11" i="12"/>
  <c r="K11" i="12"/>
  <c r="J11" i="12"/>
  <c r="N10" i="12"/>
  <c r="M10" i="12"/>
  <c r="L10" i="12"/>
  <c r="K10" i="12"/>
  <c r="J10" i="12"/>
  <c r="N9" i="12"/>
  <c r="M9" i="12"/>
  <c r="L9" i="12"/>
  <c r="K9" i="12"/>
  <c r="J9" i="12"/>
  <c r="A1" i="12"/>
  <c r="N43" i="5"/>
  <c r="L23" i="12" s="1"/>
  <c r="P39" i="5"/>
  <c r="O39" i="5"/>
  <c r="N39" i="5"/>
  <c r="M39" i="5"/>
  <c r="M43" i="5" s="1"/>
  <c r="K23" i="12" s="1"/>
  <c r="L39" i="5"/>
  <c r="P38" i="5"/>
  <c r="O38" i="5"/>
  <c r="N38" i="5"/>
  <c r="M38" i="5"/>
  <c r="L38" i="5"/>
  <c r="P37" i="5"/>
  <c r="O37" i="5"/>
  <c r="N37" i="5"/>
  <c r="M37" i="5"/>
  <c r="L37" i="5"/>
  <c r="P36" i="5"/>
  <c r="O36" i="5"/>
  <c r="N36" i="5"/>
  <c r="M36" i="5"/>
  <c r="L36" i="5"/>
  <c r="P35" i="5"/>
  <c r="O35" i="5"/>
  <c r="N35" i="5"/>
  <c r="M35" i="5"/>
  <c r="L35" i="5"/>
  <c r="P34" i="5"/>
  <c r="O34" i="5"/>
  <c r="N34" i="5"/>
  <c r="M34" i="5"/>
  <c r="L34" i="5"/>
  <c r="P33" i="5"/>
  <c r="O33" i="5"/>
  <c r="N33" i="5"/>
  <c r="M33" i="5"/>
  <c r="L33" i="5"/>
  <c r="P32" i="5"/>
  <c r="O32" i="5"/>
  <c r="N32" i="5"/>
  <c r="M32" i="5"/>
  <c r="L32" i="5"/>
  <c r="P31" i="5"/>
  <c r="O31" i="5"/>
  <c r="N31" i="5"/>
  <c r="M31" i="5"/>
  <c r="L31" i="5"/>
  <c r="P30" i="5"/>
  <c r="O30" i="5"/>
  <c r="N30" i="5"/>
  <c r="M30" i="5"/>
  <c r="L30" i="5"/>
  <c r="P29" i="5"/>
  <c r="O29" i="5"/>
  <c r="N29" i="5"/>
  <c r="M29" i="5"/>
  <c r="L29" i="5"/>
  <c r="P28" i="5"/>
  <c r="O28" i="5"/>
  <c r="N28" i="5"/>
  <c r="M28" i="5"/>
  <c r="L28" i="5"/>
  <c r="P27" i="5"/>
  <c r="O27" i="5"/>
  <c r="N27" i="5"/>
  <c r="M27" i="5"/>
  <c r="L27" i="5"/>
  <c r="P26" i="5"/>
  <c r="O26" i="5"/>
  <c r="N26" i="5"/>
  <c r="M26" i="5"/>
  <c r="L26" i="5"/>
  <c r="P25" i="5"/>
  <c r="O25" i="5"/>
  <c r="N25" i="5"/>
  <c r="M25" i="5"/>
  <c r="L25" i="5"/>
  <c r="P24" i="5"/>
  <c r="O24" i="5"/>
  <c r="N24" i="5"/>
  <c r="M24" i="5"/>
  <c r="L24" i="5"/>
  <c r="P23" i="5"/>
  <c r="P43" i="5" s="1"/>
  <c r="N23" i="12" s="1"/>
  <c r="O23" i="5"/>
  <c r="O43" i="5" s="1"/>
  <c r="M23" i="12" s="1"/>
  <c r="N23" i="5"/>
  <c r="M23" i="5"/>
  <c r="L23" i="5"/>
  <c r="L43" i="5" s="1"/>
  <c r="J23" i="12" s="1"/>
  <c r="P19" i="5"/>
  <c r="O19" i="5"/>
  <c r="N19" i="5"/>
  <c r="M19" i="5"/>
  <c r="L19" i="5"/>
  <c r="P18" i="5"/>
  <c r="O18" i="5"/>
  <c r="N18" i="5"/>
  <c r="M18" i="5"/>
  <c r="L18" i="5"/>
  <c r="P17" i="5"/>
  <c r="O17" i="5"/>
  <c r="N17" i="5"/>
  <c r="M17" i="5"/>
  <c r="L17" i="5"/>
  <c r="P16" i="5"/>
  <c r="O16" i="5"/>
  <c r="N16" i="5"/>
  <c r="M16" i="5"/>
  <c r="L16" i="5"/>
  <c r="P15" i="5"/>
  <c r="O15" i="5"/>
  <c r="N15" i="5"/>
  <c r="M15" i="5"/>
  <c r="L15" i="5"/>
  <c r="P14" i="5"/>
  <c r="O14" i="5"/>
  <c r="N14" i="5"/>
  <c r="M14" i="5"/>
  <c r="L14" i="5"/>
  <c r="P13" i="5"/>
  <c r="O13" i="5"/>
  <c r="N13" i="5"/>
  <c r="M13" i="5"/>
  <c r="L13" i="5"/>
  <c r="P12" i="5"/>
  <c r="O12" i="5"/>
  <c r="N12" i="5"/>
  <c r="M12" i="5"/>
  <c r="L12" i="5"/>
  <c r="P11" i="5"/>
  <c r="O11" i="5"/>
  <c r="N11" i="5"/>
  <c r="M11" i="5"/>
  <c r="L11" i="5"/>
  <c r="P10" i="5"/>
  <c r="O10" i="5"/>
  <c r="N10" i="5"/>
  <c r="M10" i="5"/>
  <c r="L10" i="5"/>
  <c r="P9" i="5"/>
  <c r="O9" i="5"/>
  <c r="N9" i="5"/>
  <c r="M9" i="5"/>
  <c r="L9" i="5"/>
  <c r="A1" i="5"/>
  <c r="N19" i="4"/>
  <c r="M19" i="4"/>
  <c r="L19" i="4"/>
  <c r="K19" i="4"/>
  <c r="J19" i="4"/>
  <c r="N18" i="4"/>
  <c r="M18" i="4"/>
  <c r="L18" i="4"/>
  <c r="K18" i="4"/>
  <c r="J18" i="4"/>
  <c r="N17" i="4"/>
  <c r="M17" i="4"/>
  <c r="L17" i="4"/>
  <c r="K17" i="4"/>
  <c r="J17" i="4"/>
  <c r="N16" i="4"/>
  <c r="M16" i="4"/>
  <c r="L16" i="4"/>
  <c r="K16" i="4"/>
  <c r="J16" i="4"/>
  <c r="N15" i="4"/>
  <c r="M15" i="4"/>
  <c r="L15" i="4"/>
  <c r="K15" i="4"/>
  <c r="J15" i="4"/>
  <c r="N14" i="4"/>
  <c r="M14" i="4"/>
  <c r="L14" i="4"/>
  <c r="K14" i="4"/>
  <c r="J14" i="4"/>
  <c r="N13" i="4"/>
  <c r="M13" i="4"/>
  <c r="L13" i="4"/>
  <c r="K13" i="4"/>
  <c r="J13" i="4"/>
  <c r="N12" i="4"/>
  <c r="M12" i="4"/>
  <c r="L12" i="4"/>
  <c r="K12" i="4"/>
  <c r="J12" i="4"/>
  <c r="N11" i="4"/>
  <c r="M11" i="4"/>
  <c r="L11" i="4"/>
  <c r="K11" i="4"/>
  <c r="J11" i="4"/>
  <c r="N10" i="4"/>
  <c r="M10" i="4"/>
  <c r="L10" i="4"/>
  <c r="K10" i="4"/>
  <c r="J10" i="4"/>
  <c r="N9" i="4"/>
  <c r="M9" i="4"/>
  <c r="L9" i="4"/>
  <c r="K9" i="4"/>
  <c r="J9" i="4"/>
  <c r="A1" i="4"/>
  <c r="A1" i="16"/>
  <c r="K27" i="12" l="1"/>
  <c r="K41" i="12" s="1"/>
  <c r="N9" i="15" s="1"/>
  <c r="K34" i="12"/>
  <c r="K48" i="12" s="1"/>
  <c r="N16" i="15" s="1"/>
  <c r="K29" i="12"/>
  <c r="K43" i="12" s="1"/>
  <c r="N11" i="15" s="1"/>
  <c r="K30" i="12"/>
  <c r="K44" i="12" s="1"/>
  <c r="N12" i="15" s="1"/>
  <c r="K35" i="12"/>
  <c r="K49" i="12" s="1"/>
  <c r="N17" i="15" s="1"/>
  <c r="K31" i="12"/>
  <c r="K45" i="12" s="1"/>
  <c r="N13" i="15" s="1"/>
  <c r="K32" i="12"/>
  <c r="K46" i="12" s="1"/>
  <c r="N14" i="15" s="1"/>
  <c r="K28" i="12"/>
  <c r="K42" i="12" s="1"/>
  <c r="N10" i="15" s="1"/>
  <c r="K37" i="12"/>
  <c r="K51" i="12" s="1"/>
  <c r="N19" i="15" s="1"/>
  <c r="K33" i="12"/>
  <c r="K47" i="12" s="1"/>
  <c r="N15" i="15" s="1"/>
  <c r="K36" i="12"/>
  <c r="K50" i="12" s="1"/>
  <c r="N18" i="15" s="1"/>
  <c r="M29" i="12"/>
  <c r="M43" i="12" s="1"/>
  <c r="P11" i="15" s="1"/>
  <c r="M36" i="12"/>
  <c r="M50" i="12" s="1"/>
  <c r="P18" i="15" s="1"/>
  <c r="M31" i="12"/>
  <c r="M45" i="12" s="1"/>
  <c r="P13" i="15" s="1"/>
  <c r="M32" i="12"/>
  <c r="M46" i="12" s="1"/>
  <c r="P14" i="15" s="1"/>
  <c r="M33" i="12"/>
  <c r="M47" i="12" s="1"/>
  <c r="P15" i="15" s="1"/>
  <c r="M28" i="12"/>
  <c r="M42" i="12" s="1"/>
  <c r="P10" i="15" s="1"/>
  <c r="M37" i="12"/>
  <c r="M51" i="12" s="1"/>
  <c r="P19" i="15" s="1"/>
  <c r="M34" i="12"/>
  <c r="M48" i="12" s="1"/>
  <c r="P16" i="15" s="1"/>
  <c r="M30" i="12"/>
  <c r="M44" i="12" s="1"/>
  <c r="P12" i="15" s="1"/>
  <c r="M27" i="12"/>
  <c r="M41" i="12" s="1"/>
  <c r="P9" i="15" s="1"/>
  <c r="M35" i="12"/>
  <c r="M49" i="12" s="1"/>
  <c r="P17" i="15" s="1"/>
  <c r="N36" i="12"/>
  <c r="N50" i="12" s="1"/>
  <c r="Q18" i="15" s="1"/>
  <c r="N31" i="12"/>
  <c r="N45" i="12" s="1"/>
  <c r="Q13" i="15" s="1"/>
  <c r="N28" i="12"/>
  <c r="N42" i="12" s="1"/>
  <c r="Q10" i="15" s="1"/>
  <c r="N33" i="12"/>
  <c r="N47" i="12" s="1"/>
  <c r="Q15" i="15" s="1"/>
  <c r="N37" i="12"/>
  <c r="N51" i="12" s="1"/>
  <c r="Q19" i="15" s="1"/>
  <c r="N34" i="12"/>
  <c r="N48" i="12" s="1"/>
  <c r="Q16" i="15" s="1"/>
  <c r="N30" i="12"/>
  <c r="N44" i="12" s="1"/>
  <c r="Q12" i="15" s="1"/>
  <c r="N27" i="12"/>
  <c r="N41" i="12" s="1"/>
  <c r="Q9" i="15" s="1"/>
  <c r="N35" i="12"/>
  <c r="N49" i="12" s="1"/>
  <c r="Q17" i="15" s="1"/>
  <c r="N32" i="12"/>
  <c r="N46" i="12" s="1"/>
  <c r="Q14" i="15" s="1"/>
  <c r="N29" i="12"/>
  <c r="N43" i="12" s="1"/>
  <c r="Q11" i="15" s="1"/>
  <c r="J32" i="12"/>
  <c r="J46" i="12" s="1"/>
  <c r="M14" i="15" s="1"/>
  <c r="J27" i="12"/>
  <c r="J41" i="12" s="1"/>
  <c r="M9" i="15" s="1"/>
  <c r="J30" i="12"/>
  <c r="J44" i="12" s="1"/>
  <c r="M12" i="15" s="1"/>
  <c r="J31" i="12"/>
  <c r="J45" i="12" s="1"/>
  <c r="M13" i="15" s="1"/>
  <c r="J28" i="12"/>
  <c r="J42" i="12" s="1"/>
  <c r="M10" i="15" s="1"/>
  <c r="J37" i="12"/>
  <c r="J51" i="12" s="1"/>
  <c r="M19" i="15" s="1"/>
  <c r="J36" i="12"/>
  <c r="J50" i="12" s="1"/>
  <c r="M18" i="15" s="1"/>
  <c r="J33" i="12"/>
  <c r="J47" i="12" s="1"/>
  <c r="M15" i="15" s="1"/>
  <c r="L34" i="12"/>
  <c r="L48" i="12" s="1"/>
  <c r="O16" i="15" s="1"/>
  <c r="L29" i="12"/>
  <c r="L43" i="12" s="1"/>
  <c r="O11" i="15" s="1"/>
  <c r="L36" i="12"/>
  <c r="L50" i="12" s="1"/>
  <c r="O18" i="15" s="1"/>
  <c r="L35" i="12"/>
  <c r="L49" i="12" s="1"/>
  <c r="O17" i="15" s="1"/>
  <c r="L32" i="12"/>
  <c r="L46" i="12" s="1"/>
  <c r="O14" i="15" s="1"/>
  <c r="L31" i="12"/>
  <c r="L45" i="12" s="1"/>
  <c r="O13" i="15" s="1"/>
  <c r="L28" i="12"/>
  <c r="L42" i="12" s="1"/>
  <c r="O10" i="15" s="1"/>
  <c r="L37" i="12"/>
  <c r="L51" i="12" s="1"/>
  <c r="O19" i="15" s="1"/>
  <c r="L33" i="12"/>
  <c r="L47" i="12" s="1"/>
  <c r="O15" i="15" s="1"/>
  <c r="L30" i="12"/>
  <c r="L44" i="12" s="1"/>
  <c r="O12" i="15" s="1"/>
  <c r="L27" i="12"/>
  <c r="L41" i="12" s="1"/>
  <c r="O9" i="15" s="1"/>
  <c r="K39" i="15" l="1"/>
  <c r="K25" i="2" s="1"/>
  <c r="K27" i="15"/>
  <c r="K13" i="2" s="1"/>
  <c r="K38" i="15"/>
  <c r="K24" i="2" s="1"/>
  <c r="K26" i="15"/>
  <c r="K12" i="2" s="1"/>
  <c r="K37" i="15"/>
  <c r="K23" i="2" s="1"/>
  <c r="K25" i="15"/>
  <c r="K11" i="2" s="1"/>
  <c r="K36" i="15"/>
  <c r="K22" i="2" s="1"/>
  <c r="K24" i="15"/>
  <c r="K10" i="2" s="1"/>
  <c r="K35" i="15"/>
  <c r="K21" i="2" s="1"/>
  <c r="K23" i="15"/>
  <c r="K9" i="2" s="1"/>
  <c r="K34" i="15"/>
  <c r="K20" i="2" s="1"/>
  <c r="K33" i="15"/>
  <c r="K19" i="2" s="1"/>
  <c r="K30" i="15"/>
  <c r="K16" i="2" s="1"/>
  <c r="K32" i="15"/>
  <c r="K18" i="2" s="1"/>
  <c r="K31" i="15"/>
  <c r="K17" i="2" s="1"/>
  <c r="K29" i="15"/>
  <c r="K15" i="2" s="1"/>
  <c r="K28" i="15"/>
  <c r="K14" i="2" s="1"/>
  <c r="F183" i="9" l="1"/>
  <c r="F120" i="9"/>
  <c r="F57" i="9"/>
  <c r="F36" i="9"/>
  <c r="F78" i="9"/>
  <c r="F15" i="9"/>
  <c r="F141" i="9"/>
  <c r="F204" i="9"/>
  <c r="F99" i="9"/>
  <c r="F162" i="9"/>
  <c r="F225" i="9"/>
  <c r="F234" i="9"/>
  <c r="F171" i="9"/>
  <c r="F108" i="9"/>
  <c r="F45" i="9"/>
  <c r="F192" i="9"/>
  <c r="F150" i="9"/>
  <c r="F213" i="9"/>
  <c r="F66" i="9"/>
  <c r="F129" i="9"/>
  <c r="F87" i="9"/>
  <c r="F24" i="9"/>
  <c r="F208" i="9"/>
  <c r="F145" i="9"/>
  <c r="F82" i="9"/>
  <c r="F19" i="9"/>
  <c r="F40" i="9"/>
  <c r="F187" i="9"/>
  <c r="F103" i="9"/>
  <c r="F61" i="9"/>
  <c r="F166" i="9"/>
  <c r="F124" i="9"/>
  <c r="F229" i="9"/>
  <c r="F209" i="9"/>
  <c r="F146" i="9"/>
  <c r="F83" i="9"/>
  <c r="F20" i="9"/>
  <c r="F41" i="9"/>
  <c r="F104" i="9"/>
  <c r="F62" i="9"/>
  <c r="F167" i="9"/>
  <c r="F125" i="9"/>
  <c r="F230" i="9"/>
  <c r="F188" i="9"/>
  <c r="F198" i="9"/>
  <c r="F135" i="9"/>
  <c r="F72" i="9"/>
  <c r="F9" i="9"/>
  <c r="F93" i="9"/>
  <c r="F51" i="9"/>
  <c r="F30" i="9"/>
  <c r="F156" i="9"/>
  <c r="F114" i="9"/>
  <c r="F219" i="9"/>
  <c r="F177" i="9"/>
  <c r="F210" i="9"/>
  <c r="F147" i="9"/>
  <c r="F84" i="9"/>
  <c r="F21" i="9"/>
  <c r="F105" i="9"/>
  <c r="F63" i="9"/>
  <c r="F168" i="9"/>
  <c r="F126" i="9"/>
  <c r="F231" i="9"/>
  <c r="F189" i="9"/>
  <c r="F42" i="9"/>
  <c r="F223" i="9"/>
  <c r="F160" i="9"/>
  <c r="F97" i="9"/>
  <c r="F34" i="9"/>
  <c r="F202" i="9"/>
  <c r="F118" i="9"/>
  <c r="F181" i="9"/>
  <c r="F55" i="9"/>
  <c r="F76" i="9"/>
  <c r="F139" i="9"/>
  <c r="F13" i="9"/>
  <c r="F224" i="9"/>
  <c r="F161" i="9"/>
  <c r="F98" i="9"/>
  <c r="F35" i="9"/>
  <c r="F182" i="9"/>
  <c r="F119" i="9"/>
  <c r="F56" i="9"/>
  <c r="F203" i="9"/>
  <c r="F140" i="9"/>
  <c r="F77" i="9"/>
  <c r="F14" i="9"/>
  <c r="F221" i="9"/>
  <c r="F158" i="9"/>
  <c r="F95" i="9"/>
  <c r="F32" i="9"/>
  <c r="F179" i="9"/>
  <c r="F11" i="9"/>
  <c r="F53" i="9"/>
  <c r="F116" i="9"/>
  <c r="F74" i="9"/>
  <c r="F137" i="9"/>
  <c r="F200" i="9"/>
  <c r="F186" i="9"/>
  <c r="F123" i="9"/>
  <c r="F60" i="9"/>
  <c r="F207" i="9"/>
  <c r="F144" i="9"/>
  <c r="F81" i="9"/>
  <c r="F18" i="9"/>
  <c r="F228" i="9"/>
  <c r="F165" i="9"/>
  <c r="F102" i="9"/>
  <c r="F39" i="9"/>
  <c r="F197" i="9"/>
  <c r="F134" i="9"/>
  <c r="F71" i="9"/>
  <c r="F8" i="9"/>
  <c r="F92" i="9"/>
  <c r="F50" i="9"/>
  <c r="F29" i="9"/>
  <c r="F155" i="9"/>
  <c r="F113" i="9"/>
  <c r="F218" i="9"/>
  <c r="F176" i="9"/>
  <c r="F199" i="9"/>
  <c r="F136" i="9"/>
  <c r="F73" i="9"/>
  <c r="F10" i="9"/>
  <c r="F220" i="9"/>
  <c r="F157" i="9"/>
  <c r="F94" i="9"/>
  <c r="F31" i="9"/>
  <c r="F178" i="9"/>
  <c r="F115" i="9"/>
  <c r="F52" i="9"/>
  <c r="F211" i="9"/>
  <c r="F148" i="9"/>
  <c r="F85" i="9"/>
  <c r="F22" i="9"/>
  <c r="F232" i="9"/>
  <c r="F169" i="9"/>
  <c r="F106" i="9"/>
  <c r="F43" i="9"/>
  <c r="F190" i="9"/>
  <c r="F127" i="9"/>
  <c r="F64" i="9"/>
  <c r="F184" i="9"/>
  <c r="F121" i="9"/>
  <c r="F58" i="9"/>
  <c r="F205" i="9"/>
  <c r="F100" i="9"/>
  <c r="F163" i="9"/>
  <c r="F79" i="9"/>
  <c r="F16" i="9"/>
  <c r="F142" i="9"/>
  <c r="F37" i="9"/>
  <c r="F226" i="9"/>
  <c r="F233" i="9"/>
  <c r="F170" i="9"/>
  <c r="F107" i="9"/>
  <c r="F44" i="9"/>
  <c r="F128" i="9"/>
  <c r="F86" i="9"/>
  <c r="F23" i="9"/>
  <c r="F191" i="9"/>
  <c r="F149" i="9"/>
  <c r="F212" i="9"/>
  <c r="F65" i="9"/>
  <c r="F185" i="9"/>
  <c r="F122" i="9"/>
  <c r="F59" i="9"/>
  <c r="F80" i="9"/>
  <c r="F17" i="9"/>
  <c r="F206" i="9"/>
  <c r="F164" i="9"/>
  <c r="F227" i="9"/>
  <c r="F143" i="9"/>
  <c r="F101" i="9"/>
  <c r="F38" i="9"/>
  <c r="F222" i="9"/>
  <c r="F159" i="9"/>
  <c r="F96" i="9"/>
  <c r="F33" i="9"/>
  <c r="F201" i="9"/>
  <c r="F54" i="9"/>
  <c r="F117" i="9"/>
  <c r="F75" i="9"/>
  <c r="F180" i="9"/>
  <c r="F138" i="9"/>
  <c r="F12" i="9"/>
</calcChain>
</file>

<file path=xl/sharedStrings.xml><?xml version="1.0" encoding="utf-8"?>
<sst xmlns="http://schemas.openxmlformats.org/spreadsheetml/2006/main" count="1826" uniqueCount="132">
  <si>
    <t>ODI Risk SOF_Feeder Inputs</t>
  </si>
  <si>
    <t>Run 11 - PR24 FD Data</t>
  </si>
  <si>
    <t>PR24 ODI Risk - Feeder Model (Storm Overflows)</t>
  </si>
  <si>
    <t>Version number:</t>
  </si>
  <si>
    <t>File name:</t>
  </si>
  <si>
    <t>Date:</t>
  </si>
  <si>
    <t>For enquiries please contact:</t>
  </si>
  <si>
    <t>PR24@ofwat.gov.uk</t>
  </si>
  <si>
    <t>Conceptual model</t>
  </si>
  <si>
    <t>Run on 13 Nov 2024 17:46</t>
  </si>
  <si>
    <t>Acronym</t>
  </si>
  <si>
    <t>Reference</t>
  </si>
  <si>
    <t>Item description</t>
  </si>
  <si>
    <t>Unit</t>
  </si>
  <si>
    <t>Model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</si>
  <si>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</si>
  <si>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</si>
  <si>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</si>
  <si>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</si>
  <si>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</si>
  <si>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</si>
  <si>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</si>
  <si>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</si>
  <si>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Price Review 2024</t>
  </si>
  <si>
    <t>Latest</t>
  </si>
  <si>
    <t>ANH</t>
  </si>
  <si>
    <t>OUT5_10_PR24</t>
  </si>
  <si>
    <t>Underlying calculations for common performance commitments - wastewater - Storm overflows - Average number of spills per overflow - with unmonitored adjustment</t>
  </si>
  <si>
    <t>Number</t>
  </si>
  <si>
    <t/>
  </si>
  <si>
    <t>WSH</t>
  </si>
  <si>
    <t>HDD</t>
  </si>
  <si>
    <t>NES</t>
  </si>
  <si>
    <t>SVE</t>
  </si>
  <si>
    <t>SWB</t>
  </si>
  <si>
    <t>SRN</t>
  </si>
  <si>
    <t>TMS</t>
  </si>
  <si>
    <t>NWT</t>
  </si>
  <si>
    <t>WSX</t>
  </si>
  <si>
    <t>YKY</t>
  </si>
  <si>
    <t>2022-24</t>
  </si>
  <si>
    <t>Company</t>
  </si>
  <si>
    <t>Performance Commitment</t>
  </si>
  <si>
    <t>Measure</t>
  </si>
  <si>
    <t>Average number of spills per overflow - with unmonitored adjustment</t>
  </si>
  <si>
    <t>SOF</t>
  </si>
  <si>
    <t>Average spills per overflow</t>
  </si>
  <si>
    <t>Nr</t>
  </si>
  <si>
    <t>UUW</t>
  </si>
  <si>
    <t>END</t>
  </si>
  <si>
    <t>Percentile</t>
  </si>
  <si>
    <t>Help Cells</t>
  </si>
  <si>
    <t>Avg spills per overflow</t>
  </si>
  <si>
    <t>Average number of spills per overflow - with unmonitored adjustment - industry-wide percentiles</t>
  </si>
  <si>
    <t>P10</t>
  </si>
  <si>
    <t>P15</t>
  </si>
  <si>
    <t>P20</t>
  </si>
  <si>
    <t>P25</t>
  </si>
  <si>
    <t>P30</t>
  </si>
  <si>
    <t>P35</t>
  </si>
  <si>
    <t>P40</t>
  </si>
  <si>
    <t>P45</t>
  </si>
  <si>
    <t>P50</t>
  </si>
  <si>
    <t>P55</t>
  </si>
  <si>
    <t>P60</t>
  </si>
  <si>
    <t>P65</t>
  </si>
  <si>
    <t>P70</t>
  </si>
  <si>
    <t>P75</t>
  </si>
  <si>
    <t>P80</t>
  </si>
  <si>
    <t>P85</t>
  </si>
  <si>
    <t>P90</t>
  </si>
  <si>
    <t>Average number of spills per overflow - with unmonitored adjustment - P10-P90 midpoint (proxy PCL)</t>
  </si>
  <si>
    <t>Avg spills per overflow - proxy PCL</t>
  </si>
  <si>
    <t>Avg spills per overflow (P10-P90 midpoint)</t>
  </si>
  <si>
    <t>Average number of spills per overflow - with unmonitored adjustment - difference to PCL</t>
  </si>
  <si>
    <t>Average number of spills per overflow - with unmonitored adjustment - percentage difference to PCL (clean)</t>
  </si>
  <si>
    <t>Avg spills per overflow - difference to PCL</t>
  </si>
  <si>
    <t>Percentiles</t>
  </si>
  <si>
    <t>Value</t>
  </si>
  <si>
    <t>Average number of spills per overflow - with unmonitored adjustment - industry-wide percentiles of percentage difference to PCL</t>
  </si>
  <si>
    <t>%</t>
  </si>
  <si>
    <t>Percentiles, applicable to all WaSCs</t>
  </si>
  <si>
    <t>_PR24OC02</t>
  </si>
  <si>
    <t>Constant</t>
  </si>
  <si>
    <t>PR24QA_PR24OC15_SOFFEED_OUT1</t>
  </si>
  <si>
    <t>Date &amp; Time for Model - PR24OC02</t>
  </si>
  <si>
    <t>Text</t>
  </si>
  <si>
    <t>PR24QA_PR24OC15_SOFFEED_OUT2</t>
  </si>
  <si>
    <t>Name of Model - PR24OC02</t>
  </si>
  <si>
    <t>PR24QA_PR24OC15_SOFFEED_OUT3</t>
  </si>
  <si>
    <t>F_Inputs time stamp - PR24OC02</t>
  </si>
  <si>
    <t>PR24QA_PR24OC15_SOFFEED_OUT4</t>
  </si>
  <si>
    <t>Model override switch for - PR24OC02</t>
  </si>
  <si>
    <t>nr</t>
  </si>
  <si>
    <t>N/A</t>
  </si>
  <si>
    <t>C_ODIRISK_SOF_FEED_P10</t>
  </si>
  <si>
    <t>Historic performance range Percentile (P10) for Storm Overflows Performance Commitment PR24</t>
  </si>
  <si>
    <t>C_ODIRISK_SOF_FEED_P15</t>
  </si>
  <si>
    <t>Historic performance range Percentile (P15) for Storm Overflows Performance Commitment PR24</t>
  </si>
  <si>
    <t>C_ODIRISK_SOF_FEED_P20</t>
  </si>
  <si>
    <t>Historic performance range Percentile (P20) for Storm Overflows Performance Commitment PR24</t>
  </si>
  <si>
    <t>C_ODIRISK_SOF_FEED_P25</t>
  </si>
  <si>
    <t>Historic performance range Percentile (P25) for Storm Overflows Performance Commitment PR24</t>
  </si>
  <si>
    <t>C_ODIRISK_SOF_FEED_P30</t>
  </si>
  <si>
    <t>Historic performance range Percentile (P30) for Storm Overflows Performance Commitment PR24</t>
  </si>
  <si>
    <t>C_ODIRISK_SOF_FEED_P35</t>
  </si>
  <si>
    <t>Historic performance range Percentile (P35) for Storm Overflows Performance Commitment PR24</t>
  </si>
  <si>
    <t>C_ODIRISK_SOF_FEED_P40</t>
  </si>
  <si>
    <t>Historic performance range Percentile (P40) for Storm Overflows Performance Commitment PR24</t>
  </si>
  <si>
    <t>C_ODIRISK_SOF_FEED_P45</t>
  </si>
  <si>
    <t>Historic performance range Percentile (P45) for Storm Overflows Performance Commitment PR24</t>
  </si>
  <si>
    <t>C_ODIRISK_SOF_FEED_P50</t>
  </si>
  <si>
    <t>Historic performance range Percentile (P50) for Storm Overflows Performance Commitment PR24</t>
  </si>
  <si>
    <t>C_ODIRISK_SOF_FEED_P55</t>
  </si>
  <si>
    <t>Historic performance range Percentile (P55) for Storm Overflows Performance Commitment PR24</t>
  </si>
  <si>
    <t>C_ODIRISK_SOF_FEED_P60</t>
  </si>
  <si>
    <t>Historic performance range Percentile (P60) for Storm Overflows Performance Commitment PR24</t>
  </si>
  <si>
    <t>C_ODIRISK_SOF_FEED_P65</t>
  </si>
  <si>
    <t>Historic performance range Percentile (P65) for Storm Overflows Performance Commitment PR24</t>
  </si>
  <si>
    <t>C_ODIRISK_SOF_FEED_P70</t>
  </si>
  <si>
    <t>Historic performance range Percentile (P70) for Storm Overflows Performance Commitment PR24</t>
  </si>
  <si>
    <t>C_ODIRISK_SOF_FEED_P75</t>
  </si>
  <si>
    <t>Historic performance range Percentile (P75) for Storm Overflows Performance Commitment PR24</t>
  </si>
  <si>
    <t>C_ODIRISK_SOF_FEED_P80</t>
  </si>
  <si>
    <t>Historic performance range Percentile (P80) for Storm Overflows Performance Commitment PR24</t>
  </si>
  <si>
    <t>C_ODIRISK_SOF_FEED_P85</t>
  </si>
  <si>
    <t>Historic performance range Percentile (P85) for Storm Overflows Performance Commitment PR24</t>
  </si>
  <si>
    <t>C_ODIRISK_SOF_FEED_P90</t>
  </si>
  <si>
    <t>Historic performance range Percentile (P90) for Storm Overflows Performance Commitment PR24</t>
  </si>
  <si>
    <t>Model code</t>
  </si>
  <si>
    <t>Difference to PCL (As % of PCL)</t>
  </si>
  <si>
    <t>PR24OC15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</si>
</sst>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_);\(#,##0\);&quot;-  &quot;;&quot; &quot;@&quot; &quot;"/>
    <numFmt numFmtId="165" formatCode="###0_);\(###0\);&quot;-  &quot;;&quot; &quot;@&quot; &quot;"/>
    <numFmt numFmtId="166" formatCode="#,##0.0_);\(#,##0.0\);&quot;-  &quot;;&quot; &quot;@&quot; &quot;"/>
    <numFmt numFmtId="167" formatCode="mmmm\ yyyy;@"/>
  </numFmts>
  <fonts count="29" x14ac:knownFonts="1"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</font>
    <font>
      <sz val="8"/>
      <name val="Arial"/>
      <family val="2"/>
    </font>
    <font>
      <sz val="10"/>
      <color rgb="FF0071CE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Arial"/>
      <family val="2"/>
    </font>
    <font>
      <sz val="10"/>
      <color theme="0" tint="-0.49998474074526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0"/>
      <color rgb="FFC00000"/>
      <name val="Calibri"/>
      <family val="2"/>
      <scheme val="minor"/>
    </font>
    <font>
      <sz val="8"/>
      <color theme="1"/>
      <name val="Tahoma"/>
      <family val="2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9"/>
      <name val="Calibri"/>
      <family val="2"/>
      <scheme val="minor"/>
    </font>
    <font>
      <b/>
      <sz val="18"/>
      <name val="Calibri"/>
      <family val="2"/>
    </font>
    <font>
      <u/>
      <sz val="11"/>
      <color theme="10"/>
      <name val="Arial"/>
      <family val="2"/>
    </font>
    <font>
      <sz val="18"/>
      <name val="Calibri"/>
      <family val="2"/>
      <scheme val="minor"/>
    </font>
    <font>
      <sz val="11"/>
      <color rgb="FF242424"/>
      <name val="Aptos Narrow"/>
      <family val="2"/>
    </font>
    <font>
      <b/>
      <sz val="10"/>
      <color rgb="FF0071CE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FFFF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3595"/>
        <bgColor indexed="64"/>
      </patternFill>
    </fill>
    <fill>
      <patternFill patternType="solid">
        <fgColor rgb="FFDCECF5"/>
        <bgColor indexed="64"/>
      </patternFill>
    </fill>
    <fill>
      <patternFill patternType="solid">
        <fgColor rgb="FFFFFF00"/>
      </patternFill>
    </fill>
    <fill>
      <patternFill patternType="solid">
        <fgColor rgb="FFFFFFE0"/>
      </patternFill>
    </fill>
    <fill>
      <patternFill patternType="solid">
        <fgColor rgb="FF003479"/>
        <bgColor rgb="FF000000"/>
      </patternFill>
    </fill>
    <fill>
      <patternFill patternType="solid">
        <fgColor rgb="FFCCCC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CECF5"/>
        <bgColor rgb="FF000000"/>
      </patternFill>
    </fill>
    <fill>
      <patternFill patternType="solid">
        <fgColor rgb="FF003479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164" fontId="6" fillId="0" borderId="0" applyFill="0" applyBorder="0" applyProtection="0">
      <alignment vertical="top"/>
    </xf>
    <xf numFmtId="0" fontId="9" fillId="0" borderId="0"/>
    <xf numFmtId="9" fontId="10" fillId="0" borderId="0" applyFont="0" applyFill="0" applyBorder="0" applyAlignment="0" applyProtection="0"/>
    <xf numFmtId="164" fontId="14" fillId="0" borderId="0" applyFont="0" applyFill="0" applyBorder="0" applyProtection="0">
      <alignment vertical="top"/>
    </xf>
    <xf numFmtId="0" fontId="10" fillId="0" borderId="0"/>
    <xf numFmtId="165" fontId="6" fillId="0" borderId="0" applyFont="0" applyFill="0" applyBorder="0" applyProtection="0">
      <alignment vertical="top"/>
    </xf>
    <xf numFmtId="0" fontId="19" fillId="0" borderId="0" applyNumberFormat="0" applyFill="0" applyBorder="0" applyAlignment="0" applyProtection="0"/>
    <xf numFmtId="164" fontId="14" fillId="0" borderId="0" applyFont="0" applyFill="0" applyBorder="0" applyProtection="0">
      <alignment vertical="top"/>
    </xf>
  </cellStyleXfs>
  <cellXfs count="82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/>
    <xf numFmtId="1" fontId="1" fillId="0" borderId="0" xfId="0" applyNumberFormat="1" applyFont="1" applyAlignment="1">
      <alignment vertical="top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left" vertical="top"/>
    </xf>
    <xf numFmtId="0" fontId="5" fillId="0" borderId="0" xfId="0" applyFont="1" applyAlignment="1">
      <alignment vertical="top"/>
    </xf>
    <xf numFmtId="164" fontId="2" fillId="0" borderId="0" xfId="1" applyFont="1">
      <alignment vertical="top"/>
    </xf>
    <xf numFmtId="2" fontId="1" fillId="0" borderId="0" xfId="0" applyNumberFormat="1" applyFont="1" applyAlignment="1">
      <alignment vertical="top"/>
    </xf>
    <xf numFmtId="2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1" fillId="7" borderId="0" xfId="0" applyFont="1" applyFill="1" applyAlignment="1">
      <alignment vertical="top"/>
    </xf>
    <xf numFmtId="0" fontId="4" fillId="2" borderId="0" xfId="0" applyFont="1" applyFill="1" applyAlignment="1">
      <alignment horizontal="right" vertical="top"/>
    </xf>
    <xf numFmtId="0" fontId="5" fillId="0" borderId="0" xfId="0" applyFont="1" applyAlignment="1">
      <alignment horizontal="right" vertical="top"/>
    </xf>
    <xf numFmtId="0" fontId="1" fillId="0" borderId="0" xfId="0" applyFont="1" applyAlignment="1">
      <alignment horizontal="right" vertical="top"/>
    </xf>
    <xf numFmtId="2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164" fontId="2" fillId="0" borderId="0" xfId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2" fontId="1" fillId="0" borderId="0" xfId="0" applyNumberFormat="1" applyFont="1" applyAlignment="1">
      <alignment horizontal="right" vertical="top"/>
    </xf>
    <xf numFmtId="2" fontId="13" fillId="0" borderId="0" xfId="0" applyNumberFormat="1" applyFont="1" applyAlignment="1">
      <alignment horizontal="right" vertical="top"/>
    </xf>
    <xf numFmtId="0" fontId="11" fillId="0" borderId="0" xfId="0" applyFont="1" applyAlignment="1">
      <alignment horizontal="right" vertical="top"/>
    </xf>
    <xf numFmtId="164" fontId="2" fillId="0" borderId="0" xfId="1" applyFont="1" applyAlignment="1">
      <alignment horizontal="right" vertical="top"/>
    </xf>
    <xf numFmtId="164" fontId="12" fillId="0" borderId="0" xfId="1" applyFont="1" applyAlignment="1">
      <alignment horizontal="right" vertical="top"/>
    </xf>
    <xf numFmtId="0" fontId="1" fillId="7" borderId="0" xfId="0" applyFont="1" applyFill="1" applyAlignment="1">
      <alignment horizontal="right" vertical="top"/>
    </xf>
    <xf numFmtId="2" fontId="11" fillId="0" borderId="0" xfId="0" applyNumberFormat="1" applyFont="1" applyAlignment="1">
      <alignment horizontal="right" vertical="top"/>
    </xf>
    <xf numFmtId="9" fontId="13" fillId="0" borderId="0" xfId="3" applyFont="1" applyAlignment="1">
      <alignment horizontal="right" vertical="top"/>
    </xf>
    <xf numFmtId="9" fontId="8" fillId="0" borderId="0" xfId="3" applyFont="1" applyAlignment="1">
      <alignment horizontal="right" vertical="top"/>
    </xf>
    <xf numFmtId="1" fontId="1" fillId="0" borderId="0" xfId="0" applyNumberFormat="1" applyFont="1" applyAlignment="1">
      <alignment horizontal="right" vertical="top"/>
    </xf>
    <xf numFmtId="9" fontId="1" fillId="0" borderId="0" xfId="3" applyFont="1" applyAlignment="1">
      <alignment horizontal="right" vertical="top"/>
    </xf>
    <xf numFmtId="9" fontId="8" fillId="0" borderId="0" xfId="0" applyNumberFormat="1" applyFont="1" applyAlignment="1">
      <alignment horizontal="right" vertical="top"/>
    </xf>
    <xf numFmtId="164" fontId="4" fillId="2" borderId="0" xfId="4" applyFont="1" applyFill="1">
      <alignment vertical="top"/>
    </xf>
    <xf numFmtId="0" fontId="1" fillId="0" borderId="0" xfId="5" applyFont="1"/>
    <xf numFmtId="0" fontId="2" fillId="0" borderId="0" xfId="5" applyFont="1" applyAlignment="1">
      <alignment vertical="top"/>
    </xf>
    <xf numFmtId="0" fontId="3" fillId="0" borderId="0" xfId="5" applyFont="1" applyAlignment="1">
      <alignment vertical="top"/>
    </xf>
    <xf numFmtId="0" fontId="3" fillId="0" borderId="0" xfId="5" applyFont="1" applyAlignment="1">
      <alignment horizontal="center" vertical="top"/>
    </xf>
    <xf numFmtId="0" fontId="15" fillId="0" borderId="0" xfId="5" applyFont="1" applyAlignment="1">
      <alignment vertical="top"/>
    </xf>
    <xf numFmtId="0" fontId="16" fillId="0" borderId="0" xfId="5" applyFont="1" applyAlignment="1">
      <alignment vertical="top"/>
    </xf>
    <xf numFmtId="0" fontId="2" fillId="0" borderId="0" xfId="5" applyFont="1" applyAlignment="1">
      <alignment horizontal="centerContinuous" vertical="top"/>
    </xf>
    <xf numFmtId="0" fontId="17" fillId="0" borderId="0" xfId="5" applyFont="1" applyAlignment="1">
      <alignment horizontal="centerContinuous" vertical="top"/>
    </xf>
    <xf numFmtId="0" fontId="3" fillId="0" borderId="0" xfId="5" applyFont="1" applyAlignment="1">
      <alignment horizontal="centerContinuous" vertical="top"/>
    </xf>
    <xf numFmtId="0" fontId="2" fillId="0" borderId="0" xfId="5" applyFont="1" applyAlignment="1">
      <alignment horizontal="center" vertical="top"/>
    </xf>
    <xf numFmtId="0" fontId="15" fillId="0" borderId="0" xfId="5" applyFont="1" applyAlignment="1">
      <alignment horizontal="centerContinuous" vertical="top"/>
    </xf>
    <xf numFmtId="0" fontId="16" fillId="0" borderId="0" xfId="5" applyFont="1" applyAlignment="1">
      <alignment horizontal="centerContinuous" vertical="top"/>
    </xf>
    <xf numFmtId="0" fontId="5" fillId="8" borderId="0" xfId="5" applyFont="1" applyFill="1" applyAlignment="1">
      <alignment vertical="top"/>
    </xf>
    <xf numFmtId="0" fontId="1" fillId="0" borderId="0" xfId="5" applyFont="1" applyAlignment="1">
      <alignment vertical="top"/>
    </xf>
    <xf numFmtId="164" fontId="18" fillId="0" borderId="0" xfId="1" applyFont="1">
      <alignment vertical="top"/>
    </xf>
    <xf numFmtId="164" fontId="4" fillId="2" borderId="0" xfId="8" applyFont="1" applyFill="1">
      <alignment vertical="top"/>
    </xf>
    <xf numFmtId="164" fontId="3" fillId="2" borderId="0" xfId="1" applyFont="1" applyFill="1">
      <alignment vertical="top"/>
    </xf>
    <xf numFmtId="164" fontId="3" fillId="0" borderId="0" xfId="1" applyFont="1" applyFill="1">
      <alignment vertical="top"/>
    </xf>
    <xf numFmtId="164" fontId="20" fillId="0" borderId="0" xfId="1" applyFont="1" applyFill="1">
      <alignment vertical="top"/>
    </xf>
    <xf numFmtId="166" fontId="3" fillId="0" borderId="0" xfId="1" applyNumberFormat="1" applyFont="1" applyFill="1" applyAlignment="1">
      <alignment horizontal="left" vertical="top"/>
    </xf>
    <xf numFmtId="164" fontId="3" fillId="0" borderId="0" xfId="1" applyFont="1" applyFill="1" applyAlignment="1">
      <alignment horizontal="left" vertical="center"/>
    </xf>
    <xf numFmtId="167" fontId="3" fillId="0" borderId="0" xfId="6" applyNumberFormat="1" applyFont="1" applyFill="1" applyAlignment="1">
      <alignment horizontal="left" vertical="top"/>
    </xf>
    <xf numFmtId="164" fontId="19" fillId="0" borderId="0" xfId="7" applyNumberFormat="1" applyFill="1" applyAlignment="1">
      <alignment vertical="top"/>
    </xf>
    <xf numFmtId="164" fontId="1" fillId="0" borderId="0" xfId="8" applyFont="1" applyAlignment="1"/>
    <xf numFmtId="0" fontId="21" fillId="0" borderId="0" xfId="0" applyFont="1"/>
    <xf numFmtId="0" fontId="22" fillId="3" borderId="0" xfId="2" applyFont="1" applyFill="1" applyAlignment="1">
      <alignment vertical="center"/>
    </xf>
    <xf numFmtId="0" fontId="23" fillId="0" borderId="0" xfId="0" applyFont="1"/>
    <xf numFmtId="0" fontId="24" fillId="0" borderId="0" xfId="0" applyFont="1"/>
    <xf numFmtId="0" fontId="25" fillId="4" borderId="0" xfId="0" applyFont="1" applyFill="1"/>
    <xf numFmtId="0" fontId="23" fillId="5" borderId="0" xfId="0" applyFont="1" applyFill="1"/>
    <xf numFmtId="4" fontId="23" fillId="5" borderId="0" xfId="0" applyNumberFormat="1" applyFont="1" applyFill="1"/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right" vertical="center"/>
    </xf>
    <xf numFmtId="0" fontId="26" fillId="6" borderId="0" xfId="0" applyFont="1" applyFill="1"/>
    <xf numFmtId="0" fontId="26" fillId="6" borderId="0" xfId="0" applyFont="1" applyFill="1" applyAlignment="1">
      <alignment horizontal="left"/>
    </xf>
    <xf numFmtId="0" fontId="26" fillId="6" borderId="0" xfId="0" applyFont="1" applyFill="1" applyAlignment="1">
      <alignment horizontal="right"/>
    </xf>
    <xf numFmtId="0" fontId="23" fillId="0" borderId="0" xfId="0" applyFont="1" applyAlignment="1">
      <alignment horizontal="left"/>
    </xf>
    <xf numFmtId="0" fontId="23" fillId="0" borderId="0" xfId="0" applyFont="1" applyAlignment="1">
      <alignment horizontal="right"/>
    </xf>
    <xf numFmtId="0" fontId="23" fillId="10" borderId="0" xfId="0" applyFont="1" applyFill="1"/>
    <xf numFmtId="0" fontId="5" fillId="10" borderId="0" xfId="5" applyFont="1" applyFill="1" applyAlignment="1">
      <alignment vertical="top"/>
    </xf>
    <xf numFmtId="0" fontId="2" fillId="9" borderId="0" xfId="0" applyFont="1" applyFill="1" applyAlignment="1">
      <alignment vertical="center"/>
    </xf>
    <xf numFmtId="0" fontId="8" fillId="9" borderId="0" xfId="0" applyFont="1" applyFill="1" applyAlignment="1">
      <alignment vertical="center"/>
    </xf>
    <xf numFmtId="0" fontId="23" fillId="0" borderId="0" xfId="0" applyFont="1" applyProtection="1">
      <protection locked="0"/>
    </xf>
    <xf numFmtId="0" fontId="27" fillId="0" borderId="0" xfId="0" applyFont="1" applyProtection="1">
      <protection locked="0"/>
    </xf>
    <xf numFmtId="0" fontId="28" fillId="0" borderId="0" xfId="0" applyFont="1"/>
    <xf numFmtId="0" fontId="3" fillId="0" borderId="0" xfId="0" applyFont="1"/>
    <xf numFmtId="0" fontId="28" fillId="0" borderId="0" xfId="0" applyFont="1" applyAlignment="1">
      <alignment horizontal="left"/>
    </xf>
    <xf numFmtId="1" fontId="3" fillId="0" borderId="0" xfId="0" applyNumberFormat="1" applyFont="1"/>
    <xf numFmtId="9" fontId="23" fillId="0" borderId="0" xfId="0" applyNumberFormat="1" applyFont="1"/>
  </cellXfs>
  <cellStyles count="9">
    <cellStyle name="Hyperlink" xfId="7" builtinId="8"/>
    <cellStyle name="Normal" xfId="0" builtinId="0"/>
    <cellStyle name="Normal 2" xfId="1" xr:uid="{7B0540D0-879D-47A7-8A97-092585E19F6D}"/>
    <cellStyle name="Normal 3" xfId="4" xr:uid="{593DD815-0D18-495A-8277-290E2010EE99}"/>
    <cellStyle name="Normal 3 2" xfId="8" xr:uid="{567209F3-E2DB-408D-BFD5-611D53B4136D}"/>
    <cellStyle name="Normal 7" xfId="2" xr:uid="{77B897B4-101E-406C-88EA-F35488D45565}"/>
    <cellStyle name="Normal 8" xfId="5" xr:uid="{18E97403-3FF2-4176-BCFF-E1985B038D51}"/>
    <cellStyle name="Per cent" xfId="3" builtinId="5"/>
    <cellStyle name="Year" xfId="6" xr:uid="{B53F20BD-5048-41FD-AE70-3AF1BE4C77A0}"/>
  </cellStyles>
  <dxfs count="0"/>
  <tableStyles count="0" defaultTableStyle="TableStyleMedium2" defaultPivotStyle="PivotStyleLight16"/>
  <colors>
    <mruColors>
      <color rgb="FFFFDB8E"/>
      <color rgb="FFCCCCCE"/>
      <color rgb="FF0071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38916</xdr:colOff>
      <xdr:row>11</xdr:row>
      <xdr:rowOff>103413</xdr:rowOff>
    </xdr:from>
    <xdr:to>
      <xdr:col>8</xdr:col>
      <xdr:colOff>560101</xdr:colOff>
      <xdr:row>25</xdr:row>
      <xdr:rowOff>250031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0C7F9AA4-52C3-4851-8CE3-CD769D6F8592}"/>
            </a:ext>
          </a:extLst>
        </xdr:cNvPr>
        <xdr:cNvSpPr txBox="1"/>
      </xdr:nvSpPr>
      <xdr:spPr>
        <a:xfrm>
          <a:off x="619941" y="3475263"/>
          <a:ext cx="8988910" cy="3747068"/>
        </a:xfrm>
        <a:prstGeom prst="rect">
          <a:avLst/>
        </a:prstGeom>
        <a:noFill/>
        <a:ln>
          <a:noFill/>
        </a:ln>
      </xdr:spPr>
      <xdr:txBody>
        <a:bodyPr lIns="27432" tIns="22860" rIns="0" bIns="0" rtlCol="0"/>
        <a:lstStyle/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Summary of the model:</a:t>
          </a:r>
          <a:endParaRPr lang="en-US" sz="1000" b="1">
            <a:solidFill>
              <a:srgbClr val="000000"/>
            </a:solidFill>
            <a:latin typeface="+mn-lt"/>
            <a:ea typeface="+mn-lt"/>
            <a:cs typeface="+mn-lt"/>
          </a:endParaRPr>
        </a:p>
        <a:p>
          <a:endParaRPr lang="en-US" sz="1100" baseline="0"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effectLst/>
              <a:latin typeface="+mn-lt"/>
              <a:ea typeface="+mn-ea"/>
              <a:cs typeface="+mn-cs"/>
            </a:rPr>
            <a:t>This model uses historical data to forecast future performance percentiles for the PR24 common performance commitment: Storm Overflows (SOF).</a:t>
          </a:r>
          <a:endParaRPr lang="en-GB" sz="1000">
            <a:effectLst/>
          </a:endParaRPr>
        </a:p>
        <a:p>
          <a:r>
            <a:rPr lang="en-US" sz="1100" baseline="0">
              <a:effectLst/>
              <a:latin typeface="+mn-lt"/>
              <a:ea typeface="+mn-ea"/>
              <a:cs typeface="+mn-cs"/>
            </a:rPr>
            <a:t> </a:t>
          </a:r>
          <a:endParaRPr lang="en-GB" sz="1000">
            <a:effectLst/>
          </a:endParaRPr>
        </a:p>
        <a:p>
          <a:pPr eaLnBrk="1" fontAlgn="auto" latinLnBrk="0" hangingPunct="1"/>
          <a:r>
            <a:rPr lang="en-US" sz="1100" baseline="0">
              <a:effectLst/>
              <a:latin typeface="+mn-lt"/>
              <a:ea typeface="+mn-ea"/>
              <a:cs typeface="+mn-cs"/>
            </a:rPr>
            <a:t>As Storm Overflows (SOF) is a new performance commitment (PC) at PR24, there are no historical performance commitment levels (PCLs). Hence, an alternate approach is taken to calculate performance percentiles for this PC. </a:t>
          </a:r>
          <a:endParaRPr lang="en-GB" sz="1000">
            <a:effectLst/>
          </a:endParaRPr>
        </a:p>
        <a:p>
          <a:pPr eaLnBrk="1" fontAlgn="auto" latinLnBrk="0" hangingPunct="1"/>
          <a:r>
            <a:rPr lang="en-US" sz="1100" baseline="0">
              <a:effectLst/>
              <a:latin typeface="+mn-lt"/>
              <a:ea typeface="+mn-ea"/>
              <a:cs typeface="+mn-cs"/>
            </a:rPr>
            <a:t> </a:t>
          </a:r>
          <a:endParaRPr lang="en-GB" sz="1000">
            <a:effectLst/>
          </a:endParaRPr>
        </a:p>
        <a:p>
          <a:r>
            <a:rPr lang="en-US" sz="1100" baseline="0">
              <a:effectLst/>
              <a:latin typeface="+mn-lt"/>
              <a:ea typeface="+mn-ea"/>
              <a:cs typeface="+mn-cs"/>
            </a:rPr>
            <a:t>The outputs from this model will feed into the 'ODI Risk - 5 Year Additive Performance Range' model and the 'ODI Risk - Monte Carlo set up' model.</a:t>
          </a:r>
          <a:endParaRPr lang="en-GB" sz="1000">
            <a:effectLst/>
          </a:endParaRPr>
        </a:p>
        <a:p>
          <a:pPr marL="0" indent="0" algn="l"/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Quality assurance: </a:t>
          </a:r>
          <a:endParaRPr lang="en-US" sz="1000" b="1">
            <a:latin typeface="+mn-lt"/>
            <a:ea typeface="+mn-lt"/>
            <a:cs typeface="+mn-lt"/>
          </a:endParaRPr>
        </a:p>
        <a:p>
          <a:pPr marL="0" indent="0" algn="l"/>
          <a:endParaRPr lang="en-US" sz="1000">
            <a:latin typeface="+mn-lt"/>
            <a:ea typeface="+mn-lt"/>
            <a:cs typeface="+mn-lt"/>
          </a:endParaRPr>
        </a:p>
        <a:p>
          <a:pPr marL="0" indent="0" algn="l"/>
          <a:r>
            <a:rPr lang="en-US" sz="1000">
              <a:latin typeface="+mn-lt"/>
              <a:ea typeface="+mn-lt"/>
              <a:cs typeface="+mn-lt"/>
            </a:rPr>
            <a:t>An earlier model has been subject to Ofwat internal quality assurance </a:t>
          </a:r>
        </a:p>
        <a:p>
          <a:pPr marL="0" indent="0" algn="l"/>
          <a:r>
            <a:rPr lang="en-US" sz="1000">
              <a:latin typeface="+mn-lt"/>
              <a:ea typeface="+mn-lt"/>
              <a:cs typeface="+mn-lt"/>
            </a:rPr>
            <a:t>Further changes detailed below have been subject to internal QA.</a:t>
          </a:r>
        </a:p>
        <a:p>
          <a:pPr marL="0" indent="0" algn="l"/>
          <a:r>
            <a:rPr lang="en-US" sz="1000">
              <a:latin typeface="+mn-lt"/>
              <a:ea typeface="+mn-lt"/>
              <a:cs typeface="+mn-lt"/>
            </a:rPr>
            <a:t>  </a:t>
          </a:r>
          <a:endParaRPr lang="en-US" sz="1000" b="1">
            <a:solidFill>
              <a:srgbClr val="000000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000" b="1">
              <a:solidFill>
                <a:srgbClr val="000000"/>
              </a:solidFill>
              <a:latin typeface="+mn-lt"/>
              <a:ea typeface="+mn-lt"/>
              <a:cs typeface="+mn-lt"/>
            </a:rPr>
            <a:t>Disclaimer:</a:t>
          </a:r>
        </a:p>
        <a:p>
          <a:pPr marL="0" indent="0" algn="l"/>
          <a:endParaRPr lang="en-US" sz="1000">
            <a:solidFill>
              <a:srgbClr val="000000"/>
            </a:solidFill>
            <a:latin typeface="+mn-lt"/>
            <a:ea typeface="+mn-lt"/>
            <a:cs typeface="+mn-lt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00" i="0">
              <a:effectLst/>
              <a:latin typeface="+mn-lt"/>
              <a:ea typeface="+mn-ea"/>
              <a:cs typeface="+mn-cs"/>
            </a:rPr>
            <a:t>This model is part of our final determinations setting out the price, service, and incentive package for water companies for the period 2025-30. It should be read together with the other documents and information that we have now published.</a:t>
          </a:r>
        </a:p>
        <a:p>
          <a:pPr marL="0" indent="0" algn="l"/>
          <a:endParaRPr lang="en-GB" sz="1000" i="0"/>
        </a:p>
        <a:p>
          <a:pPr marL="0" indent="0" algn="l"/>
          <a:endParaRPr lang="en-US" sz="1000" b="1">
            <a:solidFill>
              <a:srgbClr val="000000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000" b="1">
              <a:solidFill>
                <a:srgbClr val="000000"/>
              </a:solidFill>
              <a:latin typeface="+mn-lt"/>
              <a:ea typeface="+mn-lt"/>
              <a:cs typeface="+mn-lt"/>
            </a:rPr>
            <a:t>Changes since previous published model:</a:t>
          </a:r>
        </a:p>
        <a:p>
          <a:pPr marL="0" indent="0" algn="l"/>
          <a:endParaRPr lang="en-US" sz="1100" b="1">
            <a:solidFill>
              <a:srgbClr val="000000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GB" sz="1100" b="0">
              <a:effectLst/>
              <a:latin typeface="+mn-lt"/>
              <a:ea typeface="+mn-ea"/>
              <a:cs typeface="+mn-cs"/>
            </a:rPr>
            <a:t>This</a:t>
          </a:r>
          <a:r>
            <a:rPr lang="en-GB" sz="1100" b="0" baseline="0">
              <a:effectLst/>
              <a:latin typeface="+mn-lt"/>
              <a:ea typeface="+mn-ea"/>
              <a:cs typeface="+mn-cs"/>
            </a:rPr>
            <a:t> model has been updated with an additional year of outturn data from 2023-24</a:t>
          </a:r>
          <a:endParaRPr lang="en-US" sz="1000" b="0">
            <a:solidFill>
              <a:srgbClr val="000000"/>
            </a:solidFill>
            <a:latin typeface="+mn-lt"/>
            <a:ea typeface="+mn-lt"/>
            <a:cs typeface="+mn-lt"/>
          </a:endParaRPr>
        </a:p>
      </xdr:txBody>
    </xdr:sp>
    <xdr:clientData/>
  </xdr:twoCellAnchor>
  <xdr:oneCellAnchor>
    <xdr:from>
      <xdr:col>6</xdr:col>
      <xdr:colOff>514351</xdr:colOff>
      <xdr:row>1</xdr:row>
      <xdr:rowOff>9524</xdr:rowOff>
    </xdr:from>
    <xdr:ext cx="1667736" cy="922911"/>
    <xdr:pic>
      <xdr:nvPicPr>
        <xdr:cNvPr id="3" name="Picture 2">
          <a:extLst>
            <a:ext uri="{FF2B5EF4-FFF2-40B4-BE49-F238E27FC236}">
              <a16:creationId xmlns:a16="http://schemas.microsoft.com/office/drawing/2014/main" id="{E55FA069-E03C-49B9-966B-A5C1A81EE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3901" y="614362"/>
          <a:ext cx="1667736" cy="92291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1076325</xdr:colOff>
      <xdr:row>13</xdr:row>
      <xdr:rowOff>57151</xdr:rowOff>
    </xdr:from>
    <xdr:to>
      <xdr:col>11</xdr:col>
      <xdr:colOff>1990725</xdr:colOff>
      <xdr:row>17</xdr:row>
      <xdr:rowOff>38101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647B64C-A176-4BEA-9B31-33198A5ED1EE}"/>
            </a:ext>
            <a:ext uri="{147F2762-F138-4A5C-976F-8EAC2B608ADB}">
              <a16:predDERef xmlns:a16="http://schemas.microsoft.com/office/drawing/2014/main" pred="{11E38DBC-E608-4456-AC12-68A577DC9077}"/>
            </a:ext>
          </a:extLst>
        </xdr:cNvPr>
        <xdr:cNvSpPr/>
      </xdr:nvSpPr>
      <xdr:spPr>
        <a:xfrm>
          <a:off x="5248275" y="2447926"/>
          <a:ext cx="914400" cy="64770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cs typeface="Calibri" panose="020F0502020204030204" pitchFamily="34" charset="0"/>
            </a:rPr>
            <a:t>Percentiles</a:t>
          </a:r>
        </a:p>
      </xdr:txBody>
    </xdr:sp>
    <xdr:clientData/>
  </xdr:twoCellAnchor>
  <xdr:twoCellAnchor>
    <xdr:from>
      <xdr:col>5</xdr:col>
      <xdr:colOff>290513</xdr:colOff>
      <xdr:row>13</xdr:row>
      <xdr:rowOff>28576</xdr:rowOff>
    </xdr:from>
    <xdr:to>
      <xdr:col>7</xdr:col>
      <xdr:colOff>681038</xdr:colOff>
      <xdr:row>17</xdr:row>
      <xdr:rowOff>9526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1134EF3-2AA0-4717-9974-63055189703E}"/>
            </a:ext>
            <a:ext uri="{147F2762-F138-4A5C-976F-8EAC2B608ADB}">
              <a16:predDERef xmlns:a16="http://schemas.microsoft.com/office/drawing/2014/main" pred="{C959A03A-A276-444E-B046-697D41FDDEE4}"/>
            </a:ext>
          </a:extLst>
        </xdr:cNvPr>
        <xdr:cNvSpPr/>
      </xdr:nvSpPr>
      <xdr:spPr>
        <a:xfrm>
          <a:off x="938213" y="2419351"/>
          <a:ext cx="914400" cy="64770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cs typeface="Calibri" panose="020F0502020204030204" pitchFamily="34" charset="0"/>
            </a:rPr>
            <a:t>Inputs_All</a:t>
          </a:r>
        </a:p>
      </xdr:txBody>
    </xdr:sp>
    <xdr:clientData/>
  </xdr:twoCellAnchor>
  <xdr:twoCellAnchor>
    <xdr:from>
      <xdr:col>7</xdr:col>
      <xdr:colOff>1033461</xdr:colOff>
      <xdr:row>8</xdr:row>
      <xdr:rowOff>147637</xdr:rowOff>
    </xdr:from>
    <xdr:to>
      <xdr:col>7</xdr:col>
      <xdr:colOff>1947861</xdr:colOff>
      <xdr:row>12</xdr:row>
      <xdr:rowOff>123824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5FA1623-06A9-440A-9F58-17B1E73AC4EA}"/>
            </a:ext>
            <a:ext uri="{147F2762-F138-4A5C-976F-8EAC2B608ADB}">
              <a16:predDERef xmlns:a16="http://schemas.microsoft.com/office/drawing/2014/main" pred="{91134EF3-2AA0-4717-9974-63055189703E}"/>
            </a:ext>
          </a:extLst>
        </xdr:cNvPr>
        <xdr:cNvSpPr/>
      </xdr:nvSpPr>
      <xdr:spPr>
        <a:xfrm>
          <a:off x="2205036" y="1704975"/>
          <a:ext cx="914400" cy="642937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cs typeface="Calibri" panose="020F0502020204030204" pitchFamily="34" charset="0"/>
            </a:rPr>
            <a:t>Proxy PCL</a:t>
          </a:r>
        </a:p>
      </xdr:txBody>
    </xdr:sp>
    <xdr:clientData/>
  </xdr:twoCellAnchor>
  <xdr:twoCellAnchor>
    <xdr:from>
      <xdr:col>7</xdr:col>
      <xdr:colOff>2105025</xdr:colOff>
      <xdr:row>13</xdr:row>
      <xdr:rowOff>61913</xdr:rowOff>
    </xdr:from>
    <xdr:to>
      <xdr:col>11</xdr:col>
      <xdr:colOff>476251</xdr:colOff>
      <xdr:row>17</xdr:row>
      <xdr:rowOff>42863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90149CB-F20D-4843-A4F5-15BA0935C05F}"/>
            </a:ext>
            <a:ext uri="{147F2762-F138-4A5C-976F-8EAC2B608ADB}">
              <a16:predDERef xmlns:a16="http://schemas.microsoft.com/office/drawing/2014/main" pred="{D5FA1623-06A9-440A-9F58-17B1E73AC4EA}"/>
            </a:ext>
          </a:extLst>
        </xdr:cNvPr>
        <xdr:cNvSpPr/>
      </xdr:nvSpPr>
      <xdr:spPr>
        <a:xfrm>
          <a:off x="3276600" y="2452688"/>
          <a:ext cx="1371601" cy="64770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cs typeface="Calibri" panose="020F0502020204030204" pitchFamily="34" charset="0"/>
            </a:rPr>
            <a:t>Difference to PCL</a:t>
          </a:r>
        </a:p>
      </xdr:txBody>
    </xdr:sp>
    <xdr:clientData/>
  </xdr:twoCellAnchor>
  <xdr:twoCellAnchor>
    <xdr:from>
      <xdr:col>13</xdr:col>
      <xdr:colOff>185737</xdr:colOff>
      <xdr:row>13</xdr:row>
      <xdr:rowOff>57152</xdr:rowOff>
    </xdr:from>
    <xdr:to>
      <xdr:col>16</xdr:col>
      <xdr:colOff>385762</xdr:colOff>
      <xdr:row>17</xdr:row>
      <xdr:rowOff>33339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DD74FD0-3374-4356-A612-EB4E4ADB64D2}"/>
            </a:ext>
            <a:ext uri="{147F2762-F138-4A5C-976F-8EAC2B608ADB}">
              <a16:predDERef xmlns:a16="http://schemas.microsoft.com/office/drawing/2014/main" pred="{790149CB-F20D-4843-A4F5-15BA0935C05F}"/>
            </a:ext>
          </a:extLst>
        </xdr:cNvPr>
        <xdr:cNvSpPr/>
      </xdr:nvSpPr>
      <xdr:spPr>
        <a:xfrm>
          <a:off x="6834187" y="2447927"/>
          <a:ext cx="914400" cy="642937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cs typeface="Calibri" panose="020F0502020204030204" pitchFamily="34" charset="0"/>
            </a:rPr>
            <a:t>Final Output</a:t>
          </a:r>
        </a:p>
      </xdr:txBody>
    </xdr:sp>
    <xdr:clientData/>
  </xdr:twoCellAnchor>
  <xdr:twoCellAnchor>
    <xdr:from>
      <xdr:col>7</xdr:col>
      <xdr:colOff>223838</xdr:colOff>
      <xdr:row>10</xdr:row>
      <xdr:rowOff>135732</xdr:rowOff>
    </xdr:from>
    <xdr:to>
      <xdr:col>7</xdr:col>
      <xdr:colOff>1033461</xdr:colOff>
      <xdr:row>13</xdr:row>
      <xdr:rowOff>28577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E4B0716B-90ED-F006-13F1-7E839542EA5D}"/>
            </a:ext>
          </a:extLst>
        </xdr:cNvPr>
        <xdr:cNvCxnSpPr>
          <a:stCxn id="5" idx="0"/>
          <a:endCxn id="6" idx="1"/>
        </xdr:cNvCxnSpPr>
      </xdr:nvCxnSpPr>
      <xdr:spPr>
        <a:xfrm rot="5400000" flipH="1" flipV="1">
          <a:off x="1603771" y="1818087"/>
          <a:ext cx="392907" cy="80962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223839</xdr:colOff>
      <xdr:row>17</xdr:row>
      <xdr:rowOff>9525</xdr:rowOff>
    </xdr:from>
    <xdr:to>
      <xdr:col>9</xdr:col>
      <xdr:colOff>314327</xdr:colOff>
      <xdr:row>17</xdr:row>
      <xdr:rowOff>42862</xdr:rowOff>
    </xdr:to>
    <xdr:cxnSp macro="">
      <xdr:nvCxnSpPr>
        <xdr:cNvPr id="15" name="Connector: Elbow 14">
          <a:extLst>
            <a:ext uri="{FF2B5EF4-FFF2-40B4-BE49-F238E27FC236}">
              <a16:creationId xmlns:a16="http://schemas.microsoft.com/office/drawing/2014/main" id="{78CB8537-19A2-DA7A-5899-BD2F8B1C055D}"/>
            </a:ext>
          </a:extLst>
        </xdr:cNvPr>
        <xdr:cNvCxnSpPr>
          <a:stCxn id="5" idx="2"/>
          <a:endCxn id="7" idx="2"/>
        </xdr:cNvCxnSpPr>
      </xdr:nvCxnSpPr>
      <xdr:spPr>
        <a:xfrm rot="16200000" flipH="1">
          <a:off x="2662239" y="1800225"/>
          <a:ext cx="33337" cy="2566988"/>
        </a:xfrm>
        <a:prstGeom prst="bentConnector3">
          <a:avLst>
            <a:gd name="adj1" fmla="val 78572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1947861</xdr:colOff>
      <xdr:row>10</xdr:row>
      <xdr:rowOff>135731</xdr:rowOff>
    </xdr:from>
    <xdr:to>
      <xdr:col>9</xdr:col>
      <xdr:colOff>314326</xdr:colOff>
      <xdr:row>13</xdr:row>
      <xdr:rowOff>61913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33BBA8D8-37EF-E646-8DC1-74AF03200355}"/>
            </a:ext>
          </a:extLst>
        </xdr:cNvPr>
        <xdr:cNvCxnSpPr>
          <a:stCxn id="6" idx="3"/>
          <a:endCxn id="7" idx="0"/>
        </xdr:cNvCxnSpPr>
      </xdr:nvCxnSpPr>
      <xdr:spPr>
        <a:xfrm>
          <a:off x="3119436" y="2026444"/>
          <a:ext cx="842965" cy="42624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476251</xdr:colOff>
      <xdr:row>15</xdr:row>
      <xdr:rowOff>47626</xdr:rowOff>
    </xdr:from>
    <xdr:to>
      <xdr:col>11</xdr:col>
      <xdr:colOff>1076325</xdr:colOff>
      <xdr:row>15</xdr:row>
      <xdr:rowOff>52388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FE6FADD7-C280-AFBC-352D-88FAD5AE31E3}"/>
            </a:ext>
          </a:extLst>
        </xdr:cNvPr>
        <xdr:cNvCxnSpPr>
          <a:stCxn id="7" idx="3"/>
          <a:endCxn id="3" idx="1"/>
        </xdr:cNvCxnSpPr>
      </xdr:nvCxnSpPr>
      <xdr:spPr>
        <a:xfrm flipV="1">
          <a:off x="4648201" y="2771776"/>
          <a:ext cx="600074" cy="47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1990725</xdr:colOff>
      <xdr:row>15</xdr:row>
      <xdr:rowOff>45246</xdr:rowOff>
    </xdr:from>
    <xdr:to>
      <xdr:col>13</xdr:col>
      <xdr:colOff>185737</xdr:colOff>
      <xdr:row>15</xdr:row>
      <xdr:rowOff>47626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B9F688AB-CB05-AA57-B9EE-F4E067344EB9}"/>
            </a:ext>
          </a:extLst>
        </xdr:cNvPr>
        <xdr:cNvCxnSpPr>
          <a:stCxn id="3" idx="3"/>
          <a:endCxn id="8" idx="1"/>
        </xdr:cNvCxnSpPr>
      </xdr:nvCxnSpPr>
      <xdr:spPr>
        <a:xfrm flipV="1">
          <a:off x="6162675" y="2769396"/>
          <a:ext cx="671512" cy="23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PR24@ofwat.gov.uk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A9A09-CFB9-4CBC-8B71-27657CF2856E}">
  <sheetPr>
    <tabColor rgb="FFCCCCCE"/>
    <outlinePr summaryBelow="0" summaryRight="0"/>
  </sheetPr>
  <dimension ref="A1:XFC91"/>
  <sheetViews>
    <sheetView showGridLines="0" tabSelected="1" zoomScale="80" zoomScaleNormal="80" workbookViewId="0"/>
  </sheetViews>
  <sheetFormatPr defaultColWidth="8" defaultRowHeight="0" customHeight="1" zeroHeight="1" x14ac:dyDescent="0.35"/>
  <cols>
    <col min="1" max="1" width="7.625" style="49" customWidth="1"/>
    <col min="2" max="2" width="57.625" style="49" bestFit="1" customWidth="1"/>
    <col min="3" max="3" width="13.5" style="49" customWidth="1"/>
    <col min="4" max="11" width="8" style="49" customWidth="1"/>
    <col min="12" max="13" width="8" style="49" hidden="1" customWidth="1"/>
    <col min="14" max="16383" width="0" style="49" hidden="1" customWidth="1"/>
    <col min="16384" max="16384" width="8.25" style="49" hidden="1" customWidth="1"/>
  </cols>
  <sheetData>
    <row r="1" spans="1:10" ht="30.75" x14ac:dyDescent="0.35">
      <c r="A1" s="47" t="str">
        <f ca="1" xml:space="preserve"> RIGHT(CELL("filename", $A$1), LEN(CELL("filename", $A$1)) - SEARCH("]", CELL("filename", $A$1)))</f>
        <v>Cover</v>
      </c>
      <c r="B1" s="47"/>
      <c r="C1" s="48"/>
      <c r="D1" s="48"/>
      <c r="E1" s="48"/>
      <c r="F1" s="48"/>
      <c r="G1" s="48"/>
      <c r="H1" s="48"/>
      <c r="I1" s="48"/>
      <c r="J1" s="48"/>
    </row>
    <row r="2" spans="1:10" ht="13.15" x14ac:dyDescent="0.35"/>
    <row r="3" spans="1:10" s="50" customFormat="1" ht="23.25" x14ac:dyDescent="0.35">
      <c r="B3" s="46" t="s">
        <v>2</v>
      </c>
    </row>
    <row r="4" spans="1:10" ht="13.15" x14ac:dyDescent="0.35"/>
    <row r="5" spans="1:10" ht="13.15" x14ac:dyDescent="0.35">
      <c r="B5" s="49" t="s">
        <v>129</v>
      </c>
      <c r="C5" s="51" t="s">
        <v>131</v>
      </c>
    </row>
    <row r="6" spans="1:10" ht="13.15" x14ac:dyDescent="0.35">
      <c r="B6" s="49" t="s">
        <v>3</v>
      </c>
      <c r="C6" s="51">
        <v>1</v>
      </c>
    </row>
    <row r="7" spans="1:10" ht="13.15" x14ac:dyDescent="0.35">
      <c r="B7" s="49" t="s">
        <v>4</v>
      </c>
      <c r="C7" s="52" t="str">
        <f ca="1" xml:space="preserve"> MID(CELL("filename"), FIND("[", CELL("filename"), 1) + 1, FIND("]", CELL("filename"), 1) - FIND("[", CELL("filename"), 1) - 1)</f>
        <v>PR24 FD OC15 ODI risk - Feeder Model (Storm Overflows).xlsx</v>
      </c>
    </row>
    <row r="8" spans="1:10" ht="13.15" x14ac:dyDescent="0.35">
      <c r="B8" s="49" t="s">
        <v>5</v>
      </c>
      <c r="C8" s="53">
        <v>45627</v>
      </c>
    </row>
    <row r="9" spans="1:10" ht="13.15" x14ac:dyDescent="0.35"/>
    <row r="10" spans="1:10" ht="13.5" x14ac:dyDescent="0.35">
      <c r="B10" s="49" t="s">
        <v>6</v>
      </c>
      <c r="C10" s="54" t="s">
        <v>7</v>
      </c>
    </row>
    <row r="11" spans="1:10" ht="13.15" x14ac:dyDescent="0.4">
      <c r="C11" s="55"/>
    </row>
    <row r="12" spans="1:10" ht="13.15" x14ac:dyDescent="0.35"/>
    <row r="13" spans="1:10" ht="13.15" x14ac:dyDescent="0.35"/>
    <row r="14" spans="1:10" ht="13.15" x14ac:dyDescent="0.35"/>
    <row r="15" spans="1:10" ht="13.15" x14ac:dyDescent="0.35"/>
    <row r="16" spans="1:10" ht="13.15" x14ac:dyDescent="0.35"/>
    <row r="17" spans="2:2" ht="13.15" x14ac:dyDescent="0.35"/>
    <row r="18" spans="2:2" ht="13.15" x14ac:dyDescent="0.35"/>
    <row r="19" spans="2:2" ht="13.15" x14ac:dyDescent="0.35"/>
    <row r="20" spans="2:2" ht="14.25" x14ac:dyDescent="0.45">
      <c r="B20" s="56"/>
    </row>
    <row r="21" spans="2:2" ht="13.15" x14ac:dyDescent="0.35"/>
    <row r="22" spans="2:2" ht="13.15" x14ac:dyDescent="0.35"/>
    <row r="23" spans="2:2" ht="13.15" x14ac:dyDescent="0.35"/>
    <row r="24" spans="2:2" ht="13.15" x14ac:dyDescent="0.35"/>
    <row r="25" spans="2:2" ht="13.15" x14ac:dyDescent="0.35"/>
    <row r="26" spans="2:2" ht="13.15" x14ac:dyDescent="0.35"/>
    <row r="27" spans="2:2" ht="13.15" x14ac:dyDescent="0.35"/>
    <row r="28" spans="2:2" ht="13.15" x14ac:dyDescent="0.35"/>
    <row r="29" spans="2:2" ht="13.15" x14ac:dyDescent="0.35"/>
    <row r="30" spans="2:2" ht="13.15" x14ac:dyDescent="0.35"/>
    <row r="31" spans="2:2" ht="13.15" x14ac:dyDescent="0.35"/>
    <row r="32" spans="2:2" ht="13.15" x14ac:dyDescent="0.35"/>
    <row r="33" ht="13.15" x14ac:dyDescent="0.35"/>
    <row r="34" ht="13.15" x14ac:dyDescent="0.35"/>
    <row r="35" ht="13.15" x14ac:dyDescent="0.35"/>
    <row r="36" ht="13.15" x14ac:dyDescent="0.35"/>
    <row r="37" ht="13.15" hidden="1" x14ac:dyDescent="0.35"/>
    <row r="38" ht="13.15" hidden="1" x14ac:dyDescent="0.35"/>
    <row r="39" ht="13.5" hidden="1" customHeight="1" x14ac:dyDescent="0.35"/>
    <row r="40" ht="13.5" hidden="1" customHeight="1" x14ac:dyDescent="0.35"/>
    <row r="41" ht="13.5" hidden="1" customHeight="1" x14ac:dyDescent="0.35"/>
    <row r="42" ht="13.5" hidden="1" customHeight="1" x14ac:dyDescent="0.35"/>
    <row r="43" ht="13.5" hidden="1" customHeight="1" x14ac:dyDescent="0.35"/>
    <row r="44" ht="13.5" hidden="1" customHeight="1" x14ac:dyDescent="0.35"/>
    <row r="45" ht="13.5" hidden="1" customHeight="1" x14ac:dyDescent="0.35"/>
    <row r="46" ht="13.5" hidden="1" customHeight="1" x14ac:dyDescent="0.35"/>
    <row r="47" ht="13.5" hidden="1" customHeight="1" x14ac:dyDescent="0.35"/>
    <row r="48" ht="13.5" hidden="1" customHeight="1" x14ac:dyDescent="0.35"/>
    <row r="49" ht="13.5" hidden="1" customHeight="1" x14ac:dyDescent="0.35"/>
    <row r="50" ht="13.5" hidden="1" customHeight="1" x14ac:dyDescent="0.35"/>
    <row r="51" ht="13.5" hidden="1" customHeight="1" x14ac:dyDescent="0.35"/>
    <row r="52" ht="13.5" hidden="1" customHeight="1" x14ac:dyDescent="0.35"/>
    <row r="53" ht="13.5" hidden="1" customHeight="1" x14ac:dyDescent="0.35"/>
    <row r="54" ht="13.5" hidden="1" customHeight="1" x14ac:dyDescent="0.35"/>
    <row r="55" ht="13.5" hidden="1" customHeight="1" x14ac:dyDescent="0.35"/>
    <row r="56" ht="13.5" hidden="1" customHeight="1" x14ac:dyDescent="0.35"/>
    <row r="57" ht="13.5" hidden="1" customHeight="1" x14ac:dyDescent="0.35"/>
    <row r="58" ht="13.5" hidden="1" customHeight="1" x14ac:dyDescent="0.35"/>
    <row r="59" ht="13.5" hidden="1" customHeight="1" x14ac:dyDescent="0.35"/>
    <row r="60" ht="13.5" hidden="1" customHeight="1" x14ac:dyDescent="0.35"/>
    <row r="61" ht="13.5" hidden="1" customHeight="1" x14ac:dyDescent="0.35"/>
    <row r="62" ht="13.5" hidden="1" customHeight="1" x14ac:dyDescent="0.35"/>
    <row r="63" ht="13.5" hidden="1" customHeight="1" x14ac:dyDescent="0.35"/>
    <row r="64" ht="13.5" hidden="1" customHeight="1" x14ac:dyDescent="0.35"/>
    <row r="65" ht="13.5" hidden="1" customHeight="1" x14ac:dyDescent="0.35"/>
    <row r="66" ht="13.5" hidden="1" customHeight="1" x14ac:dyDescent="0.35"/>
    <row r="67" ht="13.5" hidden="1" customHeight="1" x14ac:dyDescent="0.35"/>
    <row r="68" ht="13.5" hidden="1" customHeight="1" x14ac:dyDescent="0.35"/>
    <row r="69" ht="13.5" hidden="1" customHeight="1" x14ac:dyDescent="0.35"/>
    <row r="70" ht="13.5" hidden="1" customHeight="1" x14ac:dyDescent="0.35"/>
    <row r="71" ht="13.5" hidden="1" customHeight="1" x14ac:dyDescent="0.35"/>
    <row r="72" ht="13.5" hidden="1" customHeight="1" x14ac:dyDescent="0.35"/>
    <row r="73" ht="13.5" hidden="1" customHeight="1" x14ac:dyDescent="0.35"/>
    <row r="74" ht="13.5" hidden="1" customHeight="1" x14ac:dyDescent="0.35"/>
    <row r="75" ht="13.5" hidden="1" customHeight="1" x14ac:dyDescent="0.35"/>
    <row r="76" ht="13.5" hidden="1" customHeight="1" x14ac:dyDescent="0.35"/>
    <row r="77" ht="13.5" hidden="1" customHeight="1" x14ac:dyDescent="0.35"/>
    <row r="78" ht="13.5" hidden="1" customHeight="1" x14ac:dyDescent="0.35"/>
    <row r="79" ht="13.5" hidden="1" customHeight="1" x14ac:dyDescent="0.35"/>
    <row r="80" ht="13.5" hidden="1" customHeight="1" x14ac:dyDescent="0.35"/>
    <row r="81" ht="13.5" hidden="1" customHeight="1" x14ac:dyDescent="0.35"/>
    <row r="82" ht="13.5" hidden="1" customHeight="1" x14ac:dyDescent="0.35"/>
    <row r="83" ht="13.5" hidden="1" customHeight="1" x14ac:dyDescent="0.35"/>
    <row r="84" ht="13.5" hidden="1" customHeight="1" x14ac:dyDescent="0.35"/>
    <row r="85" ht="13.5" hidden="1" customHeight="1" x14ac:dyDescent="0.35"/>
    <row r="86" ht="13.5" hidden="1" customHeight="1" x14ac:dyDescent="0.35"/>
    <row r="87" ht="13.5" hidden="1" customHeight="1" x14ac:dyDescent="0.35"/>
    <row r="88" ht="13.5" hidden="1" customHeight="1" x14ac:dyDescent="0.35"/>
    <row r="89" ht="13.5" hidden="1" customHeight="1" x14ac:dyDescent="0.35"/>
    <row r="90" ht="13.5" hidden="1" customHeight="1" x14ac:dyDescent="0.35"/>
    <row r="91" ht="13.5" hidden="1" customHeight="1" x14ac:dyDescent="0.35"/>
  </sheetData>
  <hyperlinks>
    <hyperlink ref="C10" r:id="rId1" xr:uid="{0F118A8E-7E9C-4269-B6E0-A952E22E03BB}"/>
  </hyperlinks>
  <pageMargins left="0.7" right="0.7" top="0.75" bottom="0.75" header="0.3" footer="0.3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53D6A-F2C5-4EEE-AFD8-9C3159BEE8FB}">
  <sheetPr codeName="Sheet2">
    <tabColor rgb="FFCCCCCE"/>
    <pageSetUpPr fitToPage="1"/>
  </sheetPr>
  <dimension ref="A1:AX28"/>
  <sheetViews>
    <sheetView showGridLines="0" zoomScale="80" zoomScaleNormal="80" workbookViewId="0"/>
  </sheetViews>
  <sheetFormatPr defaultColWidth="0" defaultRowHeight="13.15" customHeight="1" zeroHeight="1" x14ac:dyDescent="0.4"/>
  <cols>
    <col min="1" max="4" width="1.5" style="45" customWidth="1"/>
    <col min="5" max="5" width="2.5" style="45" customWidth="1"/>
    <col min="6" max="6" width="4.375" style="45" customWidth="1"/>
    <col min="7" max="7" width="2.5" style="45" customWidth="1"/>
    <col min="8" max="8" width="30" style="45" customWidth="1"/>
    <col min="9" max="9" width="2.5" style="45" customWidth="1"/>
    <col min="10" max="10" width="4.375" style="45" customWidth="1"/>
    <col min="11" max="11" width="2.5" style="45" customWidth="1"/>
    <col min="12" max="12" width="30" style="45" customWidth="1"/>
    <col min="13" max="13" width="2.5" style="45" customWidth="1"/>
    <col min="14" max="14" width="4.375" style="45" customWidth="1"/>
    <col min="15" max="16" width="2.5" style="45" customWidth="1"/>
    <col min="17" max="17" width="30" style="45" customWidth="1"/>
    <col min="18" max="20" width="2.5" style="45" hidden="1" customWidth="1"/>
    <col min="21" max="21" width="4.375" style="45" hidden="1" customWidth="1"/>
    <col min="22" max="22" width="2.5" style="45" hidden="1" customWidth="1"/>
    <col min="23" max="23" width="30" style="45" hidden="1" customWidth="1"/>
    <col min="24" max="24" width="2.5" style="45" hidden="1" customWidth="1"/>
    <col min="25" max="25" width="4.375" style="45" hidden="1" customWidth="1"/>
    <col min="26" max="26" width="2.5" style="45" hidden="1" customWidth="1"/>
    <col min="27" max="27" width="30" style="45" hidden="1" customWidth="1"/>
    <col min="28" max="28" width="2.5" style="45" hidden="1" customWidth="1"/>
    <col min="29" max="29" width="4.375" style="45" hidden="1" customWidth="1"/>
    <col min="30" max="30" width="5.5" style="45" hidden="1" customWidth="1"/>
    <col min="31" max="32" width="2.5" style="45" hidden="1" customWidth="1"/>
    <col min="33" max="33" width="30" style="45" hidden="1" customWidth="1"/>
    <col min="34" max="34" width="2.5" style="45" hidden="1" customWidth="1"/>
    <col min="35" max="35" width="5.5" style="45" hidden="1" customWidth="1"/>
    <col min="36" max="36" width="2.5" style="45" hidden="1" customWidth="1"/>
    <col min="37" max="37" width="30" style="45" hidden="1" customWidth="1"/>
    <col min="38" max="39" width="2.5" style="45" hidden="1" customWidth="1"/>
    <col min="40" max="40" width="6.75" style="32" hidden="1" customWidth="1"/>
    <col min="41" max="50" width="6.875" style="32" hidden="1" customWidth="1"/>
    <col min="51" max="16384" width="6.75" style="32" hidden="1"/>
  </cols>
  <sheetData>
    <row r="1" spans="1:40" ht="30.75" x14ac:dyDescent="0.4">
      <c r="A1" s="31" t="str">
        <f ca="1" xml:space="preserve"> RIGHT(CELL("filename", A1), LEN(CELL("filename", A1)) - SEARCH("]", CELL("filename", A1)))</f>
        <v>Conceptual Model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</row>
    <row r="2" spans="1:40" x14ac:dyDescent="0.4">
      <c r="A2" s="33"/>
      <c r="B2" s="34"/>
      <c r="C2" s="34"/>
      <c r="D2" s="34"/>
      <c r="E2" s="34"/>
      <c r="F2" s="34"/>
      <c r="G2" s="34"/>
      <c r="H2" s="35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</row>
    <row r="3" spans="1:40" s="57" customFormat="1" x14ac:dyDescent="0.35">
      <c r="A3" s="57" t="s">
        <v>8</v>
      </c>
    </row>
    <row r="4" spans="1:40" x14ac:dyDescent="0.4">
      <c r="A4" s="33"/>
      <c r="B4" s="34"/>
      <c r="C4" s="34"/>
      <c r="D4" s="34"/>
      <c r="E4" s="34"/>
      <c r="F4" s="34"/>
      <c r="G4" s="34"/>
      <c r="H4" s="35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</row>
    <row r="5" spans="1:40" x14ac:dyDescent="0.4">
      <c r="A5" s="36"/>
      <c r="B5" s="37"/>
      <c r="C5" s="37"/>
      <c r="D5" s="37"/>
      <c r="E5" s="37"/>
      <c r="F5" s="38"/>
      <c r="G5" s="39"/>
      <c r="H5" s="39"/>
      <c r="I5" s="39"/>
      <c r="J5" s="39"/>
      <c r="K5" s="40"/>
      <c r="L5" s="38"/>
      <c r="M5" s="40"/>
      <c r="N5" s="40"/>
      <c r="O5" s="40"/>
      <c r="P5" s="39"/>
      <c r="Q5" s="39"/>
      <c r="R5" s="39"/>
      <c r="S5" s="39"/>
      <c r="T5" s="39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</row>
    <row r="6" spans="1:40" x14ac:dyDescent="0.4">
      <c r="A6" s="33"/>
      <c r="B6" s="34"/>
      <c r="C6" s="34"/>
      <c r="D6" s="34"/>
      <c r="E6" s="34"/>
      <c r="F6" s="34"/>
      <c r="G6" s="34"/>
      <c r="H6" s="34"/>
      <c r="I6" s="34"/>
      <c r="J6" s="34"/>
      <c r="K6" s="34"/>
      <c r="L6" s="35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</row>
    <row r="7" spans="1:40" x14ac:dyDescent="0.4">
      <c r="A7" s="33"/>
      <c r="B7" s="34"/>
      <c r="C7" s="34"/>
      <c r="D7" s="34"/>
      <c r="E7" s="34"/>
      <c r="F7" s="34"/>
      <c r="G7" s="34"/>
      <c r="H7" s="34"/>
      <c r="I7" s="34"/>
      <c r="J7" s="34"/>
      <c r="K7" s="34"/>
      <c r="L7" s="35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</row>
    <row r="8" spans="1:40" x14ac:dyDescent="0.4">
      <c r="A8" s="33"/>
      <c r="B8" s="34"/>
      <c r="C8" s="34"/>
      <c r="D8" s="34"/>
      <c r="E8" s="34"/>
      <c r="F8" s="34"/>
      <c r="G8" s="34"/>
      <c r="H8" s="41"/>
      <c r="I8" s="34"/>
      <c r="J8" s="34"/>
      <c r="K8" s="34"/>
      <c r="L8" s="35"/>
      <c r="M8" s="34"/>
      <c r="N8" s="34"/>
      <c r="O8" s="34"/>
      <c r="P8" s="34"/>
      <c r="Q8" s="41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</row>
    <row r="9" spans="1:40" x14ac:dyDescent="0.4">
      <c r="A9" s="33"/>
      <c r="B9" s="34"/>
      <c r="C9" s="34"/>
      <c r="D9" s="34"/>
      <c r="E9" s="34"/>
      <c r="F9" s="34"/>
      <c r="G9" s="34"/>
      <c r="H9" s="34"/>
      <c r="I9" s="34"/>
      <c r="J9" s="34"/>
      <c r="K9" s="34"/>
      <c r="L9" s="35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</row>
    <row r="10" spans="1:40" x14ac:dyDescent="0.4">
      <c r="A10" s="33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5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</row>
    <row r="11" spans="1:40" x14ac:dyDescent="0.4">
      <c r="A11" s="33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5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</row>
    <row r="12" spans="1:40" x14ac:dyDescent="0.4">
      <c r="A12" s="33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5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</row>
    <row r="13" spans="1:40" x14ac:dyDescent="0.4">
      <c r="A13" s="36"/>
      <c r="B13" s="37"/>
      <c r="C13" s="37"/>
      <c r="D13" s="37"/>
      <c r="E13" s="37"/>
      <c r="F13" s="42"/>
      <c r="G13" s="43"/>
      <c r="H13" s="43"/>
      <c r="I13" s="43"/>
      <c r="J13" s="43"/>
      <c r="K13" s="43"/>
      <c r="L13" s="42"/>
      <c r="M13" s="43"/>
      <c r="N13" s="43"/>
      <c r="O13" s="43"/>
      <c r="P13" s="43"/>
      <c r="Q13" s="43"/>
      <c r="R13" s="43"/>
      <c r="S13" s="43"/>
      <c r="T13" s="43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</row>
    <row r="14" spans="1:40" x14ac:dyDescent="0.4">
      <c r="A14" s="33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5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</row>
    <row r="15" spans="1:40" x14ac:dyDescent="0.4">
      <c r="A15" s="33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5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</row>
    <row r="16" spans="1:40" x14ac:dyDescent="0.4">
      <c r="A16" s="33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5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</row>
    <row r="17" spans="1:39" x14ac:dyDescent="0.4">
      <c r="A17" s="33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5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</row>
    <row r="18" spans="1:39" x14ac:dyDescent="0.4">
      <c r="A18" s="33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</row>
    <row r="19" spans="1:39" x14ac:dyDescent="0.4">
      <c r="A19" s="33"/>
      <c r="B19" s="34"/>
      <c r="C19" s="34"/>
      <c r="D19" s="34"/>
      <c r="E19" s="34"/>
      <c r="F19" s="34"/>
      <c r="G19" s="34"/>
      <c r="H19" s="41"/>
      <c r="I19" s="34"/>
      <c r="J19" s="34"/>
      <c r="K19" s="34"/>
      <c r="L19" s="41"/>
      <c r="M19" s="34"/>
      <c r="N19" s="34"/>
      <c r="O19" s="34"/>
      <c r="P19" s="34"/>
      <c r="Q19" s="41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</row>
    <row r="20" spans="1:39" x14ac:dyDescent="0.4">
      <c r="A20" s="3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</row>
    <row r="21" spans="1:39" x14ac:dyDescent="0.4">
      <c r="A21" s="3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5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</row>
    <row r="22" spans="1:39" x14ac:dyDescent="0.4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5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</row>
    <row r="23" spans="1:39" x14ac:dyDescent="0.4">
      <c r="A23" s="33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5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</row>
    <row r="24" spans="1:39" x14ac:dyDescent="0.4">
      <c r="A24" s="33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5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</row>
    <row r="25" spans="1:39" x14ac:dyDescent="0.4">
      <c r="A25" s="33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5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</row>
    <row r="26" spans="1:39" x14ac:dyDescent="0.4">
      <c r="A26" s="33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5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</row>
    <row r="27" spans="1:39" x14ac:dyDescent="0.4">
      <c r="A27" s="33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5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</row>
    <row r="28" spans="1:39" ht="14.25" x14ac:dyDescent="0.45">
      <c r="A28" s="66" t="s">
        <v>49</v>
      </c>
      <c r="B28" s="66"/>
      <c r="C28" s="66"/>
      <c r="D28" s="66"/>
      <c r="E28" s="66"/>
      <c r="F28" s="67"/>
      <c r="G28" s="66"/>
      <c r="H28" s="66"/>
      <c r="I28" s="66"/>
      <c r="J28" s="68"/>
      <c r="K28" s="68"/>
      <c r="L28" s="68"/>
      <c r="M28" s="68"/>
      <c r="N28" s="66"/>
      <c r="O28" s="71"/>
      <c r="P28" s="72"/>
      <c r="Q28" s="72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</row>
  </sheetData>
  <pageMargins left="0.7" right="0.7" top="0.75" bottom="0.75" header="0.3" footer="0.3"/>
  <pageSetup paperSize="9" scale="6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DB8E"/>
  </sheetPr>
  <dimension ref="A1:O20"/>
  <sheetViews>
    <sheetView zoomScale="80" zoomScaleNormal="80" workbookViewId="0"/>
  </sheetViews>
  <sheetFormatPr defaultColWidth="0" defaultRowHeight="14.25" zeroHeight="1" x14ac:dyDescent="0.45"/>
  <cols>
    <col min="1" max="15" width="9" style="58" customWidth="1"/>
    <col min="16" max="16384" width="9" style="58" hidden="1"/>
  </cols>
  <sheetData>
    <row r="1" spans="1:13" x14ac:dyDescent="0.45">
      <c r="C1" s="59" t="s">
        <v>0</v>
      </c>
      <c r="E1" s="59" t="s">
        <v>9</v>
      </c>
    </row>
    <row r="2" spans="1:13" x14ac:dyDescent="0.45">
      <c r="A2" s="60" t="s">
        <v>10</v>
      </c>
      <c r="B2" s="60" t="s">
        <v>11</v>
      </c>
      <c r="C2" s="60" t="s">
        <v>12</v>
      </c>
      <c r="D2" s="60" t="s">
        <v>13</v>
      </c>
      <c r="E2" s="60" t="s">
        <v>14</v>
      </c>
      <c r="F2" s="60" t="s">
        <v>15</v>
      </c>
      <c r="G2" s="60" t="s">
        <v>16</v>
      </c>
      <c r="H2" s="60" t="s">
        <v>17</v>
      </c>
      <c r="I2" s="60" t="s">
        <v>18</v>
      </c>
      <c r="J2" s="60" t="s">
        <v>19</v>
      </c>
      <c r="K2" s="60" t="s">
        <v>20</v>
      </c>
      <c r="L2" s="60" t="s">
        <v>21</v>
      </c>
      <c r="M2" s="60" t="s">
        <v>22</v>
      </c>
    </row>
    <row r="3" spans="1:13" x14ac:dyDescent="0.45"/>
    <row r="4" spans="1:13" x14ac:dyDescent="0.45">
      <c r="F4" s="60" t="s">
        <v>23</v>
      </c>
      <c r="G4" s="60" t="s">
        <v>23</v>
      </c>
      <c r="H4" s="60" t="s">
        <v>23</v>
      </c>
      <c r="I4" s="60" t="s">
        <v>23</v>
      </c>
      <c r="J4" s="60" t="s">
        <v>23</v>
      </c>
      <c r="K4" s="60" t="s">
        <v>23</v>
      </c>
      <c r="L4" s="60" t="s">
        <v>23</v>
      </c>
      <c r="M4" s="60" t="s">
        <v>23</v>
      </c>
    </row>
    <row r="5" spans="1:13" x14ac:dyDescent="0.45">
      <c r="F5" s="60" t="s">
        <v>1</v>
      </c>
      <c r="G5" s="60" t="s">
        <v>1</v>
      </c>
      <c r="H5" s="60" t="s">
        <v>1</v>
      </c>
      <c r="I5" s="60" t="s">
        <v>1</v>
      </c>
      <c r="J5" s="60" t="s">
        <v>1</v>
      </c>
      <c r="K5" s="60" t="s">
        <v>1</v>
      </c>
      <c r="L5" s="60" t="s">
        <v>1</v>
      </c>
      <c r="M5" s="60" t="s">
        <v>1</v>
      </c>
    </row>
    <row r="6" spans="1:13" x14ac:dyDescent="0.45">
      <c r="F6" s="60" t="s">
        <v>24</v>
      </c>
      <c r="G6" s="60" t="s">
        <v>24</v>
      </c>
      <c r="H6" s="60" t="s">
        <v>24</v>
      </c>
      <c r="I6" s="60" t="s">
        <v>24</v>
      </c>
      <c r="J6" s="60" t="s">
        <v>24</v>
      </c>
      <c r="K6" s="60" t="s">
        <v>24</v>
      </c>
      <c r="L6" s="60" t="s">
        <v>24</v>
      </c>
      <c r="M6" s="60" t="s">
        <v>24</v>
      </c>
    </row>
    <row r="7" spans="1:13" x14ac:dyDescent="0.45">
      <c r="A7" s="58" t="s">
        <v>25</v>
      </c>
      <c r="B7" s="58" t="s">
        <v>26</v>
      </c>
      <c r="C7" s="58" t="s">
        <v>27</v>
      </c>
      <c r="D7" s="58" t="s">
        <v>28</v>
      </c>
      <c r="E7" s="58" t="s">
        <v>23</v>
      </c>
      <c r="F7" s="61" t="s">
        <v>29</v>
      </c>
      <c r="G7" s="62">
        <v>94.114794352363418</v>
      </c>
      <c r="H7" s="62">
        <v>81.269137302551641</v>
      </c>
      <c r="I7" s="62">
        <v>65.777983920841066</v>
      </c>
      <c r="J7" s="62">
        <v>59.163378545006168</v>
      </c>
      <c r="K7" s="62">
        <v>40.26947637292465</v>
      </c>
      <c r="L7" s="62">
        <v>25.339864498644982</v>
      </c>
      <c r="M7" s="62">
        <v>23.139999999999997</v>
      </c>
    </row>
    <row r="8" spans="1:13" x14ac:dyDescent="0.45">
      <c r="A8" s="58" t="s">
        <v>30</v>
      </c>
      <c r="B8" s="58" t="s">
        <v>26</v>
      </c>
      <c r="C8" s="58" t="s">
        <v>27</v>
      </c>
      <c r="D8" s="58" t="s">
        <v>28</v>
      </c>
      <c r="E8" s="58" t="s">
        <v>23</v>
      </c>
      <c r="F8" s="62">
        <v>36.219526627218926</v>
      </c>
      <c r="G8" s="62">
        <v>41.285496183206106</v>
      </c>
      <c r="H8" s="62">
        <v>49.773219373219362</v>
      </c>
      <c r="I8" s="62">
        <v>57.701324503311255</v>
      </c>
      <c r="J8" s="62">
        <v>48.76807958477508</v>
      </c>
      <c r="K8" s="62">
        <v>43.317843388960199</v>
      </c>
      <c r="L8" s="62">
        <v>58.398784722222224</v>
      </c>
      <c r="M8" s="62">
        <v>49.933593750000007</v>
      </c>
    </row>
    <row r="9" spans="1:13" x14ac:dyDescent="0.45">
      <c r="A9" s="58" t="s">
        <v>31</v>
      </c>
      <c r="B9" s="58" t="s">
        <v>26</v>
      </c>
      <c r="C9" s="58" t="s">
        <v>27</v>
      </c>
      <c r="D9" s="58" t="s">
        <v>28</v>
      </c>
      <c r="E9" s="58" t="s">
        <v>23</v>
      </c>
      <c r="F9" s="61" t="s">
        <v>29</v>
      </c>
      <c r="G9" s="61" t="s">
        <v>29</v>
      </c>
      <c r="H9" s="61" t="s">
        <v>29</v>
      </c>
      <c r="I9" s="62">
        <v>38.093396226415088</v>
      </c>
      <c r="J9" s="62">
        <v>50.79851851851852</v>
      </c>
      <c r="K9" s="62">
        <v>41.80615384615384</v>
      </c>
      <c r="L9" s="62">
        <v>41.953703703703702</v>
      </c>
      <c r="M9" s="62">
        <v>39.722222222222221</v>
      </c>
    </row>
    <row r="10" spans="1:13" x14ac:dyDescent="0.45">
      <c r="A10" s="58" t="s">
        <v>32</v>
      </c>
      <c r="B10" s="58" t="s">
        <v>26</v>
      </c>
      <c r="C10" s="58" t="s">
        <v>27</v>
      </c>
      <c r="D10" s="58" t="s">
        <v>28</v>
      </c>
      <c r="E10" s="58" t="s">
        <v>23</v>
      </c>
      <c r="F10" s="62">
        <v>24.05857142857143</v>
      </c>
      <c r="G10" s="62">
        <v>20.01679170779861</v>
      </c>
      <c r="H10" s="62">
        <v>26.267793594306049</v>
      </c>
      <c r="I10" s="62">
        <v>26.339078947368421</v>
      </c>
      <c r="J10" s="62">
        <v>35.072067645181875</v>
      </c>
      <c r="K10" s="62">
        <v>29.137851662404096</v>
      </c>
      <c r="L10" s="62">
        <v>36.127348242811507</v>
      </c>
      <c r="M10" s="62">
        <v>26.000000000000007</v>
      </c>
    </row>
    <row r="11" spans="1:13" x14ac:dyDescent="0.45">
      <c r="A11" s="58" t="s">
        <v>33</v>
      </c>
      <c r="B11" s="58" t="s">
        <v>26</v>
      </c>
      <c r="C11" s="58" t="s">
        <v>27</v>
      </c>
      <c r="D11" s="58" t="s">
        <v>28</v>
      </c>
      <c r="E11" s="58" t="s">
        <v>23</v>
      </c>
      <c r="F11" s="62">
        <v>99.441227590398043</v>
      </c>
      <c r="G11" s="62">
        <v>83.81149038401503</v>
      </c>
      <c r="H11" s="62">
        <v>74.096128131347342</v>
      </c>
      <c r="I11" s="62">
        <v>48.149389349512205</v>
      </c>
      <c r="J11" s="62">
        <v>40.429708080007472</v>
      </c>
      <c r="K11" s="62">
        <v>33.576196642741273</v>
      </c>
      <c r="L11" s="62">
        <v>34.8876497315159</v>
      </c>
      <c r="M11" s="62">
        <v>24.942940441482719</v>
      </c>
    </row>
    <row r="12" spans="1:13" x14ac:dyDescent="0.45">
      <c r="A12" s="58" t="s">
        <v>34</v>
      </c>
      <c r="B12" s="58" t="s">
        <v>26</v>
      </c>
      <c r="C12" s="58" t="s">
        <v>27</v>
      </c>
      <c r="D12" s="58" t="s">
        <v>28</v>
      </c>
      <c r="E12" s="58" t="s">
        <v>23</v>
      </c>
      <c r="F12" s="62">
        <v>10.015671641791045</v>
      </c>
      <c r="G12" s="62">
        <v>20.106716417910448</v>
      </c>
      <c r="H12" s="62">
        <v>25.802985074626864</v>
      </c>
      <c r="I12" s="62">
        <v>31.382835820895522</v>
      </c>
      <c r="J12" s="62">
        <v>31.704477611940298</v>
      </c>
      <c r="K12" s="62">
        <v>28.031343283582089</v>
      </c>
      <c r="L12" s="62">
        <v>41.020422535211267</v>
      </c>
      <c r="M12" s="62">
        <v>19.955223880597014</v>
      </c>
    </row>
    <row r="13" spans="1:13" x14ac:dyDescent="0.45">
      <c r="A13" s="58" t="s">
        <v>35</v>
      </c>
      <c r="B13" s="58" t="s">
        <v>26</v>
      </c>
      <c r="C13" s="58" t="s">
        <v>27</v>
      </c>
      <c r="D13" s="58" t="s">
        <v>28</v>
      </c>
      <c r="E13" s="58" t="s">
        <v>23</v>
      </c>
      <c r="F13" s="62">
        <v>10.540408997955007</v>
      </c>
      <c r="G13" s="62">
        <v>13.590000000000003</v>
      </c>
      <c r="H13" s="62">
        <v>20.929591002044994</v>
      </c>
      <c r="I13" s="62">
        <v>29.70263803680982</v>
      </c>
      <c r="J13" s="62">
        <v>28.450061349693257</v>
      </c>
      <c r="K13" s="62">
        <v>25.721983640081802</v>
      </c>
      <c r="L13" s="62">
        <v>38.008811475409843</v>
      </c>
      <c r="M13" s="62">
        <v>21.000000000000004</v>
      </c>
    </row>
    <row r="14" spans="1:13" x14ac:dyDescent="0.45">
      <c r="A14" s="58" t="s">
        <v>36</v>
      </c>
      <c r="B14" s="58" t="s">
        <v>26</v>
      </c>
      <c r="C14" s="58" t="s">
        <v>27</v>
      </c>
      <c r="D14" s="58" t="s">
        <v>28</v>
      </c>
      <c r="E14" s="58" t="s">
        <v>23</v>
      </c>
      <c r="F14" s="61" t="s">
        <v>29</v>
      </c>
      <c r="G14" s="61" t="s">
        <v>29</v>
      </c>
      <c r="H14" s="61" t="s">
        <v>29</v>
      </c>
      <c r="I14" s="62">
        <v>58.623993399339938</v>
      </c>
      <c r="J14" s="62">
        <v>54.008877887788778</v>
      </c>
      <c r="K14" s="62">
        <v>42.214422442244228</v>
      </c>
      <c r="L14" s="62">
        <v>37.147495961227783</v>
      </c>
      <c r="M14" s="62">
        <v>25.823432343234323</v>
      </c>
    </row>
    <row r="15" spans="1:13" x14ac:dyDescent="0.45">
      <c r="A15" s="58" t="s">
        <v>37</v>
      </c>
      <c r="B15" s="58" t="s">
        <v>26</v>
      </c>
      <c r="C15" s="58" t="s">
        <v>27</v>
      </c>
      <c r="D15" s="58" t="s">
        <v>28</v>
      </c>
      <c r="E15" s="58" t="s">
        <v>23</v>
      </c>
      <c r="F15" s="61" t="s">
        <v>29</v>
      </c>
      <c r="G15" s="61" t="s">
        <v>29</v>
      </c>
      <c r="H15" s="61" t="s">
        <v>29</v>
      </c>
      <c r="I15" s="62">
        <v>63.90242276712825</v>
      </c>
      <c r="J15" s="62">
        <v>53.029598540145749</v>
      </c>
      <c r="K15" s="62">
        <v>49.727604259094456</v>
      </c>
      <c r="L15" s="62">
        <v>50.63171378091873</v>
      </c>
      <c r="M15" s="62">
        <v>29.360599911777676</v>
      </c>
    </row>
    <row r="16" spans="1:13" x14ac:dyDescent="0.45">
      <c r="A16" s="58" t="s">
        <v>38</v>
      </c>
      <c r="B16" s="58" t="s">
        <v>26</v>
      </c>
      <c r="C16" s="58" t="s">
        <v>27</v>
      </c>
      <c r="D16" s="58" t="s">
        <v>28</v>
      </c>
      <c r="E16" s="58" t="s">
        <v>23</v>
      </c>
      <c r="F16" s="62">
        <v>10.66</v>
      </c>
      <c r="G16" s="62">
        <v>21.27</v>
      </c>
      <c r="H16" s="62">
        <v>26.8</v>
      </c>
      <c r="I16" s="62">
        <v>30.92</v>
      </c>
      <c r="J16" s="62">
        <v>22.529999999999998</v>
      </c>
      <c r="K16" s="62">
        <v>18.52</v>
      </c>
      <c r="L16" s="62">
        <v>32.010038610038613</v>
      </c>
      <c r="M16" s="62">
        <v>24.008494208494209</v>
      </c>
    </row>
    <row r="17" spans="1:14" x14ac:dyDescent="0.45">
      <c r="A17" s="58" t="s">
        <v>39</v>
      </c>
      <c r="B17" s="58" t="s">
        <v>26</v>
      </c>
      <c r="C17" s="58" t="s">
        <v>27</v>
      </c>
      <c r="D17" s="58" t="s">
        <v>28</v>
      </c>
      <c r="E17" s="58" t="s">
        <v>23</v>
      </c>
      <c r="F17" s="62">
        <v>100</v>
      </c>
      <c r="G17" s="62">
        <v>100</v>
      </c>
      <c r="H17" s="62">
        <v>100</v>
      </c>
      <c r="I17" s="62">
        <v>39.491945560017854</v>
      </c>
      <c r="J17" s="62">
        <v>44.194122885129119</v>
      </c>
      <c r="K17" s="62">
        <v>37.966289959477706</v>
      </c>
      <c r="L17" s="62">
        <v>42.836423690205017</v>
      </c>
      <c r="M17" s="62">
        <v>38.962777139170427</v>
      </c>
    </row>
    <row r="18" spans="1:14" x14ac:dyDescent="0.45"/>
    <row r="19" spans="1:14" x14ac:dyDescent="0.45"/>
    <row r="20" spans="1:14" s="71" customFormat="1" x14ac:dyDescent="0.45">
      <c r="A20" s="66" t="s">
        <v>49</v>
      </c>
      <c r="B20" s="66"/>
      <c r="C20" s="66"/>
      <c r="D20" s="66"/>
      <c r="E20" s="66"/>
      <c r="F20" s="67"/>
      <c r="G20" s="66"/>
      <c r="H20" s="66"/>
      <c r="I20" s="66"/>
      <c r="J20" s="68"/>
      <c r="K20" s="68"/>
      <c r="L20" s="68"/>
      <c r="M20" s="68"/>
      <c r="N20" s="66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10615-599D-466F-8681-63860B1F12A5}">
  <sheetPr codeName="Sheet4">
    <tabColor rgb="FFFFDB8E"/>
  </sheetPr>
  <dimension ref="A1:N43"/>
  <sheetViews>
    <sheetView showGridLines="0" zoomScale="80" zoomScaleNormal="80" workbookViewId="0">
      <pane ySplit="5" topLeftCell="A6" activePane="bottomLeft" state="frozen"/>
      <selection pane="bottomLeft"/>
    </sheetView>
  </sheetViews>
  <sheetFormatPr defaultColWidth="0" defaultRowHeight="14.25" zeroHeight="1" x14ac:dyDescent="0.45"/>
  <cols>
    <col min="1" max="1" width="1" style="6" customWidth="1"/>
    <col min="2" max="4" width="1" style="1" customWidth="1"/>
    <col min="5" max="5" width="8.125" style="58" customWidth="1"/>
    <col min="6" max="6" width="22.375" style="69" customWidth="1"/>
    <col min="7" max="7" width="22.125" style="58" customWidth="1"/>
    <col min="8" max="8" width="7.875" style="58" customWidth="1"/>
    <col min="9" max="9" width="2.75" style="58" customWidth="1"/>
    <col min="10" max="13" width="9" style="70" customWidth="1"/>
    <col min="14" max="14" width="9" style="58" customWidth="1"/>
    <col min="15" max="16384" width="9" style="58" hidden="1"/>
  </cols>
  <sheetData>
    <row r="1" spans="1:14" s="4" customFormat="1" ht="30.75" x14ac:dyDescent="0.35">
      <c r="A1" s="4" t="str">
        <f ca="1">RIGHT(CELL("filename", A1), LEN(CELL("filename", A1)) - SEARCH("]", CELL("filename", A1)))</f>
        <v>Inputs_All</v>
      </c>
      <c r="D1" s="5"/>
      <c r="F1" s="5"/>
      <c r="J1" s="12"/>
      <c r="K1" s="12"/>
      <c r="L1" s="12"/>
      <c r="M1" s="12"/>
    </row>
    <row r="2" spans="1:14" s="1" customFormat="1" ht="13.15" x14ac:dyDescent="0.35">
      <c r="A2" s="6"/>
      <c r="F2" s="16"/>
      <c r="J2" s="13" t="s">
        <v>17</v>
      </c>
      <c r="K2" s="13" t="s">
        <v>18</v>
      </c>
      <c r="L2" s="13" t="s">
        <v>19</v>
      </c>
      <c r="M2" s="13" t="s">
        <v>20</v>
      </c>
      <c r="N2" s="13" t="s">
        <v>40</v>
      </c>
    </row>
    <row r="3" spans="1:14" s="1" customFormat="1" ht="13.15" x14ac:dyDescent="0.35">
      <c r="A3" s="6"/>
      <c r="E3" s="7" t="s">
        <v>41</v>
      </c>
      <c r="F3" s="17" t="s">
        <v>42</v>
      </c>
      <c r="G3" s="7" t="s">
        <v>43</v>
      </c>
      <c r="H3" s="7" t="s">
        <v>13</v>
      </c>
      <c r="J3" s="14"/>
      <c r="K3" s="14"/>
      <c r="L3" s="14"/>
      <c r="M3" s="14"/>
    </row>
    <row r="4" spans="1:14" s="1" customFormat="1" ht="13.15" x14ac:dyDescent="0.35">
      <c r="A4" s="6"/>
      <c r="F4" s="18"/>
      <c r="J4" s="14"/>
      <c r="K4" s="14"/>
      <c r="L4" s="14"/>
      <c r="M4" s="14"/>
    </row>
    <row r="5" spans="1:14" s="1" customFormat="1" ht="13.15" x14ac:dyDescent="0.35">
      <c r="A5" s="6"/>
      <c r="F5" s="16"/>
      <c r="I5" s="3"/>
      <c r="J5" s="14"/>
      <c r="K5" s="14"/>
      <c r="L5" s="14"/>
      <c r="M5" s="14"/>
    </row>
    <row r="6" spans="1:14" s="1" customFormat="1" ht="13.15" x14ac:dyDescent="0.35">
      <c r="A6" s="6"/>
      <c r="F6" s="16"/>
      <c r="I6" s="3"/>
      <c r="J6" s="14"/>
      <c r="K6" s="14"/>
      <c r="L6" s="14"/>
      <c r="M6" s="14"/>
    </row>
    <row r="7" spans="1:14" s="63" customFormat="1" ht="13.15" x14ac:dyDescent="0.35">
      <c r="A7" s="63" t="s">
        <v>44</v>
      </c>
      <c r="F7" s="64"/>
      <c r="J7" s="65"/>
      <c r="K7" s="65"/>
      <c r="L7" s="65"/>
      <c r="M7" s="65"/>
    </row>
    <row r="8" spans="1:14" s="1" customFormat="1" ht="13.15" x14ac:dyDescent="0.35">
      <c r="A8" s="6"/>
      <c r="F8" s="16"/>
      <c r="J8" s="14"/>
      <c r="K8" s="14"/>
      <c r="L8" s="14"/>
      <c r="M8" s="14"/>
    </row>
    <row r="9" spans="1:14" s="1" customFormat="1" ht="13.15" x14ac:dyDescent="0.35">
      <c r="A9" s="6"/>
      <c r="E9" s="1" t="s">
        <v>25</v>
      </c>
      <c r="F9" s="16" t="s">
        <v>45</v>
      </c>
      <c r="G9" s="1" t="s">
        <v>46</v>
      </c>
      <c r="H9" s="10" t="s">
        <v>47</v>
      </c>
      <c r="I9" s="8"/>
      <c r="J9" s="15">
        <f>F_Inputs!H7</f>
        <v>81.269137302551641</v>
      </c>
      <c r="K9" s="15">
        <f>F_Inputs!I7</f>
        <v>65.777983920841066</v>
      </c>
      <c r="L9" s="15">
        <f>F_Inputs!J7</f>
        <v>59.163378545006168</v>
      </c>
      <c r="M9" s="15">
        <f>F_Inputs!K7</f>
        <v>40.26947637292465</v>
      </c>
      <c r="N9" s="15">
        <f>F_Inputs!L7</f>
        <v>25.339864498644982</v>
      </c>
    </row>
    <row r="10" spans="1:14" s="1" customFormat="1" ht="13.15" x14ac:dyDescent="0.35">
      <c r="A10" s="6"/>
      <c r="E10" s="1" t="s">
        <v>30</v>
      </c>
      <c r="F10" s="16" t="s">
        <v>45</v>
      </c>
      <c r="G10" s="1" t="s">
        <v>46</v>
      </c>
      <c r="H10" s="10" t="s">
        <v>47</v>
      </c>
      <c r="I10" s="8"/>
      <c r="J10" s="15">
        <f>F_Inputs!H8</f>
        <v>49.773219373219362</v>
      </c>
      <c r="K10" s="15">
        <f>F_Inputs!I8</f>
        <v>57.701324503311255</v>
      </c>
      <c r="L10" s="15">
        <f>F_Inputs!J8</f>
        <v>48.76807958477508</v>
      </c>
      <c r="M10" s="15">
        <f>F_Inputs!K8</f>
        <v>43.317843388960199</v>
      </c>
      <c r="N10" s="15">
        <f>F_Inputs!L8</f>
        <v>58.398784722222224</v>
      </c>
    </row>
    <row r="11" spans="1:14" s="1" customFormat="1" ht="13.15" x14ac:dyDescent="0.35">
      <c r="A11" s="6"/>
      <c r="E11" s="1" t="s">
        <v>31</v>
      </c>
      <c r="F11" s="16" t="s">
        <v>45</v>
      </c>
      <c r="G11" s="1" t="s">
        <v>46</v>
      </c>
      <c r="H11" s="10" t="s">
        <v>47</v>
      </c>
      <c r="I11" s="8"/>
      <c r="J11" s="15" t="str">
        <f>F_Inputs!H9</f>
        <v/>
      </c>
      <c r="K11" s="15">
        <f>F_Inputs!I9</f>
        <v>38.093396226415088</v>
      </c>
      <c r="L11" s="15">
        <f>F_Inputs!J9</f>
        <v>50.79851851851852</v>
      </c>
      <c r="M11" s="15">
        <f>F_Inputs!K9</f>
        <v>41.80615384615384</v>
      </c>
      <c r="N11" s="15">
        <f>F_Inputs!L9</f>
        <v>41.953703703703702</v>
      </c>
    </row>
    <row r="12" spans="1:14" s="1" customFormat="1" ht="13.15" x14ac:dyDescent="0.35">
      <c r="A12" s="6"/>
      <c r="E12" s="1" t="s">
        <v>32</v>
      </c>
      <c r="F12" s="16" t="s">
        <v>45</v>
      </c>
      <c r="G12" s="1" t="s">
        <v>46</v>
      </c>
      <c r="H12" s="10" t="s">
        <v>47</v>
      </c>
      <c r="I12" s="8"/>
      <c r="J12" s="15">
        <f>F_Inputs!H10</f>
        <v>26.267793594306049</v>
      </c>
      <c r="K12" s="15">
        <f>F_Inputs!I10</f>
        <v>26.339078947368421</v>
      </c>
      <c r="L12" s="15">
        <f>F_Inputs!J10</f>
        <v>35.072067645181875</v>
      </c>
      <c r="M12" s="15">
        <f>F_Inputs!K10</f>
        <v>29.137851662404096</v>
      </c>
      <c r="N12" s="15">
        <f>F_Inputs!L10</f>
        <v>36.127348242811507</v>
      </c>
    </row>
    <row r="13" spans="1:14" s="1" customFormat="1" ht="13.15" x14ac:dyDescent="0.35">
      <c r="A13" s="6"/>
      <c r="E13" s="1" t="s">
        <v>33</v>
      </c>
      <c r="F13" s="16" t="s">
        <v>45</v>
      </c>
      <c r="G13" s="1" t="s">
        <v>46</v>
      </c>
      <c r="H13" s="10" t="s">
        <v>47</v>
      </c>
      <c r="I13" s="8"/>
      <c r="J13" s="15">
        <f>F_Inputs!H11</f>
        <v>74.096128131347342</v>
      </c>
      <c r="K13" s="15">
        <f>F_Inputs!I11</f>
        <v>48.149389349512205</v>
      </c>
      <c r="L13" s="15">
        <f>F_Inputs!J11</f>
        <v>40.429708080007472</v>
      </c>
      <c r="M13" s="15">
        <f>F_Inputs!K11</f>
        <v>33.576196642741273</v>
      </c>
      <c r="N13" s="15">
        <f>F_Inputs!L11</f>
        <v>34.8876497315159</v>
      </c>
    </row>
    <row r="14" spans="1:14" s="1" customFormat="1" ht="13.15" x14ac:dyDescent="0.35">
      <c r="A14" s="6"/>
      <c r="E14" s="1" t="s">
        <v>34</v>
      </c>
      <c r="F14" s="16" t="s">
        <v>45</v>
      </c>
      <c r="G14" s="1" t="s">
        <v>46</v>
      </c>
      <c r="H14" s="10" t="s">
        <v>47</v>
      </c>
      <c r="I14" s="8"/>
      <c r="J14" s="15">
        <f>F_Inputs!H12</f>
        <v>25.802985074626864</v>
      </c>
      <c r="K14" s="15">
        <f>F_Inputs!I12</f>
        <v>31.382835820895522</v>
      </c>
      <c r="L14" s="15">
        <f>F_Inputs!J12</f>
        <v>31.704477611940298</v>
      </c>
      <c r="M14" s="15">
        <f>F_Inputs!K12</f>
        <v>28.031343283582089</v>
      </c>
      <c r="N14" s="15">
        <f>F_Inputs!L12</f>
        <v>41.020422535211267</v>
      </c>
    </row>
    <row r="15" spans="1:14" s="1" customFormat="1" ht="13.15" x14ac:dyDescent="0.35">
      <c r="A15" s="6"/>
      <c r="E15" s="1" t="s">
        <v>35</v>
      </c>
      <c r="F15" s="16" t="s">
        <v>45</v>
      </c>
      <c r="G15" s="1" t="s">
        <v>46</v>
      </c>
      <c r="H15" s="10" t="s">
        <v>47</v>
      </c>
      <c r="I15" s="8"/>
      <c r="J15" s="15">
        <f>F_Inputs!H13</f>
        <v>20.929591002044994</v>
      </c>
      <c r="K15" s="15">
        <f>F_Inputs!I13</f>
        <v>29.70263803680982</v>
      </c>
      <c r="L15" s="15">
        <f>F_Inputs!J13</f>
        <v>28.450061349693257</v>
      </c>
      <c r="M15" s="15">
        <f>F_Inputs!K13</f>
        <v>25.721983640081802</v>
      </c>
      <c r="N15" s="15">
        <f>F_Inputs!L13</f>
        <v>38.008811475409843</v>
      </c>
    </row>
    <row r="16" spans="1:14" s="1" customFormat="1" ht="13.15" x14ac:dyDescent="0.35">
      <c r="A16" s="6"/>
      <c r="E16" s="1" t="s">
        <v>36</v>
      </c>
      <c r="F16" s="16" t="s">
        <v>45</v>
      </c>
      <c r="G16" s="1" t="s">
        <v>46</v>
      </c>
      <c r="H16" s="10" t="s">
        <v>47</v>
      </c>
      <c r="I16" s="8"/>
      <c r="J16" s="15" t="str">
        <f>F_Inputs!H14</f>
        <v/>
      </c>
      <c r="K16" s="15">
        <f>F_Inputs!I14</f>
        <v>58.623993399339938</v>
      </c>
      <c r="L16" s="15">
        <f>F_Inputs!J14</f>
        <v>54.008877887788778</v>
      </c>
      <c r="M16" s="15">
        <f>F_Inputs!K14</f>
        <v>42.214422442244228</v>
      </c>
      <c r="N16" s="15">
        <f>F_Inputs!L14</f>
        <v>37.147495961227783</v>
      </c>
    </row>
    <row r="17" spans="1:14" s="1" customFormat="1" ht="13.15" x14ac:dyDescent="0.35">
      <c r="A17" s="6"/>
      <c r="E17" s="1" t="s">
        <v>48</v>
      </c>
      <c r="F17" s="16" t="s">
        <v>45</v>
      </c>
      <c r="G17" s="1" t="s">
        <v>46</v>
      </c>
      <c r="H17" s="10" t="s">
        <v>47</v>
      </c>
      <c r="I17" s="8"/>
      <c r="J17" s="15" t="str">
        <f>F_Inputs!H15</f>
        <v/>
      </c>
      <c r="K17" s="15">
        <f>F_Inputs!I15</f>
        <v>63.90242276712825</v>
      </c>
      <c r="L17" s="15">
        <f>F_Inputs!J15</f>
        <v>53.029598540145749</v>
      </c>
      <c r="M17" s="15">
        <f>F_Inputs!K15</f>
        <v>49.727604259094456</v>
      </c>
      <c r="N17" s="15">
        <f>F_Inputs!L15</f>
        <v>50.63171378091873</v>
      </c>
    </row>
    <row r="18" spans="1:14" s="1" customFormat="1" ht="13.15" x14ac:dyDescent="0.35">
      <c r="A18" s="6"/>
      <c r="E18" s="1" t="s">
        <v>38</v>
      </c>
      <c r="F18" s="16" t="s">
        <v>45</v>
      </c>
      <c r="G18" s="1" t="s">
        <v>46</v>
      </c>
      <c r="H18" s="10" t="s">
        <v>47</v>
      </c>
      <c r="I18" s="8"/>
      <c r="J18" s="15">
        <f>F_Inputs!H16</f>
        <v>26.8</v>
      </c>
      <c r="K18" s="15">
        <f>F_Inputs!I16</f>
        <v>30.92</v>
      </c>
      <c r="L18" s="15">
        <f>F_Inputs!J16</f>
        <v>22.529999999999998</v>
      </c>
      <c r="M18" s="15">
        <f>F_Inputs!K16</f>
        <v>18.52</v>
      </c>
      <c r="N18" s="15">
        <f>F_Inputs!L16</f>
        <v>32.010038610038613</v>
      </c>
    </row>
    <row r="19" spans="1:14" s="1" customFormat="1" ht="13.15" x14ac:dyDescent="0.35">
      <c r="A19" s="6"/>
      <c r="E19" s="1" t="s">
        <v>39</v>
      </c>
      <c r="F19" s="16" t="s">
        <v>45</v>
      </c>
      <c r="G19" s="1" t="s">
        <v>46</v>
      </c>
      <c r="H19" s="10" t="s">
        <v>47</v>
      </c>
      <c r="I19" s="8"/>
      <c r="J19" s="15">
        <f>F_Inputs!H17</f>
        <v>100</v>
      </c>
      <c r="K19" s="15">
        <f>F_Inputs!I17</f>
        <v>39.491945560017854</v>
      </c>
      <c r="L19" s="15">
        <f>F_Inputs!J17</f>
        <v>44.194122885129119</v>
      </c>
      <c r="M19" s="15">
        <f>F_Inputs!K17</f>
        <v>37.966289959477706</v>
      </c>
      <c r="N19" s="15">
        <f>F_Inputs!L17</f>
        <v>42.836423690205017</v>
      </c>
    </row>
    <row r="20" spans="1:14" s="1" customFormat="1" ht="13.15" collapsed="1" x14ac:dyDescent="0.35">
      <c r="A20" s="6"/>
      <c r="F20" s="16"/>
      <c r="J20" s="14"/>
      <c r="K20" s="14"/>
      <c r="L20" s="14"/>
      <c r="M20" s="14"/>
    </row>
    <row r="21" spans="1:14" s="66" customFormat="1" ht="13.15" x14ac:dyDescent="0.4">
      <c r="A21" s="66" t="s">
        <v>49</v>
      </c>
      <c r="F21" s="67"/>
      <c r="J21" s="68"/>
      <c r="K21" s="68"/>
      <c r="L21" s="68"/>
      <c r="M21" s="68"/>
    </row>
    <row r="22" spans="1:14" hidden="1" x14ac:dyDescent="0.45">
      <c r="J22" s="14"/>
      <c r="K22" s="14"/>
      <c r="L22" s="14"/>
      <c r="M22" s="14"/>
    </row>
    <row r="23" spans="1:14" hidden="1" x14ac:dyDescent="0.45">
      <c r="J23" s="14"/>
      <c r="K23" s="14"/>
      <c r="L23" s="14"/>
      <c r="M23" s="14"/>
    </row>
    <row r="24" spans="1:14" hidden="1" x14ac:dyDescent="0.45">
      <c r="J24" s="14"/>
      <c r="K24" s="14"/>
      <c r="L24" s="14"/>
      <c r="M24" s="14"/>
    </row>
    <row r="25" spans="1:14" hidden="1" x14ac:dyDescent="0.45">
      <c r="J25" s="14"/>
      <c r="K25" s="14"/>
      <c r="L25" s="14"/>
      <c r="M25" s="14"/>
    </row>
    <row r="26" spans="1:14" hidden="1" x14ac:dyDescent="0.45">
      <c r="J26" s="14"/>
      <c r="K26" s="14"/>
      <c r="L26" s="14"/>
      <c r="M26" s="14"/>
    </row>
    <row r="27" spans="1:14" hidden="1" x14ac:dyDescent="0.45">
      <c r="J27" s="14"/>
      <c r="K27" s="14"/>
      <c r="L27" s="14"/>
      <c r="M27" s="14"/>
    </row>
    <row r="28" spans="1:14" hidden="1" x14ac:dyDescent="0.45">
      <c r="J28" s="14"/>
      <c r="K28" s="14"/>
      <c r="L28" s="14"/>
      <c r="M28" s="14"/>
    </row>
    <row r="29" spans="1:14" hidden="1" x14ac:dyDescent="0.45">
      <c r="J29" s="14"/>
      <c r="K29" s="14"/>
      <c r="L29" s="14"/>
      <c r="M29" s="14"/>
    </row>
    <row r="30" spans="1:14" hidden="1" x14ac:dyDescent="0.45">
      <c r="J30" s="14"/>
      <c r="K30" s="14"/>
      <c r="L30" s="14"/>
      <c r="M30" s="14"/>
    </row>
    <row r="31" spans="1:14" hidden="1" x14ac:dyDescent="0.45">
      <c r="J31" s="14"/>
      <c r="K31" s="14"/>
      <c r="L31" s="14"/>
      <c r="M31" s="14"/>
    </row>
    <row r="32" spans="1:14" hidden="1" x14ac:dyDescent="0.45">
      <c r="J32" s="14"/>
      <c r="K32" s="14"/>
      <c r="L32" s="14"/>
      <c r="M32" s="14"/>
    </row>
    <row r="33" spans="10:13" hidden="1" x14ac:dyDescent="0.45">
      <c r="J33" s="14"/>
      <c r="K33" s="14"/>
      <c r="L33" s="14"/>
      <c r="M33" s="14"/>
    </row>
    <row r="34" spans="10:13" hidden="1" x14ac:dyDescent="0.45">
      <c r="J34" s="14"/>
      <c r="K34" s="14"/>
      <c r="L34" s="14"/>
      <c r="M34" s="14"/>
    </row>
    <row r="35" spans="10:13" hidden="1" x14ac:dyDescent="0.45">
      <c r="J35" s="14"/>
      <c r="K35" s="14"/>
      <c r="L35" s="14"/>
      <c r="M35" s="14"/>
    </row>
    <row r="36" spans="10:13" hidden="1" x14ac:dyDescent="0.45">
      <c r="J36" s="14"/>
      <c r="K36" s="14"/>
      <c r="L36" s="14"/>
      <c r="M36" s="14"/>
    </row>
    <row r="37" spans="10:13" hidden="1" x14ac:dyDescent="0.45">
      <c r="J37" s="14"/>
      <c r="K37" s="14"/>
      <c r="L37" s="14"/>
      <c r="M37" s="14"/>
    </row>
    <row r="38" spans="10:13" hidden="1" x14ac:dyDescent="0.45">
      <c r="J38" s="14"/>
      <c r="K38" s="14"/>
      <c r="L38" s="14"/>
      <c r="M38" s="14"/>
    </row>
    <row r="39" spans="10:13" hidden="1" x14ac:dyDescent="0.45">
      <c r="J39" s="14"/>
      <c r="K39" s="14"/>
      <c r="L39" s="14"/>
      <c r="M39" s="14"/>
    </row>
    <row r="40" spans="10:13" hidden="1" x14ac:dyDescent="0.45">
      <c r="J40" s="14"/>
      <c r="K40" s="14"/>
      <c r="L40" s="14"/>
      <c r="M40" s="14"/>
    </row>
    <row r="41" spans="10:13" hidden="1" x14ac:dyDescent="0.45">
      <c r="J41" s="14"/>
      <c r="K41" s="14"/>
      <c r="L41" s="14"/>
      <c r="M41" s="14"/>
    </row>
    <row r="42" spans="10:13" hidden="1" x14ac:dyDescent="0.45">
      <c r="J42" s="14"/>
      <c r="K42" s="14"/>
      <c r="L42" s="14"/>
      <c r="M42" s="14"/>
    </row>
    <row r="43" spans="10:13" hidden="1" x14ac:dyDescent="0.45">
      <c r="J43" s="14"/>
      <c r="K43" s="14"/>
      <c r="L43" s="14"/>
      <c r="M43" s="14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314E0-FDE4-47A4-9661-FE3947B945AE}">
  <sheetPr codeName="Sheet5">
    <tabColor rgb="FFCCCCCE"/>
  </sheetPr>
  <dimension ref="A1:Q45"/>
  <sheetViews>
    <sheetView showGridLines="0" zoomScale="80" zoomScaleNormal="80" workbookViewId="0">
      <pane ySplit="5" topLeftCell="A6" activePane="bottomLeft" state="frozen"/>
      <selection pane="bottomLeft"/>
    </sheetView>
  </sheetViews>
  <sheetFormatPr defaultColWidth="0" defaultRowHeight="14.25" zeroHeight="1" outlineLevelRow="1" x14ac:dyDescent="0.45"/>
  <cols>
    <col min="1" max="1" width="1" style="6" customWidth="1"/>
    <col min="2" max="4" width="1" style="1" customWidth="1"/>
    <col min="5" max="5" width="9.875" style="58" customWidth="1"/>
    <col min="6" max="6" width="23.375" style="1" customWidth="1"/>
    <col min="7" max="7" width="24" style="1" bestFit="1" customWidth="1"/>
    <col min="8" max="8" width="7.875" style="1" customWidth="1"/>
    <col min="9" max="9" width="8.625" style="14" bestFit="1" customWidth="1"/>
    <col min="10" max="10" width="8.375" style="14" bestFit="1" customWidth="1"/>
    <col min="11" max="11" width="2.75" style="1" customWidth="1"/>
    <col min="12" max="16" width="9" style="14" customWidth="1"/>
    <col min="17" max="17" width="9" style="1" customWidth="1"/>
    <col min="18" max="16384" width="9" style="1" hidden="1"/>
  </cols>
  <sheetData>
    <row r="1" spans="1:16" s="4" customFormat="1" ht="30.75" x14ac:dyDescent="0.35">
      <c r="A1" s="4" t="str">
        <f ca="1">RIGHT(CELL("filename", A1), LEN(CELL("filename", A1)) - SEARCH("]", CELL("filename", A1)))</f>
        <v>Proxy PCL</v>
      </c>
      <c r="D1" s="5"/>
      <c r="I1" s="12"/>
      <c r="J1" s="12"/>
      <c r="L1" s="12"/>
      <c r="M1" s="12"/>
      <c r="N1" s="12"/>
      <c r="O1" s="12"/>
      <c r="P1" s="12"/>
    </row>
    <row r="2" spans="1:16" ht="13.15" x14ac:dyDescent="0.35">
      <c r="E2" s="1"/>
      <c r="J2" s="21"/>
      <c r="L2" s="13" t="s">
        <v>17</v>
      </c>
      <c r="M2" s="13" t="s">
        <v>18</v>
      </c>
      <c r="N2" s="13" t="s">
        <v>19</v>
      </c>
      <c r="O2" s="13" t="s">
        <v>20</v>
      </c>
      <c r="P2" s="13" t="s">
        <v>21</v>
      </c>
    </row>
    <row r="3" spans="1:16" ht="13.15" x14ac:dyDescent="0.35">
      <c r="E3" s="7" t="s">
        <v>41</v>
      </c>
      <c r="F3" s="7" t="s">
        <v>42</v>
      </c>
      <c r="G3" s="7" t="s">
        <v>43</v>
      </c>
      <c r="H3" s="7" t="s">
        <v>13</v>
      </c>
      <c r="I3" s="22" t="s">
        <v>50</v>
      </c>
      <c r="J3" s="23" t="s">
        <v>51</v>
      </c>
      <c r="K3" s="7"/>
    </row>
    <row r="4" spans="1:16" ht="13.15" x14ac:dyDescent="0.35">
      <c r="E4" s="1"/>
    </row>
    <row r="5" spans="1:16" ht="13.15" x14ac:dyDescent="0.35">
      <c r="E5" s="1"/>
      <c r="K5" s="3"/>
    </row>
    <row r="6" spans="1:16" ht="13.15" x14ac:dyDescent="0.35">
      <c r="E6" s="1"/>
    </row>
    <row r="7" spans="1:16" s="74" customFormat="1" ht="13.15" x14ac:dyDescent="0.35">
      <c r="A7" s="73" t="s">
        <v>44</v>
      </c>
      <c r="B7" s="73"/>
    </row>
    <row r="8" spans="1:16" ht="13.15" x14ac:dyDescent="0.35">
      <c r="E8" s="1"/>
    </row>
    <row r="9" spans="1:16" ht="13.15" x14ac:dyDescent="0.35">
      <c r="E9" s="1" t="s">
        <v>25</v>
      </c>
      <c r="F9" s="1" t="s">
        <v>45</v>
      </c>
      <c r="G9" s="1" t="s">
        <v>52</v>
      </c>
      <c r="H9" s="1" t="s">
        <v>47</v>
      </c>
      <c r="I9" s="24"/>
      <c r="J9" s="24"/>
      <c r="K9" s="9"/>
      <c r="L9" s="15">
        <f>Inputs_All!J9</f>
        <v>81.269137302551641</v>
      </c>
      <c r="M9" s="15">
        <f>Inputs_All!K9</f>
        <v>65.777983920841066</v>
      </c>
      <c r="N9" s="15">
        <f>Inputs_All!L9</f>
        <v>59.163378545006168</v>
      </c>
      <c r="O9" s="15">
        <f>Inputs_All!M9</f>
        <v>40.26947637292465</v>
      </c>
      <c r="P9" s="15">
        <f>Inputs_All!N9</f>
        <v>25.339864498644982</v>
      </c>
    </row>
    <row r="10" spans="1:16" ht="13.15" hidden="1" outlineLevel="1" x14ac:dyDescent="0.35">
      <c r="E10" s="1" t="s">
        <v>30</v>
      </c>
      <c r="F10" s="1" t="s">
        <v>45</v>
      </c>
      <c r="G10" s="1" t="s">
        <v>52</v>
      </c>
      <c r="H10" s="1" t="s">
        <v>47</v>
      </c>
      <c r="I10" s="24"/>
      <c r="J10" s="24"/>
      <c r="K10" s="8"/>
      <c r="L10" s="15">
        <f>Inputs_All!J10</f>
        <v>49.773219373219362</v>
      </c>
      <c r="M10" s="15">
        <f>Inputs_All!K10</f>
        <v>57.701324503311255</v>
      </c>
      <c r="N10" s="15">
        <f>Inputs_All!L10</f>
        <v>48.76807958477508</v>
      </c>
      <c r="O10" s="15">
        <f>Inputs_All!M10</f>
        <v>43.317843388960199</v>
      </c>
      <c r="P10" s="15">
        <f>Inputs_All!N10</f>
        <v>58.398784722222224</v>
      </c>
    </row>
    <row r="11" spans="1:16" ht="13.15" hidden="1" outlineLevel="1" x14ac:dyDescent="0.35">
      <c r="E11" s="1" t="s">
        <v>31</v>
      </c>
      <c r="F11" s="1" t="s">
        <v>45</v>
      </c>
      <c r="G11" s="1" t="s">
        <v>52</v>
      </c>
      <c r="H11" s="1" t="s">
        <v>47</v>
      </c>
      <c r="I11" s="24"/>
      <c r="J11" s="24"/>
      <c r="K11" s="8"/>
      <c r="L11" s="15" t="str">
        <f>Inputs_All!J11</f>
        <v/>
      </c>
      <c r="M11" s="15">
        <f>Inputs_All!K11</f>
        <v>38.093396226415088</v>
      </c>
      <c r="N11" s="15">
        <f>Inputs_All!L11</f>
        <v>50.79851851851852</v>
      </c>
      <c r="O11" s="15">
        <f>Inputs_All!M11</f>
        <v>41.80615384615384</v>
      </c>
      <c r="P11" s="15">
        <f>Inputs_All!N11</f>
        <v>41.953703703703702</v>
      </c>
    </row>
    <row r="12" spans="1:16" ht="13.15" hidden="1" outlineLevel="1" x14ac:dyDescent="0.35">
      <c r="E12" s="1" t="s">
        <v>32</v>
      </c>
      <c r="F12" s="1" t="s">
        <v>45</v>
      </c>
      <c r="G12" s="1" t="s">
        <v>52</v>
      </c>
      <c r="H12" s="1" t="s">
        <v>47</v>
      </c>
      <c r="I12" s="24"/>
      <c r="J12" s="24"/>
      <c r="K12" s="8"/>
      <c r="L12" s="15">
        <f>Inputs_All!J12</f>
        <v>26.267793594306049</v>
      </c>
      <c r="M12" s="15">
        <f>Inputs_All!K12</f>
        <v>26.339078947368421</v>
      </c>
      <c r="N12" s="15">
        <f>Inputs_All!L12</f>
        <v>35.072067645181875</v>
      </c>
      <c r="O12" s="15">
        <f>Inputs_All!M12</f>
        <v>29.137851662404096</v>
      </c>
      <c r="P12" s="15">
        <f>Inputs_All!N12</f>
        <v>36.127348242811507</v>
      </c>
    </row>
    <row r="13" spans="1:16" ht="13.15" hidden="1" outlineLevel="1" x14ac:dyDescent="0.35">
      <c r="E13" s="1" t="s">
        <v>33</v>
      </c>
      <c r="F13" s="1" t="s">
        <v>45</v>
      </c>
      <c r="G13" s="1" t="s">
        <v>52</v>
      </c>
      <c r="H13" s="1" t="s">
        <v>47</v>
      </c>
      <c r="I13" s="24"/>
      <c r="J13" s="24"/>
      <c r="K13" s="8"/>
      <c r="L13" s="15">
        <f>Inputs_All!J13</f>
        <v>74.096128131347342</v>
      </c>
      <c r="M13" s="15">
        <f>Inputs_All!K13</f>
        <v>48.149389349512205</v>
      </c>
      <c r="N13" s="15">
        <f>Inputs_All!L13</f>
        <v>40.429708080007472</v>
      </c>
      <c r="O13" s="15">
        <f>Inputs_All!M13</f>
        <v>33.576196642741273</v>
      </c>
      <c r="P13" s="15">
        <f>Inputs_All!N13</f>
        <v>34.8876497315159</v>
      </c>
    </row>
    <row r="14" spans="1:16" ht="13.15" hidden="1" outlineLevel="1" x14ac:dyDescent="0.35">
      <c r="E14" s="1" t="s">
        <v>34</v>
      </c>
      <c r="F14" s="1" t="s">
        <v>45</v>
      </c>
      <c r="G14" s="1" t="s">
        <v>52</v>
      </c>
      <c r="H14" s="1" t="s">
        <v>47</v>
      </c>
      <c r="I14" s="24"/>
      <c r="J14" s="24"/>
      <c r="K14" s="8"/>
      <c r="L14" s="15">
        <f>Inputs_All!J14</f>
        <v>25.802985074626864</v>
      </c>
      <c r="M14" s="15">
        <f>Inputs_All!K14</f>
        <v>31.382835820895522</v>
      </c>
      <c r="N14" s="15">
        <f>Inputs_All!L14</f>
        <v>31.704477611940298</v>
      </c>
      <c r="O14" s="15">
        <f>Inputs_All!M14</f>
        <v>28.031343283582089</v>
      </c>
      <c r="P14" s="15">
        <f>Inputs_All!N14</f>
        <v>41.020422535211267</v>
      </c>
    </row>
    <row r="15" spans="1:16" ht="13.15" hidden="1" outlineLevel="1" x14ac:dyDescent="0.35">
      <c r="E15" s="1" t="s">
        <v>35</v>
      </c>
      <c r="F15" s="1" t="s">
        <v>45</v>
      </c>
      <c r="G15" s="1" t="s">
        <v>52</v>
      </c>
      <c r="H15" s="1" t="s">
        <v>47</v>
      </c>
      <c r="I15" s="24"/>
      <c r="J15" s="24"/>
      <c r="K15" s="8"/>
      <c r="L15" s="15">
        <f>Inputs_All!J15</f>
        <v>20.929591002044994</v>
      </c>
      <c r="M15" s="15">
        <f>Inputs_All!K15</f>
        <v>29.70263803680982</v>
      </c>
      <c r="N15" s="15">
        <f>Inputs_All!L15</f>
        <v>28.450061349693257</v>
      </c>
      <c r="O15" s="15">
        <f>Inputs_All!M15</f>
        <v>25.721983640081802</v>
      </c>
      <c r="P15" s="15">
        <f>Inputs_All!N15</f>
        <v>38.008811475409843</v>
      </c>
    </row>
    <row r="16" spans="1:16" ht="13.15" hidden="1" outlineLevel="1" x14ac:dyDescent="0.35">
      <c r="E16" s="1" t="s">
        <v>36</v>
      </c>
      <c r="F16" s="1" t="s">
        <v>45</v>
      </c>
      <c r="G16" s="1" t="s">
        <v>52</v>
      </c>
      <c r="H16" s="1" t="s">
        <v>47</v>
      </c>
      <c r="I16" s="24"/>
      <c r="J16" s="24"/>
      <c r="K16" s="8"/>
      <c r="L16" s="15" t="str">
        <f>Inputs_All!J16</f>
        <v/>
      </c>
      <c r="M16" s="15">
        <f>Inputs_All!K16</f>
        <v>58.623993399339938</v>
      </c>
      <c r="N16" s="15">
        <f>Inputs_All!L16</f>
        <v>54.008877887788778</v>
      </c>
      <c r="O16" s="15">
        <f>Inputs_All!M16</f>
        <v>42.214422442244228</v>
      </c>
      <c r="P16" s="15">
        <f>Inputs_All!N16</f>
        <v>37.147495961227783</v>
      </c>
    </row>
    <row r="17" spans="1:16" ht="13.15" hidden="1" outlineLevel="1" x14ac:dyDescent="0.35">
      <c r="E17" s="1" t="s">
        <v>48</v>
      </c>
      <c r="F17" s="1" t="s">
        <v>45</v>
      </c>
      <c r="G17" s="1" t="s">
        <v>52</v>
      </c>
      <c r="H17" s="1" t="s">
        <v>47</v>
      </c>
      <c r="I17" s="24"/>
      <c r="J17" s="24"/>
      <c r="K17" s="8"/>
      <c r="L17" s="15" t="str">
        <f>Inputs_All!J17</f>
        <v/>
      </c>
      <c r="M17" s="15">
        <f>Inputs_All!K17</f>
        <v>63.90242276712825</v>
      </c>
      <c r="N17" s="15">
        <f>Inputs_All!L17</f>
        <v>53.029598540145749</v>
      </c>
      <c r="O17" s="15">
        <f>Inputs_All!M17</f>
        <v>49.727604259094456</v>
      </c>
      <c r="P17" s="15">
        <f>Inputs_All!N17</f>
        <v>50.63171378091873</v>
      </c>
    </row>
    <row r="18" spans="1:16" ht="13.15" hidden="1" outlineLevel="1" x14ac:dyDescent="0.35">
      <c r="E18" s="1" t="s">
        <v>38</v>
      </c>
      <c r="F18" s="1" t="s">
        <v>45</v>
      </c>
      <c r="G18" s="1" t="s">
        <v>52</v>
      </c>
      <c r="H18" s="1" t="s">
        <v>47</v>
      </c>
      <c r="I18" s="24"/>
      <c r="J18" s="24"/>
      <c r="K18" s="8"/>
      <c r="L18" s="15">
        <f>Inputs_All!J18</f>
        <v>26.8</v>
      </c>
      <c r="M18" s="15">
        <f>Inputs_All!K18</f>
        <v>30.92</v>
      </c>
      <c r="N18" s="15">
        <f>Inputs_All!L18</f>
        <v>22.529999999999998</v>
      </c>
      <c r="O18" s="15">
        <f>Inputs_All!M18</f>
        <v>18.52</v>
      </c>
      <c r="P18" s="15">
        <f>Inputs_All!N18</f>
        <v>32.010038610038613</v>
      </c>
    </row>
    <row r="19" spans="1:16" ht="13.15" hidden="1" outlineLevel="1" x14ac:dyDescent="0.35">
      <c r="E19" s="1" t="s">
        <v>39</v>
      </c>
      <c r="F19" s="1" t="s">
        <v>45</v>
      </c>
      <c r="G19" s="1" t="s">
        <v>52</v>
      </c>
      <c r="H19" s="1" t="s">
        <v>47</v>
      </c>
      <c r="I19" s="24"/>
      <c r="J19" s="24"/>
      <c r="K19" s="8"/>
      <c r="L19" s="15">
        <f>Inputs_All!J19</f>
        <v>100</v>
      </c>
      <c r="M19" s="15">
        <f>Inputs_All!K19</f>
        <v>39.491945560017854</v>
      </c>
      <c r="N19" s="15">
        <f>Inputs_All!L19</f>
        <v>44.194122885129119</v>
      </c>
      <c r="O19" s="15">
        <f>Inputs_All!M19</f>
        <v>37.966289959477706</v>
      </c>
      <c r="P19" s="15">
        <f>Inputs_All!N19</f>
        <v>42.836423690205017</v>
      </c>
    </row>
    <row r="20" spans="1:16" ht="13.15" collapsed="1" x14ac:dyDescent="0.35">
      <c r="E20" s="1"/>
    </row>
    <row r="21" spans="1:16" s="74" customFormat="1" ht="13.15" x14ac:dyDescent="0.35">
      <c r="A21" s="73" t="s">
        <v>53</v>
      </c>
      <c r="B21" s="73"/>
    </row>
    <row r="22" spans="1:16" ht="13.15" x14ac:dyDescent="0.35">
      <c r="E22" s="1"/>
      <c r="J22" s="21"/>
    </row>
    <row r="23" spans="1:16" ht="13.15" x14ac:dyDescent="0.35">
      <c r="E23" s="1"/>
      <c r="F23" s="1" t="s">
        <v>45</v>
      </c>
      <c r="G23" s="1" t="s">
        <v>52</v>
      </c>
      <c r="H23" s="1" t="s">
        <v>47</v>
      </c>
      <c r="I23" s="14" t="s">
        <v>54</v>
      </c>
      <c r="J23" s="25">
        <v>0.1</v>
      </c>
      <c r="K23" s="9"/>
      <c r="L23" s="19">
        <f>_xlfn.PERCENTILE.INC(L$9:L$19,$J23)</f>
        <v>24.340966852852304</v>
      </c>
      <c r="M23" s="19">
        <f t="shared" ref="M23:P38" si="0">_xlfn.PERCENTILE.INC(M$9:M$19,$J23)</f>
        <v>29.70263803680982</v>
      </c>
      <c r="N23" s="19">
        <f t="shared" si="0"/>
        <v>28.450061349693257</v>
      </c>
      <c r="O23" s="19">
        <f t="shared" si="0"/>
        <v>25.721983640081802</v>
      </c>
      <c r="P23" s="19">
        <f t="shared" si="0"/>
        <v>32.010038610038613</v>
      </c>
    </row>
    <row r="24" spans="1:16" ht="13.15" hidden="1" outlineLevel="1" x14ac:dyDescent="0.35">
      <c r="E24" s="1"/>
      <c r="F24" s="1" t="s">
        <v>45</v>
      </c>
      <c r="G24" s="1" t="s">
        <v>52</v>
      </c>
      <c r="H24" s="1" t="s">
        <v>47</v>
      </c>
      <c r="I24" s="14" t="s">
        <v>55</v>
      </c>
      <c r="J24" s="25">
        <v>0.15</v>
      </c>
      <c r="K24" s="8"/>
      <c r="L24" s="19">
        <f t="shared" ref="L24:L29" si="1">_xlfn.PERCENTILE.INC(L$9:L$19,$J24)</f>
        <v>25.826225500610825</v>
      </c>
      <c r="M24" s="19">
        <f>_xlfn.PERCENTILE.INC(M$9:M$19,$J24)</f>
        <v>30.311319018404909</v>
      </c>
      <c r="N24" s="19">
        <f t="shared" si="0"/>
        <v>30.077269480816778</v>
      </c>
      <c r="O24" s="19">
        <f t="shared" si="0"/>
        <v>26.876663461831946</v>
      </c>
      <c r="P24" s="19">
        <f t="shared" si="0"/>
        <v>33.448844170777257</v>
      </c>
    </row>
    <row r="25" spans="1:16" ht="13.15" hidden="1" outlineLevel="1" x14ac:dyDescent="0.35">
      <c r="E25" s="1"/>
      <c r="F25" s="1" t="s">
        <v>45</v>
      </c>
      <c r="G25" s="1" t="s">
        <v>52</v>
      </c>
      <c r="H25" s="1" t="s">
        <v>47</v>
      </c>
      <c r="I25" s="14" t="s">
        <v>56</v>
      </c>
      <c r="J25" s="25">
        <v>0.2</v>
      </c>
      <c r="K25" s="8"/>
      <c r="L25" s="19">
        <f t="shared" si="1"/>
        <v>25.988908482498537</v>
      </c>
      <c r="M25" s="19">
        <f t="shared" si="0"/>
        <v>30.92</v>
      </c>
      <c r="N25" s="19">
        <f t="shared" si="0"/>
        <v>31.704477611940298</v>
      </c>
      <c r="O25" s="19">
        <f t="shared" si="0"/>
        <v>28.031343283582089</v>
      </c>
      <c r="P25" s="19">
        <f t="shared" si="0"/>
        <v>34.8876497315159</v>
      </c>
    </row>
    <row r="26" spans="1:16" ht="13.15" hidden="1" outlineLevel="1" x14ac:dyDescent="0.35">
      <c r="E26" s="1"/>
      <c r="F26" s="1" t="s">
        <v>45</v>
      </c>
      <c r="G26" s="1" t="s">
        <v>52</v>
      </c>
      <c r="H26" s="1" t="s">
        <v>47</v>
      </c>
      <c r="I26" s="14" t="s">
        <v>57</v>
      </c>
      <c r="J26" s="25">
        <v>0.25</v>
      </c>
      <c r="K26" s="8"/>
      <c r="L26" s="19">
        <f t="shared" si="1"/>
        <v>26.151591464386254</v>
      </c>
      <c r="M26" s="19">
        <f t="shared" si="0"/>
        <v>31.151417910447762</v>
      </c>
      <c r="N26" s="19">
        <f t="shared" si="0"/>
        <v>33.388272628561083</v>
      </c>
      <c r="O26" s="19">
        <f t="shared" si="0"/>
        <v>28.584597472993092</v>
      </c>
      <c r="P26" s="19">
        <f t="shared" si="0"/>
        <v>35.5074989871637</v>
      </c>
    </row>
    <row r="27" spans="1:16" ht="13.15" hidden="1" outlineLevel="1" x14ac:dyDescent="0.35">
      <c r="E27" s="1"/>
      <c r="F27" s="1" t="s">
        <v>45</v>
      </c>
      <c r="G27" s="1" t="s">
        <v>52</v>
      </c>
      <c r="H27" s="1" t="s">
        <v>47</v>
      </c>
      <c r="I27" s="14" t="s">
        <v>58</v>
      </c>
      <c r="J27" s="25">
        <v>0.3</v>
      </c>
      <c r="K27" s="8"/>
      <c r="L27" s="19">
        <f t="shared" si="1"/>
        <v>26.321014234875445</v>
      </c>
      <c r="M27" s="19">
        <f t="shared" si="0"/>
        <v>31.382835820895522</v>
      </c>
      <c r="N27" s="19">
        <f t="shared" si="0"/>
        <v>35.072067645181875</v>
      </c>
      <c r="O27" s="19">
        <f t="shared" si="0"/>
        <v>29.137851662404096</v>
      </c>
      <c r="P27" s="19">
        <f t="shared" si="0"/>
        <v>36.127348242811507</v>
      </c>
    </row>
    <row r="28" spans="1:16" ht="13.15" hidden="1" outlineLevel="1" x14ac:dyDescent="0.35">
      <c r="E28" s="1"/>
      <c r="F28" s="1" t="s">
        <v>45</v>
      </c>
      <c r="G28" s="1" t="s">
        <v>52</v>
      </c>
      <c r="H28" s="1" t="s">
        <v>47</v>
      </c>
      <c r="I28" s="14" t="s">
        <v>59</v>
      </c>
      <c r="J28" s="25">
        <v>0.35</v>
      </c>
      <c r="K28" s="8"/>
      <c r="L28" s="19">
        <f t="shared" si="1"/>
        <v>26.507286476868327</v>
      </c>
      <c r="M28" s="19">
        <f t="shared" si="0"/>
        <v>34.738116023655309</v>
      </c>
      <c r="N28" s="19">
        <f t="shared" si="0"/>
        <v>37.750887862594674</v>
      </c>
      <c r="O28" s="19">
        <f t="shared" si="0"/>
        <v>31.357024152572684</v>
      </c>
      <c r="P28" s="19">
        <f t="shared" si="0"/>
        <v>36.637422102019642</v>
      </c>
    </row>
    <row r="29" spans="1:16" ht="13.15" hidden="1" outlineLevel="1" x14ac:dyDescent="0.35">
      <c r="E29" s="1"/>
      <c r="F29" s="1" t="s">
        <v>45</v>
      </c>
      <c r="G29" s="1" t="s">
        <v>52</v>
      </c>
      <c r="H29" s="1" t="s">
        <v>47</v>
      </c>
      <c r="I29" s="14" t="s">
        <v>60</v>
      </c>
      <c r="J29" s="25">
        <v>0.4</v>
      </c>
      <c r="K29" s="8"/>
      <c r="L29" s="19">
        <f t="shared" si="1"/>
        <v>26.693558718861212</v>
      </c>
      <c r="M29" s="19">
        <f t="shared" si="0"/>
        <v>38.093396226415088</v>
      </c>
      <c r="N29" s="19">
        <f t="shared" si="0"/>
        <v>40.429708080007472</v>
      </c>
      <c r="O29" s="19">
        <f t="shared" si="0"/>
        <v>33.576196642741273</v>
      </c>
      <c r="P29" s="19">
        <f t="shared" si="0"/>
        <v>37.147495961227783</v>
      </c>
    </row>
    <row r="30" spans="1:16" ht="13.15" hidden="1" outlineLevel="1" x14ac:dyDescent="0.35">
      <c r="E30" s="1"/>
      <c r="F30" s="1" t="s">
        <v>45</v>
      </c>
      <c r="G30" s="1" t="s">
        <v>52</v>
      </c>
      <c r="H30" s="1" t="s">
        <v>47</v>
      </c>
      <c r="I30" s="14" t="s">
        <v>61</v>
      </c>
      <c r="J30" s="25">
        <v>0.45</v>
      </c>
      <c r="K30" s="8"/>
      <c r="L30" s="19">
        <f t="shared" ref="L30:P39" si="2">_xlfn.PERCENTILE.INC(L$9:L$19,$J30)</f>
        <v>30.245982905982913</v>
      </c>
      <c r="M30" s="19">
        <f t="shared" si="0"/>
        <v>38.792670893216467</v>
      </c>
      <c r="N30" s="19">
        <f t="shared" si="0"/>
        <v>42.311915482568295</v>
      </c>
      <c r="O30" s="19">
        <f t="shared" si="0"/>
        <v>35.771243301109493</v>
      </c>
      <c r="P30" s="19">
        <f t="shared" si="0"/>
        <v>37.578153718318816</v>
      </c>
    </row>
    <row r="31" spans="1:16" ht="13.15" hidden="1" outlineLevel="1" x14ac:dyDescent="0.35">
      <c r="E31" s="1"/>
      <c r="F31" s="1" t="s">
        <v>45</v>
      </c>
      <c r="G31" s="1" t="s">
        <v>52</v>
      </c>
      <c r="H31" s="1" t="s">
        <v>47</v>
      </c>
      <c r="I31" s="14" t="s">
        <v>62</v>
      </c>
      <c r="J31" s="25">
        <v>0.5</v>
      </c>
      <c r="K31" s="8"/>
      <c r="L31" s="19">
        <f t="shared" si="2"/>
        <v>38.28660968660968</v>
      </c>
      <c r="M31" s="19">
        <f t="shared" si="0"/>
        <v>39.491945560017854</v>
      </c>
      <c r="N31" s="19">
        <f t="shared" si="0"/>
        <v>44.194122885129119</v>
      </c>
      <c r="O31" s="19">
        <f t="shared" si="0"/>
        <v>37.966289959477706</v>
      </c>
      <c r="P31" s="19">
        <f t="shared" si="0"/>
        <v>38.008811475409843</v>
      </c>
    </row>
    <row r="32" spans="1:16" ht="13.15" hidden="1" outlineLevel="1" x14ac:dyDescent="0.35">
      <c r="E32" s="1"/>
      <c r="F32" s="1" t="s">
        <v>45</v>
      </c>
      <c r="G32" s="1" t="s">
        <v>52</v>
      </c>
      <c r="H32" s="1" t="s">
        <v>47</v>
      </c>
      <c r="I32" s="14" t="s">
        <v>63</v>
      </c>
      <c r="J32" s="25">
        <v>0.55000000000000004</v>
      </c>
      <c r="K32" s="8"/>
      <c r="L32" s="19">
        <f t="shared" si="2"/>
        <v>46.327236467236474</v>
      </c>
      <c r="M32" s="19">
        <f t="shared" si="0"/>
        <v>43.820667454765029</v>
      </c>
      <c r="N32" s="19">
        <f t="shared" si="0"/>
        <v>46.481101234952099</v>
      </c>
      <c r="O32" s="19">
        <f t="shared" si="0"/>
        <v>39.117883166201182</v>
      </c>
      <c r="P32" s="19">
        <f t="shared" si="0"/>
        <v>39.514617005310555</v>
      </c>
    </row>
    <row r="33" spans="1:16" ht="13.15" hidden="1" outlineLevel="1" x14ac:dyDescent="0.35">
      <c r="E33" s="1"/>
      <c r="F33" s="1" t="s">
        <v>45</v>
      </c>
      <c r="G33" s="1" t="s">
        <v>52</v>
      </c>
      <c r="H33" s="1" t="s">
        <v>47</v>
      </c>
      <c r="I33" s="14" t="s">
        <v>64</v>
      </c>
      <c r="J33" s="25">
        <v>0.6</v>
      </c>
      <c r="K33" s="8"/>
      <c r="L33" s="19">
        <f t="shared" si="2"/>
        <v>54.637801124844962</v>
      </c>
      <c r="M33" s="19">
        <f t="shared" si="0"/>
        <v>48.149389349512205</v>
      </c>
      <c r="N33" s="19">
        <f t="shared" si="0"/>
        <v>48.76807958477508</v>
      </c>
      <c r="O33" s="19">
        <f t="shared" si="0"/>
        <v>40.26947637292465</v>
      </c>
      <c r="P33" s="19">
        <f t="shared" si="0"/>
        <v>41.020422535211267</v>
      </c>
    </row>
    <row r="34" spans="1:16" ht="13.15" hidden="1" outlineLevel="1" x14ac:dyDescent="0.35">
      <c r="E34" s="1"/>
      <c r="F34" s="1" t="s">
        <v>45</v>
      </c>
      <c r="G34" s="1" t="s">
        <v>52</v>
      </c>
      <c r="H34" s="1" t="s">
        <v>47</v>
      </c>
      <c r="I34" s="14" t="s">
        <v>65</v>
      </c>
      <c r="J34" s="25">
        <v>0.65</v>
      </c>
      <c r="K34" s="8"/>
      <c r="L34" s="19">
        <f t="shared" si="2"/>
        <v>63.15081919018975</v>
      </c>
      <c r="M34" s="19">
        <f t="shared" si="0"/>
        <v>52.92535692641173</v>
      </c>
      <c r="N34" s="19">
        <f t="shared" si="0"/>
        <v>49.7832990516468</v>
      </c>
      <c r="O34" s="19">
        <f t="shared" si="0"/>
        <v>41.037815109539245</v>
      </c>
      <c r="P34" s="19">
        <f t="shared" si="0"/>
        <v>41.487063119457488</v>
      </c>
    </row>
    <row r="35" spans="1:16" ht="13.15" hidden="1" outlineLevel="1" x14ac:dyDescent="0.35">
      <c r="E35" s="1"/>
      <c r="F35" s="1" t="s">
        <v>45</v>
      </c>
      <c r="G35" s="1" t="s">
        <v>52</v>
      </c>
      <c r="H35" s="1" t="s">
        <v>47</v>
      </c>
      <c r="I35" s="14" t="s">
        <v>66</v>
      </c>
      <c r="J35" s="25">
        <v>0.7</v>
      </c>
      <c r="K35" s="8"/>
      <c r="L35" s="19">
        <f t="shared" si="2"/>
        <v>71.663837255534531</v>
      </c>
      <c r="M35" s="19">
        <f t="shared" si="0"/>
        <v>57.701324503311255</v>
      </c>
      <c r="N35" s="19">
        <f t="shared" si="0"/>
        <v>50.79851851851852</v>
      </c>
      <c r="O35" s="19">
        <f t="shared" si="0"/>
        <v>41.80615384615384</v>
      </c>
      <c r="P35" s="19">
        <f t="shared" si="0"/>
        <v>41.953703703703702</v>
      </c>
    </row>
    <row r="36" spans="1:16" ht="13.15" hidden="1" outlineLevel="1" x14ac:dyDescent="0.35">
      <c r="E36" s="1"/>
      <c r="F36" s="1" t="s">
        <v>45</v>
      </c>
      <c r="G36" s="1" t="s">
        <v>52</v>
      </c>
      <c r="H36" s="1" t="s">
        <v>47</v>
      </c>
      <c r="I36" s="14" t="s">
        <v>67</v>
      </c>
      <c r="J36" s="25">
        <v>0.75</v>
      </c>
      <c r="K36" s="8"/>
      <c r="L36" s="19">
        <f t="shared" si="2"/>
        <v>75.889380424148413</v>
      </c>
      <c r="M36" s="19">
        <f t="shared" si="0"/>
        <v>58.162658951325596</v>
      </c>
      <c r="N36" s="19">
        <f t="shared" si="0"/>
        <v>51.914058529332138</v>
      </c>
      <c r="O36" s="19">
        <f t="shared" si="0"/>
        <v>42.010288144199038</v>
      </c>
      <c r="P36" s="19">
        <f t="shared" si="0"/>
        <v>42.39506369695436</v>
      </c>
    </row>
    <row r="37" spans="1:16" ht="13.15" hidden="1" outlineLevel="1" x14ac:dyDescent="0.35">
      <c r="E37" s="1"/>
      <c r="F37" s="1" t="s">
        <v>45</v>
      </c>
      <c r="G37" s="1" t="s">
        <v>52</v>
      </c>
      <c r="H37" s="1" t="s">
        <v>47</v>
      </c>
      <c r="I37" s="14" t="s">
        <v>68</v>
      </c>
      <c r="J37" s="25">
        <v>0.8</v>
      </c>
      <c r="K37" s="8"/>
      <c r="L37" s="19">
        <f t="shared" si="2"/>
        <v>78.399933634069924</v>
      </c>
      <c r="M37" s="19">
        <f t="shared" si="0"/>
        <v>58.623993399339938</v>
      </c>
      <c r="N37" s="19">
        <f t="shared" si="0"/>
        <v>53.029598540145749</v>
      </c>
      <c r="O37" s="19">
        <f t="shared" si="0"/>
        <v>42.214422442244228</v>
      </c>
      <c r="P37" s="19">
        <f t="shared" si="0"/>
        <v>42.836423690205017</v>
      </c>
    </row>
    <row r="38" spans="1:16" ht="13.15" hidden="1" outlineLevel="1" x14ac:dyDescent="0.35">
      <c r="E38" s="1"/>
      <c r="F38" s="1" t="s">
        <v>45</v>
      </c>
      <c r="G38" s="1" t="s">
        <v>52</v>
      </c>
      <c r="H38" s="1" t="s">
        <v>47</v>
      </c>
      <c r="I38" s="14" t="s">
        <v>69</v>
      </c>
      <c r="J38" s="25">
        <v>0.85</v>
      </c>
      <c r="K38" s="8"/>
      <c r="L38" s="19">
        <f t="shared" si="2"/>
        <v>80.910486843991421</v>
      </c>
      <c r="M38" s="19">
        <f t="shared" si="0"/>
        <v>61.26320808323409</v>
      </c>
      <c r="N38" s="19">
        <f t="shared" si="0"/>
        <v>53.519238213967263</v>
      </c>
      <c r="O38" s="19">
        <f t="shared" si="0"/>
        <v>42.766132915602213</v>
      </c>
      <c r="P38" s="19">
        <f t="shared" si="0"/>
        <v>46.734068735561877</v>
      </c>
    </row>
    <row r="39" spans="1:16" ht="13.15" hidden="1" outlineLevel="1" x14ac:dyDescent="0.35">
      <c r="E39" s="1"/>
      <c r="F39" s="1" t="s">
        <v>45</v>
      </c>
      <c r="G39" s="1" t="s">
        <v>52</v>
      </c>
      <c r="H39" s="1" t="s">
        <v>47</v>
      </c>
      <c r="I39" s="14" t="s">
        <v>70</v>
      </c>
      <c r="J39" s="25">
        <v>0.9</v>
      </c>
      <c r="K39" s="8"/>
      <c r="L39" s="19">
        <f>_xlfn.PERCENTILE.INC(L$9:L$19,$J39)</f>
        <v>86.88839611178615</v>
      </c>
      <c r="M39" s="19">
        <f t="shared" si="2"/>
        <v>63.90242276712825</v>
      </c>
      <c r="N39" s="19">
        <f t="shared" si="2"/>
        <v>54.008877887788778</v>
      </c>
      <c r="O39" s="19">
        <f t="shared" si="2"/>
        <v>43.317843388960199</v>
      </c>
      <c r="P39" s="19">
        <f t="shared" si="2"/>
        <v>50.63171378091873</v>
      </c>
    </row>
    <row r="40" spans="1:16" ht="13.15" collapsed="1" x14ac:dyDescent="0.35">
      <c r="E40" s="1"/>
    </row>
    <row r="41" spans="1:16" s="74" customFormat="1" ht="13.15" x14ac:dyDescent="0.35">
      <c r="A41" s="73" t="s">
        <v>71</v>
      </c>
      <c r="B41" s="73"/>
    </row>
    <row r="42" spans="1:16" x14ac:dyDescent="0.45"/>
    <row r="43" spans="1:16" ht="13.15" x14ac:dyDescent="0.35">
      <c r="E43" s="1"/>
      <c r="F43" s="1" t="s">
        <v>45</v>
      </c>
      <c r="G43" s="1" t="s">
        <v>72</v>
      </c>
      <c r="H43" s="1" t="s">
        <v>47</v>
      </c>
      <c r="I43" s="24"/>
      <c r="J43" s="24"/>
      <c r="L43" s="20">
        <f>AVERAGE(L23,L39)</f>
        <v>55.614681482319227</v>
      </c>
      <c r="M43" s="20">
        <f>AVERAGE(M23,M39)</f>
        <v>46.802530401969037</v>
      </c>
      <c r="N43" s="20">
        <f>AVERAGE(N23,N39)</f>
        <v>41.229469618741021</v>
      </c>
      <c r="O43" s="20">
        <f>AVERAGE(O23,O39)</f>
        <v>34.519913514521001</v>
      </c>
      <c r="P43" s="20">
        <f>AVERAGE(P23,P39)</f>
        <v>41.320876195478675</v>
      </c>
    </row>
    <row r="44" spans="1:16" x14ac:dyDescent="0.45">
      <c r="L44" s="19"/>
      <c r="M44" s="19"/>
      <c r="N44" s="19"/>
      <c r="O44" s="19"/>
    </row>
    <row r="45" spans="1:16" s="66" customFormat="1" ht="13.15" x14ac:dyDescent="0.4">
      <c r="A45" s="66" t="s">
        <v>49</v>
      </c>
      <c r="I45" s="68"/>
      <c r="J45" s="68"/>
      <c r="L45" s="68"/>
      <c r="M45" s="68"/>
      <c r="N45" s="68"/>
      <c r="O45" s="68"/>
      <c r="P45" s="68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EBEF3-1C5F-4775-A011-D7F8F00ED1A0}">
  <sheetPr codeName="Sheet6">
    <tabColor rgb="FFCCCCCE"/>
  </sheetPr>
  <dimension ref="A1:R53"/>
  <sheetViews>
    <sheetView showGridLines="0" zoomScale="80" zoomScaleNormal="80" workbookViewId="0">
      <pane ySplit="5" topLeftCell="A7" activePane="bottomLeft" state="frozen"/>
      <selection pane="bottomLeft"/>
    </sheetView>
  </sheetViews>
  <sheetFormatPr defaultColWidth="0" defaultRowHeight="14.25" zeroHeight="1" outlineLevelRow="1" x14ac:dyDescent="0.45"/>
  <cols>
    <col min="1" max="1" width="1" style="6" customWidth="1"/>
    <col min="2" max="4" width="1" style="1" customWidth="1"/>
    <col min="5" max="5" width="8.125" style="58" customWidth="1"/>
    <col min="6" max="6" width="20.375" style="1" bestFit="1" customWidth="1"/>
    <col min="7" max="7" width="31.625" style="1" customWidth="1"/>
    <col min="8" max="8" width="7.875" style="1" customWidth="1"/>
    <col min="9" max="9" width="2.75" style="1" customWidth="1"/>
    <col min="10" max="14" width="9" style="14" customWidth="1"/>
    <col min="15" max="18" width="0" style="1" hidden="1" customWidth="1"/>
    <col min="19" max="16384" width="9" style="1" hidden="1"/>
  </cols>
  <sheetData>
    <row r="1" spans="1:14" s="4" customFormat="1" ht="30.75" x14ac:dyDescent="0.35">
      <c r="A1" s="4" t="str">
        <f ca="1">RIGHT(CELL("filename", A1), LEN(CELL("filename", A1)) - SEARCH("]", CELL("filename", A1)))</f>
        <v>Difference to PCL</v>
      </c>
      <c r="D1" s="5"/>
      <c r="J1" s="12"/>
      <c r="K1" s="12"/>
      <c r="L1" s="12"/>
      <c r="M1" s="12"/>
      <c r="N1" s="12"/>
    </row>
    <row r="2" spans="1:14" ht="13.15" x14ac:dyDescent="0.35">
      <c r="E2" s="1"/>
      <c r="J2" s="13" t="s">
        <v>17</v>
      </c>
      <c r="K2" s="13" t="s">
        <v>18</v>
      </c>
      <c r="L2" s="13" t="s">
        <v>19</v>
      </c>
      <c r="M2" s="13" t="s">
        <v>20</v>
      </c>
      <c r="N2" s="13" t="s">
        <v>21</v>
      </c>
    </row>
    <row r="3" spans="1:14" ht="13.15" x14ac:dyDescent="0.35">
      <c r="E3" s="7" t="s">
        <v>41</v>
      </c>
      <c r="F3" s="7" t="s">
        <v>42</v>
      </c>
      <c r="G3" s="7" t="s">
        <v>43</v>
      </c>
      <c r="H3" s="7" t="s">
        <v>13</v>
      </c>
      <c r="I3" s="7"/>
    </row>
    <row r="4" spans="1:14" ht="13.15" x14ac:dyDescent="0.35">
      <c r="E4" s="1"/>
    </row>
    <row r="5" spans="1:14" ht="13.15" x14ac:dyDescent="0.35">
      <c r="E5" s="1"/>
      <c r="I5" s="3"/>
    </row>
    <row r="6" spans="1:14" ht="13.15" x14ac:dyDescent="0.35">
      <c r="E6" s="1"/>
    </row>
    <row r="7" spans="1:14" s="63" customFormat="1" ht="13.15" x14ac:dyDescent="0.35">
      <c r="A7" s="63" t="s">
        <v>44</v>
      </c>
      <c r="J7" s="65"/>
      <c r="K7" s="65"/>
      <c r="L7" s="65"/>
      <c r="M7" s="65"/>
      <c r="N7" s="65"/>
    </row>
    <row r="8" spans="1:14" ht="13.15" x14ac:dyDescent="0.35">
      <c r="E8" s="1"/>
    </row>
    <row r="9" spans="1:14" ht="13.15" x14ac:dyDescent="0.35">
      <c r="E9" s="1" t="s">
        <v>25</v>
      </c>
      <c r="F9" s="1" t="s">
        <v>45</v>
      </c>
      <c r="G9" s="1" t="s">
        <v>52</v>
      </c>
      <c r="H9" s="1" t="s">
        <v>47</v>
      </c>
      <c r="I9" s="9"/>
      <c r="J9" s="15">
        <f>Inputs_All!J9</f>
        <v>81.269137302551641</v>
      </c>
      <c r="K9" s="15">
        <f>Inputs_All!K9</f>
        <v>65.777983920841066</v>
      </c>
      <c r="L9" s="15">
        <f>Inputs_All!L9</f>
        <v>59.163378545006168</v>
      </c>
      <c r="M9" s="15">
        <f>Inputs_All!M9</f>
        <v>40.26947637292465</v>
      </c>
      <c r="N9" s="15">
        <f>Inputs_All!N9</f>
        <v>25.339864498644982</v>
      </c>
    </row>
    <row r="10" spans="1:14" ht="13.15" hidden="1" outlineLevel="1" x14ac:dyDescent="0.35">
      <c r="E10" s="1" t="s">
        <v>30</v>
      </c>
      <c r="F10" s="1" t="s">
        <v>45</v>
      </c>
      <c r="G10" s="1" t="s">
        <v>52</v>
      </c>
      <c r="H10" s="1" t="s">
        <v>47</v>
      </c>
      <c r="I10" s="8"/>
      <c r="J10" s="15">
        <f>Inputs_All!J10</f>
        <v>49.773219373219362</v>
      </c>
      <c r="K10" s="15">
        <f>Inputs_All!K10</f>
        <v>57.701324503311255</v>
      </c>
      <c r="L10" s="15">
        <f>Inputs_All!L10</f>
        <v>48.76807958477508</v>
      </c>
      <c r="M10" s="15">
        <f>Inputs_All!M10</f>
        <v>43.317843388960199</v>
      </c>
      <c r="N10" s="15">
        <f>Inputs_All!N10</f>
        <v>58.398784722222224</v>
      </c>
    </row>
    <row r="11" spans="1:14" ht="13.15" hidden="1" outlineLevel="1" x14ac:dyDescent="0.35">
      <c r="E11" s="1" t="s">
        <v>31</v>
      </c>
      <c r="F11" s="1" t="s">
        <v>45</v>
      </c>
      <c r="G11" s="1" t="s">
        <v>52</v>
      </c>
      <c r="H11" s="1" t="s">
        <v>47</v>
      </c>
      <c r="I11" s="8"/>
      <c r="J11" s="15" t="str">
        <f>Inputs_All!J11</f>
        <v/>
      </c>
      <c r="K11" s="15">
        <f>Inputs_All!K11</f>
        <v>38.093396226415088</v>
      </c>
      <c r="L11" s="15">
        <f>Inputs_All!L11</f>
        <v>50.79851851851852</v>
      </c>
      <c r="M11" s="15">
        <f>Inputs_All!M11</f>
        <v>41.80615384615384</v>
      </c>
      <c r="N11" s="15">
        <f>Inputs_All!N11</f>
        <v>41.953703703703702</v>
      </c>
    </row>
    <row r="12" spans="1:14" ht="13.15" hidden="1" outlineLevel="1" x14ac:dyDescent="0.35">
      <c r="E12" s="1" t="s">
        <v>32</v>
      </c>
      <c r="F12" s="1" t="s">
        <v>45</v>
      </c>
      <c r="G12" s="1" t="s">
        <v>52</v>
      </c>
      <c r="H12" s="1" t="s">
        <v>47</v>
      </c>
      <c r="I12" s="8"/>
      <c r="J12" s="15">
        <f>Inputs_All!J12</f>
        <v>26.267793594306049</v>
      </c>
      <c r="K12" s="15">
        <f>Inputs_All!K12</f>
        <v>26.339078947368421</v>
      </c>
      <c r="L12" s="15">
        <f>Inputs_All!L12</f>
        <v>35.072067645181875</v>
      </c>
      <c r="M12" s="15">
        <f>Inputs_All!M12</f>
        <v>29.137851662404096</v>
      </c>
      <c r="N12" s="15">
        <f>Inputs_All!N12</f>
        <v>36.127348242811507</v>
      </c>
    </row>
    <row r="13" spans="1:14" ht="13.15" hidden="1" outlineLevel="1" x14ac:dyDescent="0.35">
      <c r="E13" s="1" t="s">
        <v>33</v>
      </c>
      <c r="F13" s="1" t="s">
        <v>45</v>
      </c>
      <c r="G13" s="1" t="s">
        <v>52</v>
      </c>
      <c r="H13" s="1" t="s">
        <v>47</v>
      </c>
      <c r="I13" s="8"/>
      <c r="J13" s="15">
        <f>Inputs_All!J13</f>
        <v>74.096128131347342</v>
      </c>
      <c r="K13" s="15">
        <f>Inputs_All!K13</f>
        <v>48.149389349512205</v>
      </c>
      <c r="L13" s="15">
        <f>Inputs_All!L13</f>
        <v>40.429708080007472</v>
      </c>
      <c r="M13" s="15">
        <f>Inputs_All!M13</f>
        <v>33.576196642741273</v>
      </c>
      <c r="N13" s="15">
        <f>Inputs_All!N13</f>
        <v>34.8876497315159</v>
      </c>
    </row>
    <row r="14" spans="1:14" ht="13.15" hidden="1" outlineLevel="1" x14ac:dyDescent="0.35">
      <c r="E14" s="1" t="s">
        <v>34</v>
      </c>
      <c r="F14" s="1" t="s">
        <v>45</v>
      </c>
      <c r="G14" s="1" t="s">
        <v>52</v>
      </c>
      <c r="H14" s="1" t="s">
        <v>47</v>
      </c>
      <c r="I14" s="8"/>
      <c r="J14" s="15">
        <f>Inputs_All!J14</f>
        <v>25.802985074626864</v>
      </c>
      <c r="K14" s="15">
        <f>Inputs_All!K14</f>
        <v>31.382835820895522</v>
      </c>
      <c r="L14" s="15">
        <f>Inputs_All!L14</f>
        <v>31.704477611940298</v>
      </c>
      <c r="M14" s="15">
        <f>Inputs_All!M14</f>
        <v>28.031343283582089</v>
      </c>
      <c r="N14" s="15">
        <f>Inputs_All!N14</f>
        <v>41.020422535211267</v>
      </c>
    </row>
    <row r="15" spans="1:14" ht="13.15" hidden="1" outlineLevel="1" x14ac:dyDescent="0.35">
      <c r="E15" s="1" t="s">
        <v>35</v>
      </c>
      <c r="F15" s="1" t="s">
        <v>45</v>
      </c>
      <c r="G15" s="1" t="s">
        <v>52</v>
      </c>
      <c r="H15" s="1" t="s">
        <v>47</v>
      </c>
      <c r="I15" s="8"/>
      <c r="J15" s="15">
        <f>Inputs_All!J15</f>
        <v>20.929591002044994</v>
      </c>
      <c r="K15" s="15">
        <f>Inputs_All!K15</f>
        <v>29.70263803680982</v>
      </c>
      <c r="L15" s="15">
        <f>Inputs_All!L15</f>
        <v>28.450061349693257</v>
      </c>
      <c r="M15" s="15">
        <f>Inputs_All!M15</f>
        <v>25.721983640081802</v>
      </c>
      <c r="N15" s="15">
        <f>Inputs_All!N15</f>
        <v>38.008811475409843</v>
      </c>
    </row>
    <row r="16" spans="1:14" ht="13.15" hidden="1" outlineLevel="1" x14ac:dyDescent="0.35">
      <c r="E16" s="1" t="s">
        <v>36</v>
      </c>
      <c r="F16" s="1" t="s">
        <v>45</v>
      </c>
      <c r="G16" s="1" t="s">
        <v>52</v>
      </c>
      <c r="H16" s="1" t="s">
        <v>47</v>
      </c>
      <c r="I16" s="8"/>
      <c r="J16" s="15" t="str">
        <f>Inputs_All!J16</f>
        <v/>
      </c>
      <c r="K16" s="15">
        <f>Inputs_All!K16</f>
        <v>58.623993399339938</v>
      </c>
      <c r="L16" s="15">
        <f>Inputs_All!L16</f>
        <v>54.008877887788778</v>
      </c>
      <c r="M16" s="15">
        <f>Inputs_All!M16</f>
        <v>42.214422442244228</v>
      </c>
      <c r="N16" s="15">
        <f>Inputs_All!N16</f>
        <v>37.147495961227783</v>
      </c>
    </row>
    <row r="17" spans="1:14" ht="13.15" hidden="1" outlineLevel="1" x14ac:dyDescent="0.35">
      <c r="E17" s="1" t="s">
        <v>48</v>
      </c>
      <c r="F17" s="1" t="s">
        <v>45</v>
      </c>
      <c r="G17" s="1" t="s">
        <v>52</v>
      </c>
      <c r="H17" s="1" t="s">
        <v>47</v>
      </c>
      <c r="I17" s="8"/>
      <c r="J17" s="15" t="str">
        <f>Inputs_All!J17</f>
        <v/>
      </c>
      <c r="K17" s="15">
        <f>Inputs_All!K17</f>
        <v>63.90242276712825</v>
      </c>
      <c r="L17" s="15">
        <f>Inputs_All!L17</f>
        <v>53.029598540145749</v>
      </c>
      <c r="M17" s="15">
        <f>Inputs_All!M17</f>
        <v>49.727604259094456</v>
      </c>
      <c r="N17" s="15">
        <f>Inputs_All!N17</f>
        <v>50.63171378091873</v>
      </c>
    </row>
    <row r="18" spans="1:14" ht="13.15" hidden="1" outlineLevel="1" x14ac:dyDescent="0.35">
      <c r="E18" s="1" t="s">
        <v>38</v>
      </c>
      <c r="F18" s="1" t="s">
        <v>45</v>
      </c>
      <c r="G18" s="1" t="s">
        <v>52</v>
      </c>
      <c r="H18" s="1" t="s">
        <v>47</v>
      </c>
      <c r="I18" s="8"/>
      <c r="J18" s="15">
        <f>Inputs_All!J18</f>
        <v>26.8</v>
      </c>
      <c r="K18" s="15">
        <f>Inputs_All!K18</f>
        <v>30.92</v>
      </c>
      <c r="L18" s="15">
        <f>Inputs_All!L18</f>
        <v>22.529999999999998</v>
      </c>
      <c r="M18" s="15">
        <f>Inputs_All!M18</f>
        <v>18.52</v>
      </c>
      <c r="N18" s="15">
        <f>Inputs_All!N18</f>
        <v>32.010038610038613</v>
      </c>
    </row>
    <row r="19" spans="1:14" ht="13.15" hidden="1" outlineLevel="1" x14ac:dyDescent="0.35">
      <c r="E19" s="1" t="s">
        <v>39</v>
      </c>
      <c r="F19" s="1" t="s">
        <v>45</v>
      </c>
      <c r="G19" s="1" t="s">
        <v>52</v>
      </c>
      <c r="H19" s="1" t="s">
        <v>47</v>
      </c>
      <c r="I19" s="8"/>
      <c r="J19" s="15">
        <f>Inputs_All!J19</f>
        <v>100</v>
      </c>
      <c r="K19" s="15">
        <f>Inputs_All!K19</f>
        <v>39.491945560017854</v>
      </c>
      <c r="L19" s="15">
        <f>Inputs_All!L19</f>
        <v>44.194122885129119</v>
      </c>
      <c r="M19" s="15">
        <f>Inputs_All!M19</f>
        <v>37.966289959477706</v>
      </c>
      <c r="N19" s="15">
        <f>Inputs_All!N19</f>
        <v>42.836423690205017</v>
      </c>
    </row>
    <row r="20" spans="1:14" ht="13.15" collapsed="1" x14ac:dyDescent="0.35">
      <c r="E20" s="1"/>
    </row>
    <row r="21" spans="1:14" s="63" customFormat="1" ht="13.15" x14ac:dyDescent="0.35">
      <c r="A21" s="63" t="s">
        <v>71</v>
      </c>
      <c r="J21" s="65"/>
      <c r="K21" s="65"/>
      <c r="L21" s="65"/>
      <c r="M21" s="65"/>
      <c r="N21" s="65"/>
    </row>
    <row r="22" spans="1:14" x14ac:dyDescent="0.45"/>
    <row r="23" spans="1:14" x14ac:dyDescent="0.45">
      <c r="F23" s="1" t="s">
        <v>45</v>
      </c>
      <c r="G23" s="1" t="s">
        <v>73</v>
      </c>
      <c r="H23" s="1" t="s">
        <v>47</v>
      </c>
      <c r="J23" s="15">
        <f>'Proxy PCL'!L43</f>
        <v>55.614681482319227</v>
      </c>
      <c r="K23" s="15">
        <f>'Proxy PCL'!M43</f>
        <v>46.802530401969037</v>
      </c>
      <c r="L23" s="15">
        <f>'Proxy PCL'!N43</f>
        <v>41.229469618741021</v>
      </c>
      <c r="M23" s="15">
        <f>'Proxy PCL'!O43</f>
        <v>34.519913514521001</v>
      </c>
      <c r="N23" s="15">
        <f>'Proxy PCL'!P43</f>
        <v>41.320876195478675</v>
      </c>
    </row>
    <row r="24" spans="1:14" x14ac:dyDescent="0.45">
      <c r="J24" s="19"/>
      <c r="K24" s="19"/>
      <c r="L24" s="19"/>
      <c r="M24" s="19"/>
    </row>
    <row r="25" spans="1:14" s="74" customFormat="1" ht="13.15" x14ac:dyDescent="0.35">
      <c r="A25" s="73" t="s">
        <v>74</v>
      </c>
      <c r="B25" s="73"/>
    </row>
    <row r="26" spans="1:14" x14ac:dyDescent="0.45"/>
    <row r="27" spans="1:14" ht="13.15" x14ac:dyDescent="0.35">
      <c r="E27" s="1" t="s">
        <v>25</v>
      </c>
      <c r="F27" s="1" t="s">
        <v>45</v>
      </c>
      <c r="G27" s="1" t="s">
        <v>52</v>
      </c>
      <c r="H27" s="1" t="s">
        <v>47</v>
      </c>
      <c r="J27" s="19">
        <f>IF(J9="","",J$23-J9)</f>
        <v>-25.654455820232414</v>
      </c>
      <c r="K27" s="19">
        <f t="shared" ref="K27:M27" si="0">IF(K9="","",K$23-K9)</f>
        <v>-18.97545351887203</v>
      </c>
      <c r="L27" s="19">
        <f t="shared" si="0"/>
        <v>-17.933908926265147</v>
      </c>
      <c r="M27" s="19">
        <f t="shared" si="0"/>
        <v>-5.7495628584036496</v>
      </c>
      <c r="N27" s="19">
        <f>IF(N9="","",N$23-N9)</f>
        <v>15.981011696833693</v>
      </c>
    </row>
    <row r="28" spans="1:14" ht="13.15" hidden="1" outlineLevel="1" x14ac:dyDescent="0.35">
      <c r="E28" s="1" t="s">
        <v>30</v>
      </c>
      <c r="F28" s="1" t="s">
        <v>45</v>
      </c>
      <c r="G28" s="1" t="s">
        <v>52</v>
      </c>
      <c r="H28" s="1" t="s">
        <v>47</v>
      </c>
      <c r="J28" s="19">
        <f t="shared" ref="J28:N37" si="1">IF(J10="","",J$23-J10)</f>
        <v>5.8414621090998651</v>
      </c>
      <c r="K28" s="19">
        <f t="shared" si="1"/>
        <v>-10.898794101342219</v>
      </c>
      <c r="L28" s="19">
        <f t="shared" si="1"/>
        <v>-7.5386099660340591</v>
      </c>
      <c r="M28" s="19">
        <f t="shared" si="1"/>
        <v>-8.7979298744391983</v>
      </c>
      <c r="N28" s="19">
        <f t="shared" si="1"/>
        <v>-17.077908526743549</v>
      </c>
    </row>
    <row r="29" spans="1:14" ht="13.15" hidden="1" outlineLevel="1" x14ac:dyDescent="0.35">
      <c r="E29" s="1" t="s">
        <v>31</v>
      </c>
      <c r="F29" s="1" t="s">
        <v>45</v>
      </c>
      <c r="G29" s="1" t="s">
        <v>52</v>
      </c>
      <c r="H29" s="1" t="s">
        <v>47</v>
      </c>
      <c r="J29" s="19" t="str">
        <f t="shared" si="1"/>
        <v/>
      </c>
      <c r="K29" s="19">
        <f t="shared" si="1"/>
        <v>8.7091341755539489</v>
      </c>
      <c r="L29" s="19">
        <f t="shared" si="1"/>
        <v>-9.5690488997774992</v>
      </c>
      <c r="M29" s="19">
        <f t="shared" si="1"/>
        <v>-7.2862403316328397</v>
      </c>
      <c r="N29" s="19">
        <f t="shared" si="1"/>
        <v>-0.6328275082250272</v>
      </c>
    </row>
    <row r="30" spans="1:14" ht="13.15" hidden="1" outlineLevel="1" x14ac:dyDescent="0.35">
      <c r="E30" s="1" t="s">
        <v>32</v>
      </c>
      <c r="F30" s="1" t="s">
        <v>45</v>
      </c>
      <c r="G30" s="1" t="s">
        <v>52</v>
      </c>
      <c r="H30" s="1" t="s">
        <v>47</v>
      </c>
      <c r="J30" s="19">
        <f t="shared" si="1"/>
        <v>29.346887888013178</v>
      </c>
      <c r="K30" s="19">
        <f t="shared" si="1"/>
        <v>20.463451454600616</v>
      </c>
      <c r="L30" s="19">
        <f t="shared" si="1"/>
        <v>6.1574019735591463</v>
      </c>
      <c r="M30" s="19">
        <f t="shared" si="1"/>
        <v>5.3820618521169052</v>
      </c>
      <c r="N30" s="19">
        <f t="shared" si="1"/>
        <v>5.1935279526671678</v>
      </c>
    </row>
    <row r="31" spans="1:14" ht="13.15" hidden="1" outlineLevel="1" x14ac:dyDescent="0.35">
      <c r="E31" s="1" t="s">
        <v>33</v>
      </c>
      <c r="F31" s="1" t="s">
        <v>45</v>
      </c>
      <c r="G31" s="1" t="s">
        <v>52</v>
      </c>
      <c r="H31" s="1" t="s">
        <v>47</v>
      </c>
      <c r="J31" s="19">
        <f t="shared" si="1"/>
        <v>-18.481446649028115</v>
      </c>
      <c r="K31" s="19">
        <f t="shared" si="1"/>
        <v>-1.3468589475431685</v>
      </c>
      <c r="L31" s="19">
        <f t="shared" si="1"/>
        <v>0.7997615387335486</v>
      </c>
      <c r="M31" s="19">
        <f t="shared" si="1"/>
        <v>0.94371687177972774</v>
      </c>
      <c r="N31" s="19">
        <f t="shared" si="1"/>
        <v>6.4332264639627752</v>
      </c>
    </row>
    <row r="32" spans="1:14" ht="13.15" hidden="1" outlineLevel="1" x14ac:dyDescent="0.35">
      <c r="E32" s="1" t="s">
        <v>34</v>
      </c>
      <c r="F32" s="1" t="s">
        <v>45</v>
      </c>
      <c r="G32" s="1" t="s">
        <v>52</v>
      </c>
      <c r="H32" s="1" t="s">
        <v>47</v>
      </c>
      <c r="J32" s="19">
        <f t="shared" si="1"/>
        <v>29.811696407692363</v>
      </c>
      <c r="K32" s="19">
        <f t="shared" si="1"/>
        <v>15.419694581073514</v>
      </c>
      <c r="L32" s="19">
        <f t="shared" si="1"/>
        <v>9.5249920068007228</v>
      </c>
      <c r="M32" s="19">
        <f t="shared" si="1"/>
        <v>6.4885702309389117</v>
      </c>
      <c r="N32" s="19">
        <f t="shared" si="1"/>
        <v>0.30045366026740794</v>
      </c>
    </row>
    <row r="33" spans="1:14" ht="13.15" hidden="1" outlineLevel="1" x14ac:dyDescent="0.35">
      <c r="E33" s="1" t="s">
        <v>35</v>
      </c>
      <c r="F33" s="1" t="s">
        <v>45</v>
      </c>
      <c r="G33" s="1" t="s">
        <v>52</v>
      </c>
      <c r="H33" s="1" t="s">
        <v>47</v>
      </c>
      <c r="J33" s="19">
        <f t="shared" si="1"/>
        <v>34.685090480274233</v>
      </c>
      <c r="K33" s="19">
        <f t="shared" si="1"/>
        <v>17.099892365159217</v>
      </c>
      <c r="L33" s="19">
        <f t="shared" si="1"/>
        <v>12.779408269047764</v>
      </c>
      <c r="M33" s="19">
        <f t="shared" si="1"/>
        <v>8.7979298744391983</v>
      </c>
      <c r="N33" s="19">
        <f t="shared" si="1"/>
        <v>3.3120647200688325</v>
      </c>
    </row>
    <row r="34" spans="1:14" ht="13.15" hidden="1" outlineLevel="1" x14ac:dyDescent="0.35">
      <c r="E34" s="1" t="s">
        <v>36</v>
      </c>
      <c r="F34" s="1" t="s">
        <v>45</v>
      </c>
      <c r="G34" s="1" t="s">
        <v>52</v>
      </c>
      <c r="H34" s="1" t="s">
        <v>47</v>
      </c>
      <c r="J34" s="19" t="str">
        <f t="shared" si="1"/>
        <v/>
      </c>
      <c r="K34" s="19">
        <f t="shared" si="1"/>
        <v>-11.821462997370901</v>
      </c>
      <c r="L34" s="19">
        <f t="shared" si="1"/>
        <v>-12.779408269047757</v>
      </c>
      <c r="M34" s="19">
        <f t="shared" si="1"/>
        <v>-7.694508927723227</v>
      </c>
      <c r="N34" s="19">
        <f t="shared" si="1"/>
        <v>4.1733802342508923</v>
      </c>
    </row>
    <row r="35" spans="1:14" ht="13.15" hidden="1" outlineLevel="1" x14ac:dyDescent="0.35">
      <c r="E35" s="1" t="s">
        <v>48</v>
      </c>
      <c r="F35" s="1" t="s">
        <v>45</v>
      </c>
      <c r="G35" s="1" t="s">
        <v>52</v>
      </c>
      <c r="H35" s="1" t="s">
        <v>47</v>
      </c>
      <c r="J35" s="19" t="str">
        <f t="shared" si="1"/>
        <v/>
      </c>
      <c r="K35" s="19">
        <f t="shared" si="1"/>
        <v>-17.099892365159214</v>
      </c>
      <c r="L35" s="19">
        <f t="shared" si="1"/>
        <v>-11.800128921404728</v>
      </c>
      <c r="M35" s="19">
        <f t="shared" si="1"/>
        <v>-15.207690744573455</v>
      </c>
      <c r="N35" s="19">
        <f t="shared" si="1"/>
        <v>-9.3108375854400549</v>
      </c>
    </row>
    <row r="36" spans="1:14" ht="13.15" hidden="1" outlineLevel="1" x14ac:dyDescent="0.35">
      <c r="E36" s="1" t="s">
        <v>38</v>
      </c>
      <c r="F36" s="1" t="s">
        <v>45</v>
      </c>
      <c r="G36" s="1" t="s">
        <v>52</v>
      </c>
      <c r="H36" s="1" t="s">
        <v>47</v>
      </c>
      <c r="J36" s="19">
        <f t="shared" si="1"/>
        <v>28.814681482319227</v>
      </c>
      <c r="K36" s="19">
        <f t="shared" si="1"/>
        <v>15.882530401969035</v>
      </c>
      <c r="L36" s="19">
        <f t="shared" si="1"/>
        <v>18.699469618741023</v>
      </c>
      <c r="M36" s="19">
        <f t="shared" si="1"/>
        <v>15.999913514521001</v>
      </c>
      <c r="N36" s="19">
        <f t="shared" si="1"/>
        <v>9.310837585440062</v>
      </c>
    </row>
    <row r="37" spans="1:14" ht="13.15" hidden="1" outlineLevel="1" x14ac:dyDescent="0.35">
      <c r="E37" s="1" t="s">
        <v>39</v>
      </c>
      <c r="F37" s="1" t="s">
        <v>45</v>
      </c>
      <c r="G37" s="1" t="s">
        <v>52</v>
      </c>
      <c r="H37" s="1" t="s">
        <v>47</v>
      </c>
      <c r="J37" s="19">
        <f t="shared" si="1"/>
        <v>-44.385318517680773</v>
      </c>
      <c r="K37" s="19">
        <f t="shared" si="1"/>
        <v>7.310584841951183</v>
      </c>
      <c r="L37" s="19">
        <f t="shared" si="1"/>
        <v>-2.9646532663880976</v>
      </c>
      <c r="M37" s="19">
        <f t="shared" si="1"/>
        <v>-3.4463764449567051</v>
      </c>
      <c r="N37" s="19">
        <f t="shared" si="1"/>
        <v>-1.5155474947263414</v>
      </c>
    </row>
    <row r="38" spans="1:14" collapsed="1" x14ac:dyDescent="0.45"/>
    <row r="39" spans="1:14" s="74" customFormat="1" ht="13.15" x14ac:dyDescent="0.35">
      <c r="A39" s="73" t="s">
        <v>75</v>
      </c>
      <c r="B39" s="73"/>
    </row>
    <row r="40" spans="1:14" x14ac:dyDescent="0.45"/>
    <row r="41" spans="1:14" ht="13.15" x14ac:dyDescent="0.35">
      <c r="E41" s="1" t="s">
        <v>25</v>
      </c>
      <c r="F41" s="1" t="s">
        <v>45</v>
      </c>
      <c r="G41" s="1" t="s">
        <v>76</v>
      </c>
      <c r="H41" s="1" t="s">
        <v>47</v>
      </c>
      <c r="J41" s="26">
        <f>IF(J27="","",J27/J$23)</f>
        <v>-0.46128926996351433</v>
      </c>
      <c r="K41" s="26">
        <f t="shared" ref="K41:M41" si="2">IF(K27="","",K27/K$23)</f>
        <v>-0.40543648721338604</v>
      </c>
      <c r="L41" s="26">
        <f t="shared" si="2"/>
        <v>-0.43497791972839778</v>
      </c>
      <c r="M41" s="26">
        <f t="shared" si="2"/>
        <v>-0.16655785814715504</v>
      </c>
      <c r="N41" s="26">
        <f>IF(N27="","",N27/N$23)</f>
        <v>0.38675394058033874</v>
      </c>
    </row>
    <row r="42" spans="1:14" ht="13.15" hidden="1" outlineLevel="1" x14ac:dyDescent="0.35">
      <c r="E42" s="1" t="s">
        <v>30</v>
      </c>
      <c r="F42" s="1" t="s">
        <v>45</v>
      </c>
      <c r="G42" s="1" t="s">
        <v>76</v>
      </c>
      <c r="H42" s="1" t="s">
        <v>47</v>
      </c>
      <c r="J42" s="26">
        <f t="shared" ref="J42:N51" si="3">IF(J28="","",J28/J$23)</f>
        <v>0.10503453320966977</v>
      </c>
      <c r="K42" s="26">
        <f t="shared" si="3"/>
        <v>-0.23286762505652245</v>
      </c>
      <c r="L42" s="26">
        <f t="shared" si="3"/>
        <v>-0.18284518417882711</v>
      </c>
      <c r="M42" s="26">
        <f t="shared" si="3"/>
        <v>-0.25486535100206142</v>
      </c>
      <c r="N42" s="26">
        <f t="shared" si="3"/>
        <v>-0.41329976755459535</v>
      </c>
    </row>
    <row r="43" spans="1:14" ht="13.15" hidden="1" outlineLevel="1" x14ac:dyDescent="0.35">
      <c r="E43" s="1" t="s">
        <v>31</v>
      </c>
      <c r="F43" s="1" t="s">
        <v>45</v>
      </c>
      <c r="G43" s="1" t="s">
        <v>76</v>
      </c>
      <c r="H43" s="1" t="s">
        <v>47</v>
      </c>
      <c r="J43" s="26" t="str">
        <f t="shared" si="3"/>
        <v/>
      </c>
      <c r="K43" s="26">
        <f t="shared" si="3"/>
        <v>0.18608254939966976</v>
      </c>
      <c r="L43" s="26">
        <f t="shared" si="3"/>
        <v>-0.23209245688253649</v>
      </c>
      <c r="M43" s="26">
        <f t="shared" si="3"/>
        <v>-0.21107353958369104</v>
      </c>
      <c r="N43" s="26">
        <f t="shared" si="3"/>
        <v>-1.5314958599408188E-2</v>
      </c>
    </row>
    <row r="44" spans="1:14" ht="13.15" hidden="1" outlineLevel="1" x14ac:dyDescent="0.35">
      <c r="E44" s="1" t="s">
        <v>32</v>
      </c>
      <c r="F44" s="1" t="s">
        <v>45</v>
      </c>
      <c r="G44" s="1" t="s">
        <v>76</v>
      </c>
      <c r="H44" s="1" t="s">
        <v>47</v>
      </c>
      <c r="J44" s="26">
        <f t="shared" si="3"/>
        <v>0.52768238720099492</v>
      </c>
      <c r="K44" s="26">
        <f t="shared" si="3"/>
        <v>0.43722959589679994</v>
      </c>
      <c r="L44" s="26">
        <f t="shared" si="3"/>
        <v>0.14934468064950016</v>
      </c>
      <c r="M44" s="26">
        <f t="shared" si="3"/>
        <v>0.1559118000064777</v>
      </c>
      <c r="N44" s="26">
        <f t="shared" si="3"/>
        <v>0.12568774989421552</v>
      </c>
    </row>
    <row r="45" spans="1:14" ht="13.15" hidden="1" outlineLevel="1" x14ac:dyDescent="0.35">
      <c r="E45" s="1" t="s">
        <v>33</v>
      </c>
      <c r="F45" s="1" t="s">
        <v>45</v>
      </c>
      <c r="G45" s="1" t="s">
        <v>76</v>
      </c>
      <c r="H45" s="1" t="s">
        <v>47</v>
      </c>
      <c r="J45" s="26">
        <f t="shared" si="3"/>
        <v>-0.33231237069843966</v>
      </c>
      <c r="K45" s="26">
        <f t="shared" si="3"/>
        <v>-2.8777481387769251E-2</v>
      </c>
      <c r="L45" s="26">
        <f t="shared" si="3"/>
        <v>1.9397812926752127E-2</v>
      </c>
      <c r="M45" s="26">
        <f t="shared" si="3"/>
        <v>2.7338332449261434E-2</v>
      </c>
      <c r="N45" s="26">
        <f t="shared" si="3"/>
        <v>0.15568949781047234</v>
      </c>
    </row>
    <row r="46" spans="1:14" ht="13.15" hidden="1" outlineLevel="1" x14ac:dyDescent="0.35">
      <c r="E46" s="1" t="s">
        <v>34</v>
      </c>
      <c r="F46" s="1" t="s">
        <v>45</v>
      </c>
      <c r="G46" s="1" t="s">
        <v>76</v>
      </c>
      <c r="H46" s="1" t="s">
        <v>47</v>
      </c>
      <c r="J46" s="26">
        <f t="shared" si="3"/>
        <v>0.53604004577765973</v>
      </c>
      <c r="K46" s="26">
        <f t="shared" si="3"/>
        <v>0.32946283990715147</v>
      </c>
      <c r="L46" s="26">
        <f t="shared" si="3"/>
        <v>0.23102387915441674</v>
      </c>
      <c r="M46" s="26">
        <f t="shared" si="3"/>
        <v>0.18796600484556419</v>
      </c>
      <c r="N46" s="26">
        <f t="shared" si="3"/>
        <v>7.2712315887503744E-3</v>
      </c>
    </row>
    <row r="47" spans="1:14" ht="13.15" hidden="1" outlineLevel="1" x14ac:dyDescent="0.35">
      <c r="E47" s="1" t="s">
        <v>35</v>
      </c>
      <c r="F47" s="1" t="s">
        <v>45</v>
      </c>
      <c r="G47" s="1" t="s">
        <v>76</v>
      </c>
      <c r="H47" s="1" t="s">
        <v>47</v>
      </c>
      <c r="J47" s="26">
        <f t="shared" si="3"/>
        <v>0.62366787970009618</v>
      </c>
      <c r="K47" s="26">
        <f t="shared" si="3"/>
        <v>0.36536256091913794</v>
      </c>
      <c r="L47" s="26">
        <f t="shared" si="3"/>
        <v>0.30995810489977371</v>
      </c>
      <c r="M47" s="26">
        <f t="shared" si="3"/>
        <v>0.25486535100206142</v>
      </c>
      <c r="N47" s="26">
        <f t="shared" si="3"/>
        <v>8.0154755296095059E-2</v>
      </c>
    </row>
    <row r="48" spans="1:14" ht="13.15" hidden="1" outlineLevel="1" x14ac:dyDescent="0.35">
      <c r="E48" s="1" t="s">
        <v>36</v>
      </c>
      <c r="F48" s="1" t="s">
        <v>45</v>
      </c>
      <c r="G48" s="1" t="s">
        <v>76</v>
      </c>
      <c r="H48" s="1" t="s">
        <v>47</v>
      </c>
      <c r="J48" s="26" t="str">
        <f t="shared" si="3"/>
        <v/>
      </c>
      <c r="K48" s="26">
        <f t="shared" si="3"/>
        <v>-0.25258170649836398</v>
      </c>
      <c r="L48" s="26">
        <f t="shared" si="3"/>
        <v>-0.30995810489977355</v>
      </c>
      <c r="M48" s="26">
        <f t="shared" si="3"/>
        <v>-0.22290058532407642</v>
      </c>
      <c r="N48" s="26">
        <f t="shared" si="3"/>
        <v>0.10099931604808378</v>
      </c>
    </row>
    <row r="49" spans="1:14" ht="13.15" hidden="1" outlineLevel="1" x14ac:dyDescent="0.35">
      <c r="E49" s="1" t="s">
        <v>48</v>
      </c>
      <c r="F49" s="1" t="s">
        <v>45</v>
      </c>
      <c r="G49" s="1" t="s">
        <v>76</v>
      </c>
      <c r="H49" s="1" t="s">
        <v>47</v>
      </c>
      <c r="J49" s="26" t="str">
        <f t="shared" si="3"/>
        <v/>
      </c>
      <c r="K49" s="26">
        <f t="shared" si="3"/>
        <v>-0.36536256091913788</v>
      </c>
      <c r="L49" s="26">
        <f t="shared" si="3"/>
        <v>-0.28620617802080411</v>
      </c>
      <c r="M49" s="26">
        <f t="shared" si="3"/>
        <v>-0.44054834431077738</v>
      </c>
      <c r="N49" s="26">
        <f t="shared" si="3"/>
        <v>-0.22533011016980434</v>
      </c>
    </row>
    <row r="50" spans="1:14" ht="13.15" hidden="1" outlineLevel="1" x14ac:dyDescent="0.35">
      <c r="E50" s="1" t="s">
        <v>38</v>
      </c>
      <c r="F50" s="1" t="s">
        <v>45</v>
      </c>
      <c r="G50" s="1" t="s">
        <v>76</v>
      </c>
      <c r="H50" s="1" t="s">
        <v>47</v>
      </c>
      <c r="J50" s="26">
        <f t="shared" si="3"/>
        <v>0.51811285643126204</v>
      </c>
      <c r="K50" s="26">
        <f t="shared" si="3"/>
        <v>0.33935195951073704</v>
      </c>
      <c r="L50" s="26">
        <f t="shared" si="3"/>
        <v>0.45354620837133214</v>
      </c>
      <c r="M50" s="26">
        <f t="shared" si="3"/>
        <v>0.46349807648824337</v>
      </c>
      <c r="N50" s="26">
        <f t="shared" si="3"/>
        <v>0.2253301101698045</v>
      </c>
    </row>
    <row r="51" spans="1:14" ht="13.15" hidden="1" outlineLevel="1" x14ac:dyDescent="0.35">
      <c r="E51" s="1" t="s">
        <v>39</v>
      </c>
      <c r="F51" s="1" t="s">
        <v>45</v>
      </c>
      <c r="G51" s="1" t="s">
        <v>76</v>
      </c>
      <c r="H51" s="1" t="s">
        <v>47</v>
      </c>
      <c r="J51" s="26">
        <f t="shared" si="3"/>
        <v>-0.79808635659976868</v>
      </c>
      <c r="K51" s="26">
        <f t="shared" si="3"/>
        <v>0.15620063229836859</v>
      </c>
      <c r="L51" s="26">
        <f t="shared" si="3"/>
        <v>-7.1906170363164282E-2</v>
      </c>
      <c r="M51" s="26">
        <f t="shared" si="3"/>
        <v>-9.9837342973265769E-2</v>
      </c>
      <c r="N51" s="26">
        <f t="shared" si="3"/>
        <v>-3.6677525606104461E-2</v>
      </c>
    </row>
    <row r="52" spans="1:14" collapsed="1" x14ac:dyDescent="0.45"/>
    <row r="53" spans="1:14" s="66" customFormat="1" ht="13.15" x14ac:dyDescent="0.4">
      <c r="A53" s="66" t="s">
        <v>49</v>
      </c>
      <c r="J53" s="68"/>
      <c r="K53" s="68"/>
      <c r="L53" s="68"/>
      <c r="M53" s="68"/>
      <c r="N53" s="68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54821-331B-4CD7-8455-BE78ABA7137D}">
  <sheetPr codeName="Sheet7">
    <tabColor rgb="FFCCCCCE"/>
  </sheetPr>
  <dimension ref="A1:R41"/>
  <sheetViews>
    <sheetView showGridLines="0" zoomScale="80" zoomScaleNormal="80" workbookViewId="0">
      <pane ySplit="5" topLeftCell="A7" activePane="bottomLeft" state="frozen"/>
      <selection pane="bottomLeft"/>
    </sheetView>
  </sheetViews>
  <sheetFormatPr defaultColWidth="0" defaultRowHeight="14.25" zeroHeight="1" outlineLevelRow="1" x14ac:dyDescent="0.45"/>
  <cols>
    <col min="1" max="1" width="1" style="6" customWidth="1"/>
    <col min="2" max="4" width="1" style="1" customWidth="1"/>
    <col min="5" max="5" width="8.125" style="58" customWidth="1"/>
    <col min="6" max="6" width="20.375" style="1" bestFit="1" customWidth="1"/>
    <col min="7" max="7" width="31.625" style="1" customWidth="1"/>
    <col min="8" max="8" width="7.875" style="1" customWidth="1"/>
    <col min="9" max="9" width="9.25" style="14" bestFit="1" customWidth="1"/>
    <col min="10" max="10" width="11" style="14" bestFit="1" customWidth="1"/>
    <col min="11" max="11" width="10.125" style="14" customWidth="1"/>
    <col min="12" max="12" width="2.75" style="1" customWidth="1"/>
    <col min="13" max="17" width="9" style="14" customWidth="1"/>
    <col min="18" max="18" width="0" style="1" hidden="1" customWidth="1"/>
    <col min="19" max="16384" width="9" style="1" hidden="1"/>
  </cols>
  <sheetData>
    <row r="1" spans="1:17" s="4" customFormat="1" ht="30.75" x14ac:dyDescent="0.35">
      <c r="A1" s="4" t="str">
        <f ca="1">RIGHT(CELL("filename", A1), LEN(CELL("filename", A1)) - SEARCH("]", CELL("filename", A1)))</f>
        <v>Percentiles</v>
      </c>
      <c r="D1" s="5"/>
      <c r="I1" s="12"/>
      <c r="J1" s="12"/>
      <c r="K1" s="12"/>
      <c r="M1" s="12"/>
      <c r="N1" s="12"/>
      <c r="O1" s="12"/>
      <c r="P1" s="12"/>
      <c r="Q1" s="12"/>
    </row>
    <row r="2" spans="1:17" ht="13.15" x14ac:dyDescent="0.35">
      <c r="E2" s="1"/>
      <c r="K2" s="13"/>
      <c r="M2" s="13" t="s">
        <v>17</v>
      </c>
      <c r="N2" s="13" t="s">
        <v>18</v>
      </c>
      <c r="O2" s="13" t="s">
        <v>19</v>
      </c>
      <c r="P2" s="13" t="s">
        <v>20</v>
      </c>
      <c r="Q2" s="13" t="s">
        <v>21</v>
      </c>
    </row>
    <row r="3" spans="1:17" ht="13.15" x14ac:dyDescent="0.35">
      <c r="E3" s="7" t="s">
        <v>41</v>
      </c>
      <c r="F3" s="7" t="s">
        <v>42</v>
      </c>
      <c r="G3" s="7" t="s">
        <v>43</v>
      </c>
      <c r="H3" s="7" t="s">
        <v>13</v>
      </c>
      <c r="I3" s="22" t="s">
        <v>77</v>
      </c>
      <c r="J3" s="23" t="s">
        <v>51</v>
      </c>
      <c r="K3" s="22" t="s">
        <v>78</v>
      </c>
      <c r="L3" s="7"/>
    </row>
    <row r="4" spans="1:17" ht="13.15" x14ac:dyDescent="0.35">
      <c r="E4" s="1"/>
    </row>
    <row r="5" spans="1:17" ht="13.15" x14ac:dyDescent="0.35">
      <c r="E5" s="1"/>
      <c r="K5" s="28"/>
      <c r="L5" s="3"/>
    </row>
    <row r="6" spans="1:17" ht="13.15" x14ac:dyDescent="0.35">
      <c r="E6" s="1"/>
    </row>
    <row r="7" spans="1:17" s="74" customFormat="1" ht="13.15" x14ac:dyDescent="0.35">
      <c r="A7" s="73" t="s">
        <v>75</v>
      </c>
      <c r="B7" s="73"/>
    </row>
    <row r="8" spans="1:17" x14ac:dyDescent="0.45"/>
    <row r="9" spans="1:17" ht="13.15" x14ac:dyDescent="0.35">
      <c r="E9" s="1" t="s">
        <v>25</v>
      </c>
      <c r="F9" s="1" t="s">
        <v>45</v>
      </c>
      <c r="G9" s="1" t="s">
        <v>76</v>
      </c>
      <c r="H9" s="1" t="s">
        <v>47</v>
      </c>
      <c r="I9" s="24"/>
      <c r="J9" s="24"/>
      <c r="K9" s="24"/>
      <c r="M9" s="27">
        <f>'Difference to PCL'!J41</f>
        <v>-0.46128926996351433</v>
      </c>
      <c r="N9" s="27">
        <f>'Difference to PCL'!K41</f>
        <v>-0.40543648721338604</v>
      </c>
      <c r="O9" s="27">
        <f>'Difference to PCL'!L41</f>
        <v>-0.43497791972839778</v>
      </c>
      <c r="P9" s="27">
        <f>'Difference to PCL'!M41</f>
        <v>-0.16655785814715504</v>
      </c>
      <c r="Q9" s="27">
        <f>'Difference to PCL'!N41</f>
        <v>0.38675394058033874</v>
      </c>
    </row>
    <row r="10" spans="1:17" ht="13.15" hidden="1" outlineLevel="1" x14ac:dyDescent="0.35">
      <c r="E10" s="1" t="s">
        <v>30</v>
      </c>
      <c r="F10" s="1" t="s">
        <v>45</v>
      </c>
      <c r="G10" s="1" t="s">
        <v>76</v>
      </c>
      <c r="H10" s="1" t="s">
        <v>47</v>
      </c>
      <c r="I10" s="24"/>
      <c r="J10" s="24"/>
      <c r="K10" s="24"/>
      <c r="M10" s="27">
        <f>'Difference to PCL'!J42</f>
        <v>0.10503453320966977</v>
      </c>
      <c r="N10" s="27">
        <f>'Difference to PCL'!K42</f>
        <v>-0.23286762505652245</v>
      </c>
      <c r="O10" s="27">
        <f>'Difference to PCL'!L42</f>
        <v>-0.18284518417882711</v>
      </c>
      <c r="P10" s="27">
        <f>'Difference to PCL'!M42</f>
        <v>-0.25486535100206142</v>
      </c>
      <c r="Q10" s="27">
        <f>'Difference to PCL'!N42</f>
        <v>-0.41329976755459535</v>
      </c>
    </row>
    <row r="11" spans="1:17" ht="13.15" hidden="1" outlineLevel="1" x14ac:dyDescent="0.35">
      <c r="E11" s="1" t="s">
        <v>31</v>
      </c>
      <c r="F11" s="1" t="s">
        <v>45</v>
      </c>
      <c r="G11" s="1" t="s">
        <v>76</v>
      </c>
      <c r="H11" s="1" t="s">
        <v>47</v>
      </c>
      <c r="I11" s="24"/>
      <c r="J11" s="24"/>
      <c r="K11" s="24"/>
      <c r="M11" s="27" t="str">
        <f>'Difference to PCL'!J43</f>
        <v/>
      </c>
      <c r="N11" s="27">
        <f>'Difference to PCL'!K43</f>
        <v>0.18608254939966976</v>
      </c>
      <c r="O11" s="27">
        <f>'Difference to PCL'!L43</f>
        <v>-0.23209245688253649</v>
      </c>
      <c r="P11" s="27">
        <f>'Difference to PCL'!M43</f>
        <v>-0.21107353958369104</v>
      </c>
      <c r="Q11" s="27">
        <f>'Difference to PCL'!N43</f>
        <v>-1.5314958599408188E-2</v>
      </c>
    </row>
    <row r="12" spans="1:17" ht="13.15" hidden="1" outlineLevel="1" x14ac:dyDescent="0.35">
      <c r="E12" s="1" t="s">
        <v>32</v>
      </c>
      <c r="F12" s="1" t="s">
        <v>45</v>
      </c>
      <c r="G12" s="1" t="s">
        <v>76</v>
      </c>
      <c r="H12" s="1" t="s">
        <v>47</v>
      </c>
      <c r="I12" s="24"/>
      <c r="J12" s="24"/>
      <c r="K12" s="24"/>
      <c r="M12" s="27">
        <f>'Difference to PCL'!J44</f>
        <v>0.52768238720099492</v>
      </c>
      <c r="N12" s="27">
        <f>'Difference to PCL'!K44</f>
        <v>0.43722959589679994</v>
      </c>
      <c r="O12" s="27">
        <f>'Difference to PCL'!L44</f>
        <v>0.14934468064950016</v>
      </c>
      <c r="P12" s="27">
        <f>'Difference to PCL'!M44</f>
        <v>0.1559118000064777</v>
      </c>
      <c r="Q12" s="27">
        <f>'Difference to PCL'!N44</f>
        <v>0.12568774989421552</v>
      </c>
    </row>
    <row r="13" spans="1:17" ht="13.15" hidden="1" outlineLevel="1" x14ac:dyDescent="0.35">
      <c r="E13" s="1" t="s">
        <v>33</v>
      </c>
      <c r="F13" s="1" t="s">
        <v>45</v>
      </c>
      <c r="G13" s="1" t="s">
        <v>76</v>
      </c>
      <c r="H13" s="1" t="s">
        <v>47</v>
      </c>
      <c r="I13" s="24"/>
      <c r="J13" s="24"/>
      <c r="K13" s="24"/>
      <c r="M13" s="27">
        <f>'Difference to PCL'!J45</f>
        <v>-0.33231237069843966</v>
      </c>
      <c r="N13" s="27">
        <f>'Difference to PCL'!K45</f>
        <v>-2.8777481387769251E-2</v>
      </c>
      <c r="O13" s="27">
        <f>'Difference to PCL'!L45</f>
        <v>1.9397812926752127E-2</v>
      </c>
      <c r="P13" s="27">
        <f>'Difference to PCL'!M45</f>
        <v>2.7338332449261434E-2</v>
      </c>
      <c r="Q13" s="27">
        <f>'Difference to PCL'!N45</f>
        <v>0.15568949781047234</v>
      </c>
    </row>
    <row r="14" spans="1:17" ht="13.15" hidden="1" outlineLevel="1" x14ac:dyDescent="0.35">
      <c r="E14" s="1" t="s">
        <v>34</v>
      </c>
      <c r="F14" s="1" t="s">
        <v>45</v>
      </c>
      <c r="G14" s="1" t="s">
        <v>76</v>
      </c>
      <c r="H14" s="1" t="s">
        <v>47</v>
      </c>
      <c r="I14" s="24"/>
      <c r="J14" s="24"/>
      <c r="K14" s="24"/>
      <c r="M14" s="27">
        <f>'Difference to PCL'!J46</f>
        <v>0.53604004577765973</v>
      </c>
      <c r="N14" s="27">
        <f>'Difference to PCL'!K46</f>
        <v>0.32946283990715147</v>
      </c>
      <c r="O14" s="27">
        <f>'Difference to PCL'!L46</f>
        <v>0.23102387915441674</v>
      </c>
      <c r="P14" s="27">
        <f>'Difference to PCL'!M46</f>
        <v>0.18796600484556419</v>
      </c>
      <c r="Q14" s="27">
        <f>'Difference to PCL'!N46</f>
        <v>7.2712315887503744E-3</v>
      </c>
    </row>
    <row r="15" spans="1:17" ht="13.15" hidden="1" outlineLevel="1" x14ac:dyDescent="0.35">
      <c r="E15" s="1" t="s">
        <v>35</v>
      </c>
      <c r="F15" s="1" t="s">
        <v>45</v>
      </c>
      <c r="G15" s="1" t="s">
        <v>76</v>
      </c>
      <c r="H15" s="1" t="s">
        <v>47</v>
      </c>
      <c r="I15" s="24"/>
      <c r="J15" s="24"/>
      <c r="K15" s="24"/>
      <c r="M15" s="27">
        <f>'Difference to PCL'!J47</f>
        <v>0.62366787970009618</v>
      </c>
      <c r="N15" s="27">
        <f>'Difference to PCL'!K47</f>
        <v>0.36536256091913794</v>
      </c>
      <c r="O15" s="27">
        <f>'Difference to PCL'!L47</f>
        <v>0.30995810489977371</v>
      </c>
      <c r="P15" s="27">
        <f>'Difference to PCL'!M47</f>
        <v>0.25486535100206142</v>
      </c>
      <c r="Q15" s="27">
        <f>'Difference to PCL'!N47</f>
        <v>8.0154755296095059E-2</v>
      </c>
    </row>
    <row r="16" spans="1:17" ht="13.15" hidden="1" outlineLevel="1" x14ac:dyDescent="0.35">
      <c r="E16" s="1" t="s">
        <v>36</v>
      </c>
      <c r="F16" s="1" t="s">
        <v>45</v>
      </c>
      <c r="G16" s="1" t="s">
        <v>76</v>
      </c>
      <c r="H16" s="1" t="s">
        <v>47</v>
      </c>
      <c r="I16" s="24"/>
      <c r="J16" s="24"/>
      <c r="K16" s="24"/>
      <c r="M16" s="27" t="str">
        <f>'Difference to PCL'!J48</f>
        <v/>
      </c>
      <c r="N16" s="27">
        <f>'Difference to PCL'!K48</f>
        <v>-0.25258170649836398</v>
      </c>
      <c r="O16" s="27">
        <f>'Difference to PCL'!L48</f>
        <v>-0.30995810489977355</v>
      </c>
      <c r="P16" s="27">
        <f>'Difference to PCL'!M48</f>
        <v>-0.22290058532407642</v>
      </c>
      <c r="Q16" s="27">
        <f>'Difference to PCL'!N48</f>
        <v>0.10099931604808378</v>
      </c>
    </row>
    <row r="17" spans="1:17" ht="13.15" hidden="1" outlineLevel="1" x14ac:dyDescent="0.35">
      <c r="E17" s="1" t="s">
        <v>48</v>
      </c>
      <c r="F17" s="1" t="s">
        <v>45</v>
      </c>
      <c r="G17" s="1" t="s">
        <v>76</v>
      </c>
      <c r="H17" s="1" t="s">
        <v>47</v>
      </c>
      <c r="I17" s="24"/>
      <c r="J17" s="24"/>
      <c r="K17" s="24"/>
      <c r="M17" s="27" t="str">
        <f>'Difference to PCL'!J49</f>
        <v/>
      </c>
      <c r="N17" s="27">
        <f>'Difference to PCL'!K49</f>
        <v>-0.36536256091913788</v>
      </c>
      <c r="O17" s="27">
        <f>'Difference to PCL'!L49</f>
        <v>-0.28620617802080411</v>
      </c>
      <c r="P17" s="27">
        <f>'Difference to PCL'!M49</f>
        <v>-0.44054834431077738</v>
      </c>
      <c r="Q17" s="27">
        <f>'Difference to PCL'!N49</f>
        <v>-0.22533011016980434</v>
      </c>
    </row>
    <row r="18" spans="1:17" ht="13.15" hidden="1" outlineLevel="1" x14ac:dyDescent="0.35">
      <c r="E18" s="1" t="s">
        <v>38</v>
      </c>
      <c r="F18" s="1" t="s">
        <v>45</v>
      </c>
      <c r="G18" s="1" t="s">
        <v>76</v>
      </c>
      <c r="H18" s="1" t="s">
        <v>47</v>
      </c>
      <c r="I18" s="24"/>
      <c r="J18" s="24"/>
      <c r="K18" s="24"/>
      <c r="M18" s="27">
        <f>'Difference to PCL'!J50</f>
        <v>0.51811285643126204</v>
      </c>
      <c r="N18" s="27">
        <f>'Difference to PCL'!K50</f>
        <v>0.33935195951073704</v>
      </c>
      <c r="O18" s="27">
        <f>'Difference to PCL'!L50</f>
        <v>0.45354620837133214</v>
      </c>
      <c r="P18" s="27">
        <f>'Difference to PCL'!M50</f>
        <v>0.46349807648824337</v>
      </c>
      <c r="Q18" s="27">
        <f>'Difference to PCL'!N50</f>
        <v>0.2253301101698045</v>
      </c>
    </row>
    <row r="19" spans="1:17" ht="13.15" hidden="1" outlineLevel="1" x14ac:dyDescent="0.35">
      <c r="E19" s="1" t="s">
        <v>39</v>
      </c>
      <c r="F19" s="1" t="s">
        <v>45</v>
      </c>
      <c r="G19" s="1" t="s">
        <v>76</v>
      </c>
      <c r="H19" s="1" t="s">
        <v>47</v>
      </c>
      <c r="I19" s="24"/>
      <c r="J19" s="24"/>
      <c r="K19" s="24"/>
      <c r="M19" s="27">
        <f>'Difference to PCL'!J51</f>
        <v>-0.79808635659976868</v>
      </c>
      <c r="N19" s="27">
        <f>'Difference to PCL'!K51</f>
        <v>0.15620063229836859</v>
      </c>
      <c r="O19" s="27">
        <f>'Difference to PCL'!L51</f>
        <v>-7.1906170363164282E-2</v>
      </c>
      <c r="P19" s="27">
        <f>'Difference to PCL'!M51</f>
        <v>-9.9837342973265769E-2</v>
      </c>
      <c r="Q19" s="27">
        <f>'Difference to PCL'!N51</f>
        <v>-3.6677525606104461E-2</v>
      </c>
    </row>
    <row r="20" spans="1:17" collapsed="1" x14ac:dyDescent="0.45"/>
    <row r="21" spans="1:17" s="74" customFormat="1" ht="13.15" x14ac:dyDescent="0.35">
      <c r="A21" s="73" t="s">
        <v>79</v>
      </c>
      <c r="B21" s="73"/>
    </row>
    <row r="22" spans="1:17" x14ac:dyDescent="0.45"/>
    <row r="23" spans="1:17" ht="13.15" x14ac:dyDescent="0.35">
      <c r="E23" s="1"/>
      <c r="F23" s="1" t="s">
        <v>45</v>
      </c>
      <c r="G23" s="1" t="s">
        <v>76</v>
      </c>
      <c r="H23" s="1" t="s">
        <v>80</v>
      </c>
      <c r="I23" s="14" t="s">
        <v>54</v>
      </c>
      <c r="J23" s="25">
        <v>0.1</v>
      </c>
      <c r="K23" s="29">
        <f>_xlfn.PERCENTILE.INC($M$9:$Q$19,J23)</f>
        <v>-0.4014290945839612</v>
      </c>
      <c r="M23" s="11"/>
      <c r="N23" s="11"/>
      <c r="O23" s="11"/>
      <c r="P23" s="11"/>
      <c r="Q23" s="11"/>
    </row>
    <row r="24" spans="1:17" ht="13.15" hidden="1" outlineLevel="1" x14ac:dyDescent="0.35">
      <c r="E24" s="1"/>
      <c r="F24" s="1" t="s">
        <v>45</v>
      </c>
      <c r="G24" s="1" t="s">
        <v>76</v>
      </c>
      <c r="H24" s="1" t="s">
        <v>80</v>
      </c>
      <c r="I24" s="14" t="s">
        <v>55</v>
      </c>
      <c r="J24" s="25">
        <v>0.15</v>
      </c>
      <c r="K24" s="29">
        <f t="shared" ref="K24:K39" si="0">_xlfn.PERCENTILE.INC($M$9:$Q$19,J24)</f>
        <v>-0.31778209792930673</v>
      </c>
      <c r="M24" s="11"/>
      <c r="N24" s="11"/>
      <c r="O24" s="11"/>
      <c r="P24" s="11"/>
      <c r="Q24" s="11"/>
    </row>
    <row r="25" spans="1:17" ht="13.15" hidden="1" outlineLevel="1" x14ac:dyDescent="0.35">
      <c r="E25" s="1"/>
      <c r="F25" s="1" t="s">
        <v>45</v>
      </c>
      <c r="G25" s="1" t="s">
        <v>76</v>
      </c>
      <c r="H25" s="1" t="s">
        <v>80</v>
      </c>
      <c r="I25" s="14" t="s">
        <v>56</v>
      </c>
      <c r="J25" s="25">
        <v>0.2</v>
      </c>
      <c r="K25" s="29">
        <f t="shared" si="0"/>
        <v>-0.25440862210132192</v>
      </c>
      <c r="M25" s="11"/>
      <c r="N25" s="11"/>
      <c r="O25" s="11"/>
      <c r="P25" s="11"/>
      <c r="Q25" s="11"/>
    </row>
    <row r="26" spans="1:17" ht="13.15" hidden="1" outlineLevel="1" x14ac:dyDescent="0.35">
      <c r="E26" s="1"/>
      <c r="F26" s="1" t="s">
        <v>45</v>
      </c>
      <c r="G26" s="1" t="s">
        <v>76</v>
      </c>
      <c r="H26" s="1" t="s">
        <v>80</v>
      </c>
      <c r="I26" s="14" t="s">
        <v>57</v>
      </c>
      <c r="J26" s="25">
        <v>0.25</v>
      </c>
      <c r="K26" s="29">
        <f t="shared" si="0"/>
        <v>-0.23228624892603297</v>
      </c>
      <c r="M26" s="11"/>
      <c r="N26" s="11"/>
      <c r="O26" s="11"/>
      <c r="P26" s="11"/>
      <c r="Q26" s="11"/>
    </row>
    <row r="27" spans="1:17" ht="13.15" hidden="1" outlineLevel="1" x14ac:dyDescent="0.35">
      <c r="E27" s="1"/>
      <c r="F27" s="1" t="s">
        <v>45</v>
      </c>
      <c r="G27" s="1" t="s">
        <v>76</v>
      </c>
      <c r="H27" s="1" t="s">
        <v>80</v>
      </c>
      <c r="I27" s="14" t="s">
        <v>58</v>
      </c>
      <c r="J27" s="25">
        <v>0.3</v>
      </c>
      <c r="K27" s="29">
        <f t="shared" si="0"/>
        <v>-0.21935247160196084</v>
      </c>
      <c r="M27" s="11"/>
      <c r="N27" s="11"/>
      <c r="O27" s="11"/>
      <c r="P27" s="11"/>
      <c r="Q27" s="11"/>
    </row>
    <row r="28" spans="1:17" ht="13.15" hidden="1" outlineLevel="1" x14ac:dyDescent="0.35">
      <c r="E28" s="1"/>
      <c r="F28" s="1" t="s">
        <v>45</v>
      </c>
      <c r="G28" s="1" t="s">
        <v>76</v>
      </c>
      <c r="H28" s="1" t="s">
        <v>80</v>
      </c>
      <c r="I28" s="14" t="s">
        <v>59</v>
      </c>
      <c r="J28" s="25">
        <v>0.35</v>
      </c>
      <c r="K28" s="29">
        <f t="shared" si="0"/>
        <v>-0.16900095705190588</v>
      </c>
      <c r="M28" s="11"/>
      <c r="N28" s="11"/>
      <c r="O28" s="11"/>
      <c r="P28" s="11"/>
      <c r="Q28" s="11"/>
    </row>
    <row r="29" spans="1:17" ht="13.15" hidden="1" outlineLevel="1" x14ac:dyDescent="0.35">
      <c r="E29" s="1"/>
      <c r="F29" s="1" t="s">
        <v>45</v>
      </c>
      <c r="G29" s="1" t="s">
        <v>76</v>
      </c>
      <c r="H29" s="1" t="s">
        <v>80</v>
      </c>
      <c r="I29" s="14" t="s">
        <v>60</v>
      </c>
      <c r="J29" s="25">
        <v>0.4</v>
      </c>
      <c r="K29" s="29">
        <f t="shared" si="0"/>
        <v>-5.7814712460340277E-2</v>
      </c>
      <c r="M29" s="11"/>
      <c r="N29" s="11"/>
      <c r="O29" s="11"/>
      <c r="P29" s="11"/>
      <c r="Q29" s="11"/>
    </row>
    <row r="30" spans="1:17" ht="13.15" hidden="1" outlineLevel="1" x14ac:dyDescent="0.35">
      <c r="E30" s="1"/>
      <c r="F30" s="1" t="s">
        <v>45</v>
      </c>
      <c r="G30" s="1" t="s">
        <v>76</v>
      </c>
      <c r="H30" s="1" t="s">
        <v>80</v>
      </c>
      <c r="I30" s="14" t="s">
        <v>61</v>
      </c>
      <c r="J30" s="25">
        <v>0.45</v>
      </c>
      <c r="K30" s="29">
        <f t="shared" si="0"/>
        <v>-1.598808473882625E-2</v>
      </c>
      <c r="M30" s="11"/>
      <c r="N30" s="11"/>
      <c r="O30" s="11"/>
      <c r="P30" s="11"/>
      <c r="Q30" s="11"/>
    </row>
    <row r="31" spans="1:17" ht="13.15" hidden="1" outlineLevel="1" x14ac:dyDescent="0.35">
      <c r="E31" s="1"/>
      <c r="F31" s="1" t="s">
        <v>45</v>
      </c>
      <c r="G31" s="1" t="s">
        <v>76</v>
      </c>
      <c r="H31" s="1" t="s">
        <v>80</v>
      </c>
      <c r="I31" s="14" t="s">
        <v>62</v>
      </c>
      <c r="J31" s="25">
        <v>0.5</v>
      </c>
      <c r="K31" s="29">
        <f t="shared" si="0"/>
        <v>2.336807268800678E-2</v>
      </c>
      <c r="M31" s="11"/>
      <c r="N31" s="11"/>
      <c r="O31" s="11"/>
      <c r="P31" s="11"/>
      <c r="Q31" s="11"/>
    </row>
    <row r="32" spans="1:17" ht="13.15" hidden="1" outlineLevel="1" x14ac:dyDescent="0.35">
      <c r="E32" s="1"/>
      <c r="F32" s="1" t="s">
        <v>45</v>
      </c>
      <c r="G32" s="1" t="s">
        <v>76</v>
      </c>
      <c r="H32" s="1" t="s">
        <v>80</v>
      </c>
      <c r="I32" s="14" t="s">
        <v>63</v>
      </c>
      <c r="J32" s="25">
        <v>0.55000000000000004</v>
      </c>
      <c r="K32" s="29">
        <f t="shared" si="0"/>
        <v>0.10120107690616308</v>
      </c>
      <c r="M32" s="11"/>
      <c r="N32" s="11"/>
      <c r="O32" s="11"/>
      <c r="P32" s="11"/>
      <c r="Q32" s="11"/>
    </row>
    <row r="33" spans="1:17" ht="13.15" hidden="1" outlineLevel="1" x14ac:dyDescent="0.35">
      <c r="E33" s="1"/>
      <c r="F33" s="1" t="s">
        <v>45</v>
      </c>
      <c r="G33" s="1" t="s">
        <v>76</v>
      </c>
      <c r="H33" s="1" t="s">
        <v>80</v>
      </c>
      <c r="I33" s="14" t="s">
        <v>64</v>
      </c>
      <c r="J33" s="25">
        <v>0.6</v>
      </c>
      <c r="K33" s="29">
        <f t="shared" si="0"/>
        <v>0.13988190834738626</v>
      </c>
      <c r="M33" s="11"/>
      <c r="N33" s="11"/>
      <c r="O33" s="11"/>
      <c r="P33" s="11"/>
      <c r="Q33" s="11"/>
    </row>
    <row r="34" spans="1:17" ht="13.15" hidden="1" outlineLevel="1" x14ac:dyDescent="0.35">
      <c r="E34" s="1"/>
      <c r="F34" s="1" t="s">
        <v>45</v>
      </c>
      <c r="G34" s="1" t="s">
        <v>76</v>
      </c>
      <c r="H34" s="1" t="s">
        <v>80</v>
      </c>
      <c r="I34" s="14" t="s">
        <v>65</v>
      </c>
      <c r="J34" s="25">
        <v>0.65</v>
      </c>
      <c r="K34" s="29">
        <f t="shared" si="0"/>
        <v>0.15595512485026133</v>
      </c>
      <c r="M34" s="11"/>
      <c r="N34" s="11"/>
      <c r="O34" s="11"/>
      <c r="P34" s="11"/>
      <c r="Q34" s="11"/>
    </row>
    <row r="35" spans="1:17" ht="13.15" hidden="1" outlineLevel="1" x14ac:dyDescent="0.35">
      <c r="E35" s="1"/>
      <c r="F35" s="1" t="s">
        <v>45</v>
      </c>
      <c r="G35" s="1" t="s">
        <v>76</v>
      </c>
      <c r="H35" s="1" t="s">
        <v>80</v>
      </c>
      <c r="I35" s="14" t="s">
        <v>66</v>
      </c>
      <c r="J35" s="25">
        <v>0.7</v>
      </c>
      <c r="K35" s="29">
        <f t="shared" si="0"/>
        <v>0.18740096821179586</v>
      </c>
      <c r="M35" s="11"/>
      <c r="N35" s="11"/>
      <c r="O35" s="11"/>
      <c r="P35" s="11"/>
      <c r="Q35" s="11"/>
    </row>
    <row r="36" spans="1:17" ht="13.15" hidden="1" outlineLevel="1" x14ac:dyDescent="0.35">
      <c r="E36" s="1"/>
      <c r="F36" s="1" t="s">
        <v>45</v>
      </c>
      <c r="G36" s="1" t="s">
        <v>76</v>
      </c>
      <c r="H36" s="1" t="s">
        <v>80</v>
      </c>
      <c r="I36" s="14" t="s">
        <v>67</v>
      </c>
      <c r="J36" s="25">
        <v>0.75</v>
      </c>
      <c r="K36" s="29">
        <f t="shared" si="0"/>
        <v>0.23698424711632793</v>
      </c>
      <c r="M36" s="11"/>
      <c r="N36" s="11"/>
      <c r="O36" s="11"/>
      <c r="P36" s="11"/>
      <c r="Q36" s="11"/>
    </row>
    <row r="37" spans="1:17" ht="13.15" hidden="1" outlineLevel="1" x14ac:dyDescent="0.35">
      <c r="E37" s="1"/>
      <c r="F37" s="1" t="s">
        <v>45</v>
      </c>
      <c r="G37" s="1" t="s">
        <v>76</v>
      </c>
      <c r="H37" s="1" t="s">
        <v>80</v>
      </c>
      <c r="I37" s="14" t="s">
        <v>68</v>
      </c>
      <c r="J37" s="25">
        <v>0.8</v>
      </c>
      <c r="K37" s="29">
        <f t="shared" si="0"/>
        <v>0.325561892905676</v>
      </c>
      <c r="M37" s="11"/>
      <c r="N37" s="11"/>
      <c r="O37" s="11"/>
      <c r="P37" s="11"/>
      <c r="Q37" s="11"/>
    </row>
    <row r="38" spans="1:17" ht="13.15" hidden="1" outlineLevel="1" x14ac:dyDescent="0.35">
      <c r="E38" s="1"/>
      <c r="F38" s="1" t="s">
        <v>45</v>
      </c>
      <c r="G38" s="1" t="s">
        <v>76</v>
      </c>
      <c r="H38" s="1" t="s">
        <v>80</v>
      </c>
      <c r="I38" s="14" t="s">
        <v>69</v>
      </c>
      <c r="J38" s="25">
        <v>0.85</v>
      </c>
      <c r="K38" s="29">
        <f t="shared" si="0"/>
        <v>0.37284954380055824</v>
      </c>
      <c r="M38" s="11"/>
      <c r="N38" s="11"/>
      <c r="O38" s="11"/>
      <c r="P38" s="11"/>
      <c r="Q38" s="11"/>
    </row>
    <row r="39" spans="1:17" ht="13.15" hidden="1" outlineLevel="1" x14ac:dyDescent="0.35">
      <c r="E39" s="1"/>
      <c r="F39" s="1" t="s">
        <v>45</v>
      </c>
      <c r="G39" s="1" t="s">
        <v>76</v>
      </c>
      <c r="H39" s="1" t="s">
        <v>80</v>
      </c>
      <c r="I39" s="14" t="s">
        <v>70</v>
      </c>
      <c r="J39" s="25">
        <v>0.9</v>
      </c>
      <c r="K39" s="29">
        <f t="shared" si="0"/>
        <v>0.45191454712387891</v>
      </c>
      <c r="M39" s="11"/>
      <c r="N39" s="11"/>
      <c r="O39" s="11"/>
      <c r="P39" s="11"/>
      <c r="Q39" s="11"/>
    </row>
    <row r="40" spans="1:17" collapsed="1" x14ac:dyDescent="0.45"/>
    <row r="41" spans="1:17" s="66" customFormat="1" ht="13.15" x14ac:dyDescent="0.4">
      <c r="A41" s="66" t="s">
        <v>49</v>
      </c>
      <c r="I41" s="68"/>
      <c r="J41" s="68"/>
      <c r="K41" s="68"/>
      <c r="M41" s="68"/>
      <c r="N41" s="68"/>
      <c r="O41" s="68"/>
      <c r="P41" s="68"/>
      <c r="Q41" s="68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E5880-EC68-401C-8E27-32FEED2F2AEC}">
  <sheetPr codeName="Sheet8">
    <tabColor rgb="FF92D050"/>
  </sheetPr>
  <dimension ref="A1:L28"/>
  <sheetViews>
    <sheetView showGridLines="0" zoomScale="80" zoomScaleNormal="80" workbookViewId="0">
      <pane ySplit="5" topLeftCell="A6" activePane="bottomLeft" state="frozen"/>
      <selection pane="bottomLeft"/>
    </sheetView>
  </sheetViews>
  <sheetFormatPr defaultColWidth="0" defaultRowHeight="14.25" zeroHeight="1" x14ac:dyDescent="0.45"/>
  <cols>
    <col min="1" max="1" width="1" style="6" customWidth="1"/>
    <col min="2" max="4" width="1" style="1" customWidth="1"/>
    <col min="5" max="5" width="9" style="58" customWidth="1"/>
    <col min="6" max="6" width="20.375" style="58" bestFit="1" customWidth="1"/>
    <col min="7" max="7" width="21.75" style="58" bestFit="1" customWidth="1"/>
    <col min="8" max="9" width="9" style="70" customWidth="1"/>
    <col min="10" max="10" width="2.25" style="58" customWidth="1"/>
    <col min="11" max="11" width="9" style="70" customWidth="1"/>
    <col min="12" max="12" width="9" style="58" customWidth="1"/>
    <col min="13" max="16384" width="9" style="58" hidden="1"/>
  </cols>
  <sheetData>
    <row r="1" spans="1:11" s="4" customFormat="1" ht="30.75" x14ac:dyDescent="0.35">
      <c r="A1" s="4" t="str">
        <f ca="1">RIGHT(CELL("filename", A1), LEN(CELL("filename", A1)) - SEARCH("]", CELL("filename", A1)))</f>
        <v>Final Output</v>
      </c>
      <c r="D1" s="5"/>
      <c r="H1" s="12"/>
      <c r="I1" s="12"/>
      <c r="K1" s="12"/>
    </row>
    <row r="2" spans="1:11" s="1" customFormat="1" ht="13.15" x14ac:dyDescent="0.35">
      <c r="A2" s="6"/>
      <c r="H2" s="14"/>
      <c r="I2" s="14"/>
      <c r="K2" s="14"/>
    </row>
    <row r="3" spans="1:11" s="1" customFormat="1" ht="13.15" x14ac:dyDescent="0.35">
      <c r="A3" s="6"/>
      <c r="E3" s="7" t="s">
        <v>41</v>
      </c>
      <c r="F3" s="7" t="s">
        <v>42</v>
      </c>
      <c r="G3" s="7" t="s">
        <v>43</v>
      </c>
      <c r="H3" s="22" t="s">
        <v>13</v>
      </c>
      <c r="I3" s="22" t="s">
        <v>50</v>
      </c>
      <c r="K3" s="22" t="s">
        <v>78</v>
      </c>
    </row>
    <row r="4" spans="1:11" s="1" customFormat="1" ht="13.15" x14ac:dyDescent="0.35">
      <c r="A4" s="6"/>
      <c r="F4" s="6"/>
      <c r="H4" s="14"/>
      <c r="I4" s="14"/>
      <c r="K4" s="14"/>
    </row>
    <row r="5" spans="1:11" s="1" customFormat="1" ht="13.15" x14ac:dyDescent="0.35">
      <c r="A5" s="6"/>
      <c r="H5" s="14"/>
      <c r="I5" s="14"/>
      <c r="J5" s="3"/>
      <c r="K5" s="14"/>
    </row>
    <row r="6" spans="1:11" s="1" customFormat="1" ht="13.15" x14ac:dyDescent="0.35">
      <c r="A6" s="6"/>
      <c r="H6" s="14"/>
      <c r="I6" s="14"/>
      <c r="J6" s="3"/>
      <c r="K6" s="14"/>
    </row>
    <row r="7" spans="1:11" s="74" customFormat="1" ht="13.15" x14ac:dyDescent="0.35">
      <c r="A7" s="73" t="s">
        <v>81</v>
      </c>
      <c r="B7" s="73"/>
    </row>
    <row r="8" spans="1:11" s="1" customFormat="1" ht="13.15" x14ac:dyDescent="0.35">
      <c r="A8" s="6"/>
      <c r="H8" s="14"/>
      <c r="I8" s="14"/>
      <c r="K8" s="14"/>
    </row>
    <row r="9" spans="1:11" s="1" customFormat="1" ht="13.15" x14ac:dyDescent="0.35">
      <c r="A9" s="6"/>
      <c r="E9" s="11"/>
      <c r="F9" s="1" t="s">
        <v>45</v>
      </c>
      <c r="G9" s="10" t="s">
        <v>130</v>
      </c>
      <c r="H9" s="14" t="s">
        <v>80</v>
      </c>
      <c r="I9" s="14" t="s">
        <v>54</v>
      </c>
      <c r="J9" s="8"/>
      <c r="K9" s="30">
        <f>Percentiles!K23</f>
        <v>-0.4014290945839612</v>
      </c>
    </row>
    <row r="10" spans="1:11" s="1" customFormat="1" ht="13.15" x14ac:dyDescent="0.35">
      <c r="A10" s="6"/>
      <c r="E10" s="11"/>
      <c r="F10" s="1" t="s">
        <v>45</v>
      </c>
      <c r="G10" s="10" t="s">
        <v>130</v>
      </c>
      <c r="H10" s="14" t="s">
        <v>80</v>
      </c>
      <c r="I10" s="14" t="s">
        <v>55</v>
      </c>
      <c r="J10" s="8"/>
      <c r="K10" s="30">
        <f>Percentiles!K24</f>
        <v>-0.31778209792930673</v>
      </c>
    </row>
    <row r="11" spans="1:11" s="1" customFormat="1" ht="13.15" x14ac:dyDescent="0.35">
      <c r="A11" s="6"/>
      <c r="E11" s="11"/>
      <c r="F11" s="1" t="s">
        <v>45</v>
      </c>
      <c r="G11" s="10" t="s">
        <v>130</v>
      </c>
      <c r="H11" s="14" t="s">
        <v>80</v>
      </c>
      <c r="I11" s="14" t="s">
        <v>56</v>
      </c>
      <c r="J11" s="8"/>
      <c r="K11" s="30">
        <f>Percentiles!K25</f>
        <v>-0.25440862210132192</v>
      </c>
    </row>
    <row r="12" spans="1:11" s="1" customFormat="1" ht="13.15" x14ac:dyDescent="0.35">
      <c r="A12" s="6"/>
      <c r="E12" s="11"/>
      <c r="F12" s="1" t="s">
        <v>45</v>
      </c>
      <c r="G12" s="10" t="s">
        <v>130</v>
      </c>
      <c r="H12" s="14" t="s">
        <v>80</v>
      </c>
      <c r="I12" s="14" t="s">
        <v>57</v>
      </c>
      <c r="J12" s="8"/>
      <c r="K12" s="30">
        <f>Percentiles!K26</f>
        <v>-0.23228624892603297</v>
      </c>
    </row>
    <row r="13" spans="1:11" s="1" customFormat="1" ht="13.15" x14ac:dyDescent="0.35">
      <c r="A13" s="6"/>
      <c r="E13" s="11"/>
      <c r="F13" s="1" t="s">
        <v>45</v>
      </c>
      <c r="G13" s="10" t="s">
        <v>130</v>
      </c>
      <c r="H13" s="14" t="s">
        <v>80</v>
      </c>
      <c r="I13" s="14" t="s">
        <v>58</v>
      </c>
      <c r="J13" s="8"/>
      <c r="K13" s="30">
        <f>Percentiles!K27</f>
        <v>-0.21935247160196084</v>
      </c>
    </row>
    <row r="14" spans="1:11" s="1" customFormat="1" ht="13.15" x14ac:dyDescent="0.35">
      <c r="A14" s="6"/>
      <c r="E14" s="11"/>
      <c r="F14" s="1" t="s">
        <v>45</v>
      </c>
      <c r="G14" s="10" t="s">
        <v>130</v>
      </c>
      <c r="H14" s="14" t="s">
        <v>80</v>
      </c>
      <c r="I14" s="14" t="s">
        <v>59</v>
      </c>
      <c r="J14" s="8"/>
      <c r="K14" s="30">
        <f>Percentiles!K28</f>
        <v>-0.16900095705190588</v>
      </c>
    </row>
    <row r="15" spans="1:11" s="1" customFormat="1" ht="13.15" x14ac:dyDescent="0.35">
      <c r="A15" s="6"/>
      <c r="E15" s="11"/>
      <c r="F15" s="1" t="s">
        <v>45</v>
      </c>
      <c r="G15" s="10" t="s">
        <v>130</v>
      </c>
      <c r="H15" s="14" t="s">
        <v>80</v>
      </c>
      <c r="I15" s="14" t="s">
        <v>60</v>
      </c>
      <c r="J15" s="8"/>
      <c r="K15" s="30">
        <f>Percentiles!K29</f>
        <v>-5.7814712460340277E-2</v>
      </c>
    </row>
    <row r="16" spans="1:11" s="1" customFormat="1" ht="13.15" x14ac:dyDescent="0.35">
      <c r="A16" s="6"/>
      <c r="E16" s="11"/>
      <c r="F16" s="1" t="s">
        <v>45</v>
      </c>
      <c r="G16" s="10" t="s">
        <v>130</v>
      </c>
      <c r="H16" s="14" t="s">
        <v>80</v>
      </c>
      <c r="I16" s="14" t="s">
        <v>61</v>
      </c>
      <c r="J16" s="8"/>
      <c r="K16" s="30">
        <f>Percentiles!K30</f>
        <v>-1.598808473882625E-2</v>
      </c>
    </row>
    <row r="17" spans="1:11" s="1" customFormat="1" ht="13.15" x14ac:dyDescent="0.35">
      <c r="A17" s="6"/>
      <c r="E17" s="11"/>
      <c r="F17" s="1" t="s">
        <v>45</v>
      </c>
      <c r="G17" s="10" t="s">
        <v>130</v>
      </c>
      <c r="H17" s="14" t="s">
        <v>80</v>
      </c>
      <c r="I17" s="14" t="s">
        <v>62</v>
      </c>
      <c r="J17" s="8"/>
      <c r="K17" s="30">
        <f>Percentiles!K31</f>
        <v>2.336807268800678E-2</v>
      </c>
    </row>
    <row r="18" spans="1:11" s="1" customFormat="1" ht="13.15" x14ac:dyDescent="0.35">
      <c r="A18" s="6"/>
      <c r="E18" s="11"/>
      <c r="F18" s="1" t="s">
        <v>45</v>
      </c>
      <c r="G18" s="10" t="s">
        <v>130</v>
      </c>
      <c r="H18" s="14" t="s">
        <v>80</v>
      </c>
      <c r="I18" s="14" t="s">
        <v>63</v>
      </c>
      <c r="J18" s="8"/>
      <c r="K18" s="30">
        <f>Percentiles!K32</f>
        <v>0.10120107690616308</v>
      </c>
    </row>
    <row r="19" spans="1:11" s="1" customFormat="1" ht="13.15" x14ac:dyDescent="0.35">
      <c r="A19" s="6"/>
      <c r="E19" s="11"/>
      <c r="F19" s="1" t="s">
        <v>45</v>
      </c>
      <c r="G19" s="10" t="s">
        <v>130</v>
      </c>
      <c r="H19" s="14" t="s">
        <v>80</v>
      </c>
      <c r="I19" s="14" t="s">
        <v>64</v>
      </c>
      <c r="J19" s="8"/>
      <c r="K19" s="30">
        <f>Percentiles!K33</f>
        <v>0.13988190834738626</v>
      </c>
    </row>
    <row r="20" spans="1:11" s="1" customFormat="1" ht="13.15" x14ac:dyDescent="0.35">
      <c r="A20" s="6"/>
      <c r="E20" s="11"/>
      <c r="F20" s="1" t="s">
        <v>45</v>
      </c>
      <c r="G20" s="10" t="s">
        <v>130</v>
      </c>
      <c r="H20" s="14" t="s">
        <v>80</v>
      </c>
      <c r="I20" s="14" t="s">
        <v>65</v>
      </c>
      <c r="J20" s="8"/>
      <c r="K20" s="30">
        <f>Percentiles!K34</f>
        <v>0.15595512485026133</v>
      </c>
    </row>
    <row r="21" spans="1:11" s="1" customFormat="1" ht="13.15" x14ac:dyDescent="0.35">
      <c r="A21" s="6"/>
      <c r="E21" s="11"/>
      <c r="F21" s="1" t="s">
        <v>45</v>
      </c>
      <c r="G21" s="10" t="s">
        <v>130</v>
      </c>
      <c r="H21" s="14" t="s">
        <v>80</v>
      </c>
      <c r="I21" s="14" t="s">
        <v>66</v>
      </c>
      <c r="J21" s="8"/>
      <c r="K21" s="30">
        <f>Percentiles!K35</f>
        <v>0.18740096821179586</v>
      </c>
    </row>
    <row r="22" spans="1:11" s="1" customFormat="1" ht="13.15" x14ac:dyDescent="0.35">
      <c r="A22" s="6"/>
      <c r="E22" s="11"/>
      <c r="F22" s="1" t="s">
        <v>45</v>
      </c>
      <c r="G22" s="10" t="s">
        <v>130</v>
      </c>
      <c r="H22" s="14" t="s">
        <v>80</v>
      </c>
      <c r="I22" s="14" t="s">
        <v>67</v>
      </c>
      <c r="J22" s="8"/>
      <c r="K22" s="30">
        <f>Percentiles!K36</f>
        <v>0.23698424711632793</v>
      </c>
    </row>
    <row r="23" spans="1:11" s="1" customFormat="1" ht="13.15" x14ac:dyDescent="0.35">
      <c r="A23" s="6"/>
      <c r="E23" s="11"/>
      <c r="F23" s="1" t="s">
        <v>45</v>
      </c>
      <c r="G23" s="10" t="s">
        <v>130</v>
      </c>
      <c r="H23" s="14" t="s">
        <v>80</v>
      </c>
      <c r="I23" s="14" t="s">
        <v>68</v>
      </c>
      <c r="J23" s="8"/>
      <c r="K23" s="30">
        <f>Percentiles!K37</f>
        <v>0.325561892905676</v>
      </c>
    </row>
    <row r="24" spans="1:11" s="1" customFormat="1" ht="13.15" x14ac:dyDescent="0.35">
      <c r="A24" s="6"/>
      <c r="E24" s="11"/>
      <c r="F24" s="1" t="s">
        <v>45</v>
      </c>
      <c r="G24" s="10" t="s">
        <v>130</v>
      </c>
      <c r="H24" s="14" t="s">
        <v>80</v>
      </c>
      <c r="I24" s="14" t="s">
        <v>69</v>
      </c>
      <c r="J24" s="8"/>
      <c r="K24" s="30">
        <f>Percentiles!K38</f>
        <v>0.37284954380055824</v>
      </c>
    </row>
    <row r="25" spans="1:11" s="1" customFormat="1" ht="13.15" x14ac:dyDescent="0.35">
      <c r="A25" s="6"/>
      <c r="E25" s="11"/>
      <c r="F25" s="1" t="s">
        <v>45</v>
      </c>
      <c r="G25" s="10" t="s">
        <v>130</v>
      </c>
      <c r="H25" s="14" t="s">
        <v>80</v>
      </c>
      <c r="I25" s="14" t="s">
        <v>70</v>
      </c>
      <c r="J25" s="8"/>
      <c r="K25" s="30">
        <f>Percentiles!K39</f>
        <v>0.45191454712387891</v>
      </c>
    </row>
    <row r="26" spans="1:11" x14ac:dyDescent="0.45">
      <c r="E26" s="1"/>
    </row>
    <row r="27" spans="1:11" s="66" customFormat="1" ht="13.15" x14ac:dyDescent="0.4">
      <c r="A27" s="66" t="s">
        <v>49</v>
      </c>
      <c r="H27" s="68"/>
      <c r="I27" s="68"/>
      <c r="K27" s="68"/>
    </row>
    <row r="28" spans="1:11" hidden="1" x14ac:dyDescent="0.45">
      <c r="E28" s="1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D4197-CC6F-40ED-A88D-F6DA9B8ED7C5}">
  <sheetPr codeName="Sheet9">
    <tabColor rgb="FF92D050"/>
  </sheetPr>
  <dimension ref="A1:L239"/>
  <sheetViews>
    <sheetView zoomScale="80" zoomScaleNormal="80" workbookViewId="0"/>
  </sheetViews>
  <sheetFormatPr defaultColWidth="0" defaultRowHeight="14.25" zeroHeight="1" x14ac:dyDescent="0.45"/>
  <cols>
    <col min="1" max="1" width="9" style="58" customWidth="1"/>
    <col min="2" max="2" width="30.625" style="58" customWidth="1"/>
    <col min="3" max="3" width="61.625" style="58" customWidth="1"/>
    <col min="4" max="11" width="9" style="58" customWidth="1"/>
    <col min="12" max="12" width="0" style="58" hidden="1" customWidth="1"/>
    <col min="13" max="16384" width="9" style="58" hidden="1"/>
  </cols>
  <sheetData>
    <row r="1" spans="1:6" x14ac:dyDescent="0.45">
      <c r="A1" s="75"/>
      <c r="B1" s="76"/>
      <c r="C1" s="75" t="s">
        <v>82</v>
      </c>
      <c r="D1" s="75"/>
      <c r="E1" s="75"/>
      <c r="F1" s="75"/>
    </row>
    <row r="2" spans="1:6" x14ac:dyDescent="0.45">
      <c r="A2" s="75" t="s">
        <v>10</v>
      </c>
      <c r="B2" s="76" t="s">
        <v>11</v>
      </c>
      <c r="C2" s="75" t="s">
        <v>12</v>
      </c>
      <c r="D2" s="75" t="s">
        <v>13</v>
      </c>
      <c r="E2" s="75" t="s">
        <v>14</v>
      </c>
      <c r="F2" s="75" t="s">
        <v>83</v>
      </c>
    </row>
    <row r="3" spans="1:6" x14ac:dyDescent="0.45">
      <c r="A3" s="75"/>
      <c r="B3" s="76"/>
      <c r="C3" s="75"/>
      <c r="D3" s="75"/>
      <c r="E3" s="75"/>
      <c r="F3" s="75"/>
    </row>
    <row r="4" spans="1:6" x14ac:dyDescent="0.45">
      <c r="A4" s="58" t="s">
        <v>25</v>
      </c>
      <c r="B4" s="77" t="s">
        <v>84</v>
      </c>
      <c r="C4" s="77" t="s">
        <v>85</v>
      </c>
      <c r="D4" s="77" t="s">
        <v>86</v>
      </c>
      <c r="E4" s="78" t="s">
        <v>23</v>
      </c>
      <c r="F4" s="79" t="str">
        <f ca="1">CONCATENATE("[…]", TEXT(NOW(),"dd/mm/yyy hh:mm:ss"))</f>
        <v>[…]12/12/2024 16:43:42</v>
      </c>
    </row>
    <row r="5" spans="1:6" x14ac:dyDescent="0.45">
      <c r="A5" s="58" t="s">
        <v>25</v>
      </c>
      <c r="B5" s="77" t="s">
        <v>87</v>
      </c>
      <c r="C5" s="77" t="s">
        <v>88</v>
      </c>
      <c r="D5" s="77" t="s">
        <v>86</v>
      </c>
      <c r="E5" s="78" t="s">
        <v>23</v>
      </c>
      <c r="F5" s="78" t="str">
        <f ca="1">MID(CELL("filename"),SEARCH("[",CELL("filename"))+1,SEARCH("]",CELL("filename"))-SEARCH("[",CELL("filename"))-1)</f>
        <v>PR24 FD OC15 ODI risk - Feeder Model (Storm Overflows).xlsx</v>
      </c>
    </row>
    <row r="6" spans="1:6" x14ac:dyDescent="0.45">
      <c r="A6" s="58" t="s">
        <v>25</v>
      </c>
      <c r="B6" s="77" t="s">
        <v>89</v>
      </c>
      <c r="C6" s="77" t="s">
        <v>90</v>
      </c>
      <c r="D6" s="77" t="s">
        <v>86</v>
      </c>
      <c r="E6" s="78" t="s">
        <v>23</v>
      </c>
      <c r="F6" s="78" t="str">
        <f>F_Inputs!$E$1</f>
        <v>Run on 13 Nov 2024 17:46</v>
      </c>
    </row>
    <row r="7" spans="1:6" x14ac:dyDescent="0.45">
      <c r="A7" s="58" t="s">
        <v>25</v>
      </c>
      <c r="B7" s="77" t="s">
        <v>91</v>
      </c>
      <c r="C7" s="77" t="s">
        <v>92</v>
      </c>
      <c r="D7" s="77" t="s">
        <v>93</v>
      </c>
      <c r="E7" s="78" t="s">
        <v>23</v>
      </c>
      <c r="F7" s="80" t="s">
        <v>94</v>
      </c>
    </row>
    <row r="8" spans="1:6" x14ac:dyDescent="0.45">
      <c r="A8" s="58" t="s">
        <v>25</v>
      </c>
      <c r="B8" s="2" t="s">
        <v>95</v>
      </c>
      <c r="C8" s="2" t="s">
        <v>96</v>
      </c>
      <c r="D8" s="2" t="s">
        <v>80</v>
      </c>
      <c r="E8" s="2" t="s">
        <v>23</v>
      </c>
      <c r="F8" s="81">
        <f>'Final Output'!K9</f>
        <v>-0.4014290945839612</v>
      </c>
    </row>
    <row r="9" spans="1:6" x14ac:dyDescent="0.45">
      <c r="A9" s="58" t="s">
        <v>25</v>
      </c>
      <c r="B9" s="2" t="s">
        <v>97</v>
      </c>
      <c r="C9" s="2" t="s">
        <v>98</v>
      </c>
      <c r="D9" s="2" t="s">
        <v>80</v>
      </c>
      <c r="E9" s="2" t="s">
        <v>23</v>
      </c>
      <c r="F9" s="81">
        <f>'Final Output'!K10</f>
        <v>-0.31778209792930673</v>
      </c>
    </row>
    <row r="10" spans="1:6" x14ac:dyDescent="0.45">
      <c r="A10" s="58" t="s">
        <v>25</v>
      </c>
      <c r="B10" s="2" t="s">
        <v>99</v>
      </c>
      <c r="C10" s="2" t="s">
        <v>100</v>
      </c>
      <c r="D10" s="2" t="s">
        <v>80</v>
      </c>
      <c r="E10" s="2" t="s">
        <v>23</v>
      </c>
      <c r="F10" s="81">
        <f>'Final Output'!K11</f>
        <v>-0.25440862210132192</v>
      </c>
    </row>
    <row r="11" spans="1:6" x14ac:dyDescent="0.45">
      <c r="A11" s="58" t="s">
        <v>25</v>
      </c>
      <c r="B11" s="2" t="s">
        <v>101</v>
      </c>
      <c r="C11" s="2" t="s">
        <v>102</v>
      </c>
      <c r="D11" s="2" t="s">
        <v>80</v>
      </c>
      <c r="E11" s="2" t="s">
        <v>23</v>
      </c>
      <c r="F11" s="81">
        <f>'Final Output'!K12</f>
        <v>-0.23228624892603297</v>
      </c>
    </row>
    <row r="12" spans="1:6" x14ac:dyDescent="0.45">
      <c r="A12" s="58" t="s">
        <v>25</v>
      </c>
      <c r="B12" s="2" t="s">
        <v>103</v>
      </c>
      <c r="C12" s="2" t="s">
        <v>104</v>
      </c>
      <c r="D12" s="2" t="s">
        <v>80</v>
      </c>
      <c r="E12" s="2" t="s">
        <v>23</v>
      </c>
      <c r="F12" s="81">
        <f>'Final Output'!K13</f>
        <v>-0.21935247160196084</v>
      </c>
    </row>
    <row r="13" spans="1:6" x14ac:dyDescent="0.45">
      <c r="A13" s="58" t="s">
        <v>25</v>
      </c>
      <c r="B13" s="2" t="s">
        <v>105</v>
      </c>
      <c r="C13" s="2" t="s">
        <v>106</v>
      </c>
      <c r="D13" s="2" t="s">
        <v>80</v>
      </c>
      <c r="E13" s="2" t="s">
        <v>23</v>
      </c>
      <c r="F13" s="81">
        <f>'Final Output'!K14</f>
        <v>-0.16900095705190588</v>
      </c>
    </row>
    <row r="14" spans="1:6" x14ac:dyDescent="0.45">
      <c r="A14" s="58" t="s">
        <v>25</v>
      </c>
      <c r="B14" s="2" t="s">
        <v>107</v>
      </c>
      <c r="C14" s="2" t="s">
        <v>108</v>
      </c>
      <c r="D14" s="2" t="s">
        <v>80</v>
      </c>
      <c r="E14" s="2" t="s">
        <v>23</v>
      </c>
      <c r="F14" s="81">
        <f>'Final Output'!K15</f>
        <v>-5.7814712460340277E-2</v>
      </c>
    </row>
    <row r="15" spans="1:6" x14ac:dyDescent="0.45">
      <c r="A15" s="58" t="s">
        <v>25</v>
      </c>
      <c r="B15" s="2" t="s">
        <v>109</v>
      </c>
      <c r="C15" s="2" t="s">
        <v>110</v>
      </c>
      <c r="D15" s="2" t="s">
        <v>80</v>
      </c>
      <c r="E15" s="2" t="s">
        <v>23</v>
      </c>
      <c r="F15" s="81">
        <f>'Final Output'!K16</f>
        <v>-1.598808473882625E-2</v>
      </c>
    </row>
    <row r="16" spans="1:6" x14ac:dyDescent="0.45">
      <c r="A16" s="58" t="s">
        <v>25</v>
      </c>
      <c r="B16" s="2" t="s">
        <v>111</v>
      </c>
      <c r="C16" s="2" t="s">
        <v>112</v>
      </c>
      <c r="D16" s="2" t="s">
        <v>80</v>
      </c>
      <c r="E16" s="2" t="s">
        <v>23</v>
      </c>
      <c r="F16" s="81">
        <f>'Final Output'!K17</f>
        <v>2.336807268800678E-2</v>
      </c>
    </row>
    <row r="17" spans="1:6" x14ac:dyDescent="0.45">
      <c r="A17" s="58" t="s">
        <v>25</v>
      </c>
      <c r="B17" s="2" t="s">
        <v>113</v>
      </c>
      <c r="C17" s="2" t="s">
        <v>114</v>
      </c>
      <c r="D17" s="2" t="s">
        <v>80</v>
      </c>
      <c r="E17" s="2" t="s">
        <v>23</v>
      </c>
      <c r="F17" s="81">
        <f>'Final Output'!K18</f>
        <v>0.10120107690616308</v>
      </c>
    </row>
    <row r="18" spans="1:6" x14ac:dyDescent="0.45">
      <c r="A18" s="58" t="s">
        <v>25</v>
      </c>
      <c r="B18" s="2" t="s">
        <v>115</v>
      </c>
      <c r="C18" s="2" t="s">
        <v>116</v>
      </c>
      <c r="D18" s="2" t="s">
        <v>80</v>
      </c>
      <c r="E18" s="2" t="s">
        <v>23</v>
      </c>
      <c r="F18" s="81">
        <f>'Final Output'!K19</f>
        <v>0.13988190834738626</v>
      </c>
    </row>
    <row r="19" spans="1:6" x14ac:dyDescent="0.45">
      <c r="A19" s="58" t="s">
        <v>25</v>
      </c>
      <c r="B19" s="2" t="s">
        <v>117</v>
      </c>
      <c r="C19" s="2" t="s">
        <v>118</v>
      </c>
      <c r="D19" s="2" t="s">
        <v>80</v>
      </c>
      <c r="E19" s="2" t="s">
        <v>23</v>
      </c>
      <c r="F19" s="81">
        <f>'Final Output'!K20</f>
        <v>0.15595512485026133</v>
      </c>
    </row>
    <row r="20" spans="1:6" x14ac:dyDescent="0.45">
      <c r="A20" s="58" t="s">
        <v>25</v>
      </c>
      <c r="B20" s="2" t="s">
        <v>119</v>
      </c>
      <c r="C20" s="2" t="s">
        <v>120</v>
      </c>
      <c r="D20" s="2" t="s">
        <v>80</v>
      </c>
      <c r="E20" s="2" t="s">
        <v>23</v>
      </c>
      <c r="F20" s="81">
        <f>'Final Output'!K21</f>
        <v>0.18740096821179586</v>
      </c>
    </row>
    <row r="21" spans="1:6" x14ac:dyDescent="0.45">
      <c r="A21" s="58" t="s">
        <v>25</v>
      </c>
      <c r="B21" s="2" t="s">
        <v>121</v>
      </c>
      <c r="C21" s="2" t="s">
        <v>122</v>
      </c>
      <c r="D21" s="2" t="s">
        <v>80</v>
      </c>
      <c r="E21" s="2" t="s">
        <v>23</v>
      </c>
      <c r="F21" s="81">
        <f>'Final Output'!K22</f>
        <v>0.23698424711632793</v>
      </c>
    </row>
    <row r="22" spans="1:6" x14ac:dyDescent="0.45">
      <c r="A22" s="58" t="s">
        <v>25</v>
      </c>
      <c r="B22" s="2" t="s">
        <v>123</v>
      </c>
      <c r="C22" s="2" t="s">
        <v>124</v>
      </c>
      <c r="D22" s="2" t="s">
        <v>80</v>
      </c>
      <c r="E22" s="2" t="s">
        <v>23</v>
      </c>
      <c r="F22" s="81">
        <f>'Final Output'!K23</f>
        <v>0.325561892905676</v>
      </c>
    </row>
    <row r="23" spans="1:6" x14ac:dyDescent="0.45">
      <c r="A23" s="58" t="s">
        <v>25</v>
      </c>
      <c r="B23" s="2" t="s">
        <v>125</v>
      </c>
      <c r="C23" s="2" t="s">
        <v>126</v>
      </c>
      <c r="D23" s="2" t="s">
        <v>80</v>
      </c>
      <c r="E23" s="2" t="s">
        <v>23</v>
      </c>
      <c r="F23" s="81">
        <f>'Final Output'!K24</f>
        <v>0.37284954380055824</v>
      </c>
    </row>
    <row r="24" spans="1:6" x14ac:dyDescent="0.45">
      <c r="A24" s="58" t="s">
        <v>25</v>
      </c>
      <c r="B24" s="2" t="s">
        <v>127</v>
      </c>
      <c r="C24" s="2" t="s">
        <v>128</v>
      </c>
      <c r="D24" s="2" t="s">
        <v>80</v>
      </c>
      <c r="E24" s="2" t="s">
        <v>23</v>
      </c>
      <c r="F24" s="81">
        <f>'Final Output'!K25</f>
        <v>0.45191454712387891</v>
      </c>
    </row>
    <row r="25" spans="1:6" x14ac:dyDescent="0.45">
      <c r="A25" s="58" t="s">
        <v>30</v>
      </c>
      <c r="B25" s="77" t="s">
        <v>84</v>
      </c>
      <c r="C25" s="77" t="s">
        <v>85</v>
      </c>
      <c r="D25" s="77" t="s">
        <v>86</v>
      </c>
      <c r="E25" s="78" t="s">
        <v>23</v>
      </c>
      <c r="F25" s="79" t="str">
        <f ca="1">CONCATENATE("[…]", TEXT(NOW(),"dd/mm/yyy hh:mm:ss"))</f>
        <v>[…]12/12/2024 16:43:42</v>
      </c>
    </row>
    <row r="26" spans="1:6" x14ac:dyDescent="0.45">
      <c r="A26" s="58" t="s">
        <v>30</v>
      </c>
      <c r="B26" s="77" t="s">
        <v>87</v>
      </c>
      <c r="C26" s="77" t="s">
        <v>88</v>
      </c>
      <c r="D26" s="77" t="s">
        <v>86</v>
      </c>
      <c r="E26" s="78" t="s">
        <v>23</v>
      </c>
      <c r="F26" s="78" t="str">
        <f ca="1">MID(CELL("filename"),SEARCH("[",CELL("filename"))+1,SEARCH("]",CELL("filename"))-SEARCH("[",CELL("filename"))-1)</f>
        <v>PR24 FD OC15 ODI risk - Feeder Model (Storm Overflows).xlsx</v>
      </c>
    </row>
    <row r="27" spans="1:6" x14ac:dyDescent="0.45">
      <c r="A27" s="58" t="s">
        <v>30</v>
      </c>
      <c r="B27" s="77" t="s">
        <v>89</v>
      </c>
      <c r="C27" s="77" t="s">
        <v>90</v>
      </c>
      <c r="D27" s="77" t="s">
        <v>86</v>
      </c>
      <c r="E27" s="78" t="s">
        <v>23</v>
      </c>
      <c r="F27" s="78" t="str">
        <f>F_Inputs!$E$1</f>
        <v>Run on 13 Nov 2024 17:46</v>
      </c>
    </row>
    <row r="28" spans="1:6" x14ac:dyDescent="0.45">
      <c r="A28" s="58" t="s">
        <v>30</v>
      </c>
      <c r="B28" s="77" t="s">
        <v>91</v>
      </c>
      <c r="C28" s="77" t="s">
        <v>92</v>
      </c>
      <c r="D28" s="77" t="s">
        <v>93</v>
      </c>
      <c r="E28" s="78" t="s">
        <v>23</v>
      </c>
      <c r="F28" s="80" t="s">
        <v>94</v>
      </c>
    </row>
    <row r="29" spans="1:6" x14ac:dyDescent="0.45">
      <c r="A29" s="58" t="s">
        <v>30</v>
      </c>
      <c r="B29" s="2" t="s">
        <v>95</v>
      </c>
      <c r="C29" s="2" t="s">
        <v>96</v>
      </c>
      <c r="D29" s="2" t="s">
        <v>80</v>
      </c>
      <c r="E29" s="2" t="s">
        <v>23</v>
      </c>
      <c r="F29" s="81">
        <f>'Final Output'!K9</f>
        <v>-0.4014290945839612</v>
      </c>
    </row>
    <row r="30" spans="1:6" x14ac:dyDescent="0.45">
      <c r="A30" s="58" t="s">
        <v>30</v>
      </c>
      <c r="B30" s="2" t="s">
        <v>97</v>
      </c>
      <c r="C30" s="2" t="s">
        <v>98</v>
      </c>
      <c r="D30" s="2" t="s">
        <v>80</v>
      </c>
      <c r="E30" s="2" t="s">
        <v>23</v>
      </c>
      <c r="F30" s="81">
        <f>'Final Output'!K10</f>
        <v>-0.31778209792930673</v>
      </c>
    </row>
    <row r="31" spans="1:6" x14ac:dyDescent="0.45">
      <c r="A31" s="58" t="s">
        <v>30</v>
      </c>
      <c r="B31" s="2" t="s">
        <v>99</v>
      </c>
      <c r="C31" s="2" t="s">
        <v>100</v>
      </c>
      <c r="D31" s="2" t="s">
        <v>80</v>
      </c>
      <c r="E31" s="2" t="s">
        <v>23</v>
      </c>
      <c r="F31" s="81">
        <f>'Final Output'!K11</f>
        <v>-0.25440862210132192</v>
      </c>
    </row>
    <row r="32" spans="1:6" x14ac:dyDescent="0.45">
      <c r="A32" s="58" t="s">
        <v>30</v>
      </c>
      <c r="B32" s="2" t="s">
        <v>101</v>
      </c>
      <c r="C32" s="2" t="s">
        <v>102</v>
      </c>
      <c r="D32" s="2" t="s">
        <v>80</v>
      </c>
      <c r="E32" s="2" t="s">
        <v>23</v>
      </c>
      <c r="F32" s="81">
        <f>'Final Output'!K12</f>
        <v>-0.23228624892603297</v>
      </c>
    </row>
    <row r="33" spans="1:6" x14ac:dyDescent="0.45">
      <c r="A33" s="58" t="s">
        <v>30</v>
      </c>
      <c r="B33" s="2" t="s">
        <v>103</v>
      </c>
      <c r="C33" s="2" t="s">
        <v>104</v>
      </c>
      <c r="D33" s="2" t="s">
        <v>80</v>
      </c>
      <c r="E33" s="2" t="s">
        <v>23</v>
      </c>
      <c r="F33" s="81">
        <f>'Final Output'!K13</f>
        <v>-0.21935247160196084</v>
      </c>
    </row>
    <row r="34" spans="1:6" x14ac:dyDescent="0.45">
      <c r="A34" s="58" t="s">
        <v>30</v>
      </c>
      <c r="B34" s="2" t="s">
        <v>105</v>
      </c>
      <c r="C34" s="2" t="s">
        <v>106</v>
      </c>
      <c r="D34" s="2" t="s">
        <v>80</v>
      </c>
      <c r="E34" s="2" t="s">
        <v>23</v>
      </c>
      <c r="F34" s="81">
        <f>'Final Output'!K14</f>
        <v>-0.16900095705190588</v>
      </c>
    </row>
    <row r="35" spans="1:6" x14ac:dyDescent="0.45">
      <c r="A35" s="58" t="s">
        <v>30</v>
      </c>
      <c r="B35" s="2" t="s">
        <v>107</v>
      </c>
      <c r="C35" s="2" t="s">
        <v>108</v>
      </c>
      <c r="D35" s="2" t="s">
        <v>80</v>
      </c>
      <c r="E35" s="2" t="s">
        <v>23</v>
      </c>
      <c r="F35" s="81">
        <f>'Final Output'!K15</f>
        <v>-5.7814712460340277E-2</v>
      </c>
    </row>
    <row r="36" spans="1:6" x14ac:dyDescent="0.45">
      <c r="A36" s="58" t="s">
        <v>30</v>
      </c>
      <c r="B36" s="2" t="s">
        <v>109</v>
      </c>
      <c r="C36" s="2" t="s">
        <v>110</v>
      </c>
      <c r="D36" s="2" t="s">
        <v>80</v>
      </c>
      <c r="E36" s="2" t="s">
        <v>23</v>
      </c>
      <c r="F36" s="81">
        <f>'Final Output'!K16</f>
        <v>-1.598808473882625E-2</v>
      </c>
    </row>
    <row r="37" spans="1:6" x14ac:dyDescent="0.45">
      <c r="A37" s="58" t="s">
        <v>30</v>
      </c>
      <c r="B37" s="2" t="s">
        <v>111</v>
      </c>
      <c r="C37" s="2" t="s">
        <v>112</v>
      </c>
      <c r="D37" s="2" t="s">
        <v>80</v>
      </c>
      <c r="E37" s="2" t="s">
        <v>23</v>
      </c>
      <c r="F37" s="81">
        <f>'Final Output'!K17</f>
        <v>2.336807268800678E-2</v>
      </c>
    </row>
    <row r="38" spans="1:6" x14ac:dyDescent="0.45">
      <c r="A38" s="58" t="s">
        <v>30</v>
      </c>
      <c r="B38" s="2" t="s">
        <v>113</v>
      </c>
      <c r="C38" s="2" t="s">
        <v>114</v>
      </c>
      <c r="D38" s="2" t="s">
        <v>80</v>
      </c>
      <c r="E38" s="2" t="s">
        <v>23</v>
      </c>
      <c r="F38" s="81">
        <f>'Final Output'!K18</f>
        <v>0.10120107690616308</v>
      </c>
    </row>
    <row r="39" spans="1:6" x14ac:dyDescent="0.45">
      <c r="A39" s="58" t="s">
        <v>30</v>
      </c>
      <c r="B39" s="2" t="s">
        <v>115</v>
      </c>
      <c r="C39" s="2" t="s">
        <v>116</v>
      </c>
      <c r="D39" s="2" t="s">
        <v>80</v>
      </c>
      <c r="E39" s="2" t="s">
        <v>23</v>
      </c>
      <c r="F39" s="81">
        <f>'Final Output'!K19</f>
        <v>0.13988190834738626</v>
      </c>
    </row>
    <row r="40" spans="1:6" x14ac:dyDescent="0.45">
      <c r="A40" s="58" t="s">
        <v>30</v>
      </c>
      <c r="B40" s="2" t="s">
        <v>117</v>
      </c>
      <c r="C40" s="2" t="s">
        <v>118</v>
      </c>
      <c r="D40" s="2" t="s">
        <v>80</v>
      </c>
      <c r="E40" s="2" t="s">
        <v>23</v>
      </c>
      <c r="F40" s="81">
        <f>'Final Output'!K20</f>
        <v>0.15595512485026133</v>
      </c>
    </row>
    <row r="41" spans="1:6" x14ac:dyDescent="0.45">
      <c r="A41" s="58" t="s">
        <v>30</v>
      </c>
      <c r="B41" s="2" t="s">
        <v>119</v>
      </c>
      <c r="C41" s="2" t="s">
        <v>120</v>
      </c>
      <c r="D41" s="2" t="s">
        <v>80</v>
      </c>
      <c r="E41" s="2" t="s">
        <v>23</v>
      </c>
      <c r="F41" s="81">
        <f>'Final Output'!K21</f>
        <v>0.18740096821179586</v>
      </c>
    </row>
    <row r="42" spans="1:6" x14ac:dyDescent="0.45">
      <c r="A42" s="58" t="s">
        <v>30</v>
      </c>
      <c r="B42" s="2" t="s">
        <v>121</v>
      </c>
      <c r="C42" s="2" t="s">
        <v>122</v>
      </c>
      <c r="D42" s="2" t="s">
        <v>80</v>
      </c>
      <c r="E42" s="2" t="s">
        <v>23</v>
      </c>
      <c r="F42" s="81">
        <f>'Final Output'!K22</f>
        <v>0.23698424711632793</v>
      </c>
    </row>
    <row r="43" spans="1:6" x14ac:dyDescent="0.45">
      <c r="A43" s="58" t="s">
        <v>30</v>
      </c>
      <c r="B43" s="2" t="s">
        <v>123</v>
      </c>
      <c r="C43" s="2" t="s">
        <v>124</v>
      </c>
      <c r="D43" s="2" t="s">
        <v>80</v>
      </c>
      <c r="E43" s="2" t="s">
        <v>23</v>
      </c>
      <c r="F43" s="81">
        <f>'Final Output'!K23</f>
        <v>0.325561892905676</v>
      </c>
    </row>
    <row r="44" spans="1:6" x14ac:dyDescent="0.45">
      <c r="A44" s="58" t="s">
        <v>30</v>
      </c>
      <c r="B44" s="2" t="s">
        <v>125</v>
      </c>
      <c r="C44" s="2" t="s">
        <v>126</v>
      </c>
      <c r="D44" s="2" t="s">
        <v>80</v>
      </c>
      <c r="E44" s="2" t="s">
        <v>23</v>
      </c>
      <c r="F44" s="81">
        <f>'Final Output'!K24</f>
        <v>0.37284954380055824</v>
      </c>
    </row>
    <row r="45" spans="1:6" x14ac:dyDescent="0.45">
      <c r="A45" s="58" t="s">
        <v>30</v>
      </c>
      <c r="B45" s="2" t="s">
        <v>127</v>
      </c>
      <c r="C45" s="2" t="s">
        <v>128</v>
      </c>
      <c r="D45" s="2" t="s">
        <v>80</v>
      </c>
      <c r="E45" s="2" t="s">
        <v>23</v>
      </c>
      <c r="F45" s="81">
        <f>'Final Output'!K25</f>
        <v>0.45191454712387891</v>
      </c>
    </row>
    <row r="46" spans="1:6" x14ac:dyDescent="0.45">
      <c r="A46" s="58" t="s">
        <v>31</v>
      </c>
      <c r="B46" s="77" t="s">
        <v>84</v>
      </c>
      <c r="C46" s="77" t="s">
        <v>85</v>
      </c>
      <c r="D46" s="77" t="s">
        <v>86</v>
      </c>
      <c r="E46" s="78" t="s">
        <v>23</v>
      </c>
      <c r="F46" s="79" t="str">
        <f ca="1">CONCATENATE("[…]", TEXT(NOW(),"dd/mm/yyy hh:mm:ss"))</f>
        <v>[…]12/12/2024 16:43:42</v>
      </c>
    </row>
    <row r="47" spans="1:6" x14ac:dyDescent="0.45">
      <c r="A47" s="58" t="s">
        <v>31</v>
      </c>
      <c r="B47" s="77" t="s">
        <v>87</v>
      </c>
      <c r="C47" s="77" t="s">
        <v>88</v>
      </c>
      <c r="D47" s="77" t="s">
        <v>86</v>
      </c>
      <c r="E47" s="78" t="s">
        <v>23</v>
      </c>
      <c r="F47" s="78" t="str">
        <f ca="1">MID(CELL("filename"),SEARCH("[",CELL("filename"))+1,SEARCH("]",CELL("filename"))-SEARCH("[",CELL("filename"))-1)</f>
        <v>PR24 FD OC15 ODI risk - Feeder Model (Storm Overflows).xlsx</v>
      </c>
    </row>
    <row r="48" spans="1:6" x14ac:dyDescent="0.45">
      <c r="A48" s="58" t="s">
        <v>31</v>
      </c>
      <c r="B48" s="77" t="s">
        <v>89</v>
      </c>
      <c r="C48" s="77" t="s">
        <v>90</v>
      </c>
      <c r="D48" s="77" t="s">
        <v>86</v>
      </c>
      <c r="E48" s="78" t="s">
        <v>23</v>
      </c>
      <c r="F48" s="78" t="str">
        <f>F_Inputs!$E$1</f>
        <v>Run on 13 Nov 2024 17:46</v>
      </c>
    </row>
    <row r="49" spans="1:6" x14ac:dyDescent="0.45">
      <c r="A49" s="58" t="s">
        <v>31</v>
      </c>
      <c r="B49" s="77" t="s">
        <v>91</v>
      </c>
      <c r="C49" s="77" t="s">
        <v>92</v>
      </c>
      <c r="D49" s="77" t="s">
        <v>93</v>
      </c>
      <c r="E49" s="78" t="s">
        <v>23</v>
      </c>
      <c r="F49" s="80" t="s">
        <v>94</v>
      </c>
    </row>
    <row r="50" spans="1:6" x14ac:dyDescent="0.45">
      <c r="A50" s="58" t="s">
        <v>31</v>
      </c>
      <c r="B50" s="2" t="s">
        <v>95</v>
      </c>
      <c r="C50" s="2" t="s">
        <v>96</v>
      </c>
      <c r="D50" s="2" t="s">
        <v>80</v>
      </c>
      <c r="E50" s="2" t="s">
        <v>23</v>
      </c>
      <c r="F50" s="81">
        <f>'Final Output'!K9</f>
        <v>-0.4014290945839612</v>
      </c>
    </row>
    <row r="51" spans="1:6" x14ac:dyDescent="0.45">
      <c r="A51" s="58" t="s">
        <v>31</v>
      </c>
      <c r="B51" s="2" t="s">
        <v>97</v>
      </c>
      <c r="C51" s="2" t="s">
        <v>98</v>
      </c>
      <c r="D51" s="2" t="s">
        <v>80</v>
      </c>
      <c r="E51" s="2" t="s">
        <v>23</v>
      </c>
      <c r="F51" s="81">
        <f>'Final Output'!K10</f>
        <v>-0.31778209792930673</v>
      </c>
    </row>
    <row r="52" spans="1:6" x14ac:dyDescent="0.45">
      <c r="A52" s="58" t="s">
        <v>31</v>
      </c>
      <c r="B52" s="2" t="s">
        <v>99</v>
      </c>
      <c r="C52" s="2" t="s">
        <v>100</v>
      </c>
      <c r="D52" s="2" t="s">
        <v>80</v>
      </c>
      <c r="E52" s="2" t="s">
        <v>23</v>
      </c>
      <c r="F52" s="81">
        <f>'Final Output'!K11</f>
        <v>-0.25440862210132192</v>
      </c>
    </row>
    <row r="53" spans="1:6" x14ac:dyDescent="0.45">
      <c r="A53" s="58" t="s">
        <v>31</v>
      </c>
      <c r="B53" s="2" t="s">
        <v>101</v>
      </c>
      <c r="C53" s="2" t="s">
        <v>102</v>
      </c>
      <c r="D53" s="2" t="s">
        <v>80</v>
      </c>
      <c r="E53" s="2" t="s">
        <v>23</v>
      </c>
      <c r="F53" s="81">
        <f>'Final Output'!K12</f>
        <v>-0.23228624892603297</v>
      </c>
    </row>
    <row r="54" spans="1:6" x14ac:dyDescent="0.45">
      <c r="A54" s="58" t="s">
        <v>31</v>
      </c>
      <c r="B54" s="2" t="s">
        <v>103</v>
      </c>
      <c r="C54" s="2" t="s">
        <v>104</v>
      </c>
      <c r="D54" s="2" t="s">
        <v>80</v>
      </c>
      <c r="E54" s="2" t="s">
        <v>23</v>
      </c>
      <c r="F54" s="81">
        <f>'Final Output'!K13</f>
        <v>-0.21935247160196084</v>
      </c>
    </row>
    <row r="55" spans="1:6" x14ac:dyDescent="0.45">
      <c r="A55" s="58" t="s">
        <v>31</v>
      </c>
      <c r="B55" s="2" t="s">
        <v>105</v>
      </c>
      <c r="C55" s="2" t="s">
        <v>106</v>
      </c>
      <c r="D55" s="2" t="s">
        <v>80</v>
      </c>
      <c r="E55" s="2" t="s">
        <v>23</v>
      </c>
      <c r="F55" s="81">
        <f>'Final Output'!K14</f>
        <v>-0.16900095705190588</v>
      </c>
    </row>
    <row r="56" spans="1:6" x14ac:dyDescent="0.45">
      <c r="A56" s="58" t="s">
        <v>31</v>
      </c>
      <c r="B56" s="2" t="s">
        <v>107</v>
      </c>
      <c r="C56" s="2" t="s">
        <v>108</v>
      </c>
      <c r="D56" s="2" t="s">
        <v>80</v>
      </c>
      <c r="E56" s="2" t="s">
        <v>23</v>
      </c>
      <c r="F56" s="81">
        <f>'Final Output'!K15</f>
        <v>-5.7814712460340277E-2</v>
      </c>
    </row>
    <row r="57" spans="1:6" x14ac:dyDescent="0.45">
      <c r="A57" s="58" t="s">
        <v>31</v>
      </c>
      <c r="B57" s="2" t="s">
        <v>109</v>
      </c>
      <c r="C57" s="2" t="s">
        <v>110</v>
      </c>
      <c r="D57" s="2" t="s">
        <v>80</v>
      </c>
      <c r="E57" s="2" t="s">
        <v>23</v>
      </c>
      <c r="F57" s="81">
        <f>'Final Output'!K16</f>
        <v>-1.598808473882625E-2</v>
      </c>
    </row>
    <row r="58" spans="1:6" x14ac:dyDescent="0.45">
      <c r="A58" s="58" t="s">
        <v>31</v>
      </c>
      <c r="B58" s="2" t="s">
        <v>111</v>
      </c>
      <c r="C58" s="2" t="s">
        <v>112</v>
      </c>
      <c r="D58" s="2" t="s">
        <v>80</v>
      </c>
      <c r="E58" s="2" t="s">
        <v>23</v>
      </c>
      <c r="F58" s="81">
        <f>'Final Output'!K17</f>
        <v>2.336807268800678E-2</v>
      </c>
    </row>
    <row r="59" spans="1:6" x14ac:dyDescent="0.45">
      <c r="A59" s="58" t="s">
        <v>31</v>
      </c>
      <c r="B59" s="2" t="s">
        <v>113</v>
      </c>
      <c r="C59" s="2" t="s">
        <v>114</v>
      </c>
      <c r="D59" s="2" t="s">
        <v>80</v>
      </c>
      <c r="E59" s="2" t="s">
        <v>23</v>
      </c>
      <c r="F59" s="81">
        <f>'Final Output'!K18</f>
        <v>0.10120107690616308</v>
      </c>
    </row>
    <row r="60" spans="1:6" x14ac:dyDescent="0.45">
      <c r="A60" s="58" t="s">
        <v>31</v>
      </c>
      <c r="B60" s="2" t="s">
        <v>115</v>
      </c>
      <c r="C60" s="2" t="s">
        <v>116</v>
      </c>
      <c r="D60" s="2" t="s">
        <v>80</v>
      </c>
      <c r="E60" s="2" t="s">
        <v>23</v>
      </c>
      <c r="F60" s="81">
        <f>'Final Output'!K19</f>
        <v>0.13988190834738626</v>
      </c>
    </row>
    <row r="61" spans="1:6" x14ac:dyDescent="0.45">
      <c r="A61" s="58" t="s">
        <v>31</v>
      </c>
      <c r="B61" s="2" t="s">
        <v>117</v>
      </c>
      <c r="C61" s="2" t="s">
        <v>118</v>
      </c>
      <c r="D61" s="2" t="s">
        <v>80</v>
      </c>
      <c r="E61" s="2" t="s">
        <v>23</v>
      </c>
      <c r="F61" s="81">
        <f>'Final Output'!K20</f>
        <v>0.15595512485026133</v>
      </c>
    </row>
    <row r="62" spans="1:6" x14ac:dyDescent="0.45">
      <c r="A62" s="58" t="s">
        <v>31</v>
      </c>
      <c r="B62" s="2" t="s">
        <v>119</v>
      </c>
      <c r="C62" s="2" t="s">
        <v>120</v>
      </c>
      <c r="D62" s="2" t="s">
        <v>80</v>
      </c>
      <c r="E62" s="2" t="s">
        <v>23</v>
      </c>
      <c r="F62" s="81">
        <f>'Final Output'!K21</f>
        <v>0.18740096821179586</v>
      </c>
    </row>
    <row r="63" spans="1:6" x14ac:dyDescent="0.45">
      <c r="A63" s="58" t="s">
        <v>31</v>
      </c>
      <c r="B63" s="2" t="s">
        <v>121</v>
      </c>
      <c r="C63" s="2" t="s">
        <v>122</v>
      </c>
      <c r="D63" s="2" t="s">
        <v>80</v>
      </c>
      <c r="E63" s="2" t="s">
        <v>23</v>
      </c>
      <c r="F63" s="81">
        <f>'Final Output'!K22</f>
        <v>0.23698424711632793</v>
      </c>
    </row>
    <row r="64" spans="1:6" x14ac:dyDescent="0.45">
      <c r="A64" s="58" t="s">
        <v>31</v>
      </c>
      <c r="B64" s="2" t="s">
        <v>123</v>
      </c>
      <c r="C64" s="2" t="s">
        <v>124</v>
      </c>
      <c r="D64" s="2" t="s">
        <v>80</v>
      </c>
      <c r="E64" s="2" t="s">
        <v>23</v>
      </c>
      <c r="F64" s="81">
        <f>'Final Output'!K23</f>
        <v>0.325561892905676</v>
      </c>
    </row>
    <row r="65" spans="1:6" x14ac:dyDescent="0.45">
      <c r="A65" s="58" t="s">
        <v>31</v>
      </c>
      <c r="B65" s="2" t="s">
        <v>125</v>
      </c>
      <c r="C65" s="2" t="s">
        <v>126</v>
      </c>
      <c r="D65" s="2" t="s">
        <v>80</v>
      </c>
      <c r="E65" s="2" t="s">
        <v>23</v>
      </c>
      <c r="F65" s="81">
        <f>'Final Output'!K24</f>
        <v>0.37284954380055824</v>
      </c>
    </row>
    <row r="66" spans="1:6" x14ac:dyDescent="0.45">
      <c r="A66" s="58" t="s">
        <v>31</v>
      </c>
      <c r="B66" s="2" t="s">
        <v>127</v>
      </c>
      <c r="C66" s="2" t="s">
        <v>128</v>
      </c>
      <c r="D66" s="2" t="s">
        <v>80</v>
      </c>
      <c r="E66" s="2" t="s">
        <v>23</v>
      </c>
      <c r="F66" s="81">
        <f>'Final Output'!K25</f>
        <v>0.45191454712387891</v>
      </c>
    </row>
    <row r="67" spans="1:6" x14ac:dyDescent="0.45">
      <c r="A67" s="58" t="s">
        <v>32</v>
      </c>
      <c r="B67" s="77" t="s">
        <v>84</v>
      </c>
      <c r="C67" s="77" t="s">
        <v>85</v>
      </c>
      <c r="D67" s="77" t="s">
        <v>86</v>
      </c>
      <c r="E67" s="78" t="s">
        <v>23</v>
      </c>
      <c r="F67" s="79" t="str">
        <f ca="1">CONCATENATE("[…]", TEXT(NOW(),"dd/mm/yyy hh:mm:ss"))</f>
        <v>[…]12/12/2024 16:43:42</v>
      </c>
    </row>
    <row r="68" spans="1:6" x14ac:dyDescent="0.45">
      <c r="A68" s="58" t="s">
        <v>32</v>
      </c>
      <c r="B68" s="77" t="s">
        <v>87</v>
      </c>
      <c r="C68" s="77" t="s">
        <v>88</v>
      </c>
      <c r="D68" s="77" t="s">
        <v>86</v>
      </c>
      <c r="E68" s="78" t="s">
        <v>23</v>
      </c>
      <c r="F68" s="78" t="str">
        <f ca="1">MID(CELL("filename"),SEARCH("[",CELL("filename"))+1,SEARCH("]",CELL("filename"))-SEARCH("[",CELL("filename"))-1)</f>
        <v>PR24 FD OC15 ODI risk - Feeder Model (Storm Overflows).xlsx</v>
      </c>
    </row>
    <row r="69" spans="1:6" x14ac:dyDescent="0.45">
      <c r="A69" s="58" t="s">
        <v>32</v>
      </c>
      <c r="B69" s="77" t="s">
        <v>89</v>
      </c>
      <c r="C69" s="77" t="s">
        <v>90</v>
      </c>
      <c r="D69" s="77" t="s">
        <v>86</v>
      </c>
      <c r="E69" s="78" t="s">
        <v>23</v>
      </c>
      <c r="F69" s="78" t="str">
        <f>F_Inputs!$E$1</f>
        <v>Run on 13 Nov 2024 17:46</v>
      </c>
    </row>
    <row r="70" spans="1:6" x14ac:dyDescent="0.45">
      <c r="A70" s="58" t="s">
        <v>32</v>
      </c>
      <c r="B70" s="77" t="s">
        <v>91</v>
      </c>
      <c r="C70" s="77" t="s">
        <v>92</v>
      </c>
      <c r="D70" s="77" t="s">
        <v>93</v>
      </c>
      <c r="E70" s="78" t="s">
        <v>23</v>
      </c>
      <c r="F70" s="80" t="s">
        <v>94</v>
      </c>
    </row>
    <row r="71" spans="1:6" x14ac:dyDescent="0.45">
      <c r="A71" s="58" t="s">
        <v>32</v>
      </c>
      <c r="B71" s="2" t="s">
        <v>95</v>
      </c>
      <c r="C71" s="2" t="s">
        <v>96</v>
      </c>
      <c r="D71" s="2" t="s">
        <v>80</v>
      </c>
      <c r="E71" s="2" t="s">
        <v>23</v>
      </c>
      <c r="F71" s="81">
        <f>'Final Output'!K9</f>
        <v>-0.4014290945839612</v>
      </c>
    </row>
    <row r="72" spans="1:6" x14ac:dyDescent="0.45">
      <c r="A72" s="58" t="s">
        <v>32</v>
      </c>
      <c r="B72" s="2" t="s">
        <v>97</v>
      </c>
      <c r="C72" s="2" t="s">
        <v>98</v>
      </c>
      <c r="D72" s="2" t="s">
        <v>80</v>
      </c>
      <c r="E72" s="2" t="s">
        <v>23</v>
      </c>
      <c r="F72" s="81">
        <f>'Final Output'!K10</f>
        <v>-0.31778209792930673</v>
      </c>
    </row>
    <row r="73" spans="1:6" x14ac:dyDescent="0.45">
      <c r="A73" s="58" t="s">
        <v>32</v>
      </c>
      <c r="B73" s="2" t="s">
        <v>99</v>
      </c>
      <c r="C73" s="2" t="s">
        <v>100</v>
      </c>
      <c r="D73" s="2" t="s">
        <v>80</v>
      </c>
      <c r="E73" s="2" t="s">
        <v>23</v>
      </c>
      <c r="F73" s="81">
        <f>'Final Output'!K11</f>
        <v>-0.25440862210132192</v>
      </c>
    </row>
    <row r="74" spans="1:6" x14ac:dyDescent="0.45">
      <c r="A74" s="58" t="s">
        <v>32</v>
      </c>
      <c r="B74" s="2" t="s">
        <v>101</v>
      </c>
      <c r="C74" s="2" t="s">
        <v>102</v>
      </c>
      <c r="D74" s="2" t="s">
        <v>80</v>
      </c>
      <c r="E74" s="2" t="s">
        <v>23</v>
      </c>
      <c r="F74" s="81">
        <f>'Final Output'!K12</f>
        <v>-0.23228624892603297</v>
      </c>
    </row>
    <row r="75" spans="1:6" x14ac:dyDescent="0.45">
      <c r="A75" s="58" t="s">
        <v>32</v>
      </c>
      <c r="B75" s="2" t="s">
        <v>103</v>
      </c>
      <c r="C75" s="2" t="s">
        <v>104</v>
      </c>
      <c r="D75" s="2" t="s">
        <v>80</v>
      </c>
      <c r="E75" s="2" t="s">
        <v>23</v>
      </c>
      <c r="F75" s="81">
        <f>'Final Output'!K13</f>
        <v>-0.21935247160196084</v>
      </c>
    </row>
    <row r="76" spans="1:6" x14ac:dyDescent="0.45">
      <c r="A76" s="58" t="s">
        <v>32</v>
      </c>
      <c r="B76" s="2" t="s">
        <v>105</v>
      </c>
      <c r="C76" s="2" t="s">
        <v>106</v>
      </c>
      <c r="D76" s="2" t="s">
        <v>80</v>
      </c>
      <c r="E76" s="2" t="s">
        <v>23</v>
      </c>
      <c r="F76" s="81">
        <f>'Final Output'!K14</f>
        <v>-0.16900095705190588</v>
      </c>
    </row>
    <row r="77" spans="1:6" x14ac:dyDescent="0.45">
      <c r="A77" s="58" t="s">
        <v>32</v>
      </c>
      <c r="B77" s="2" t="s">
        <v>107</v>
      </c>
      <c r="C77" s="2" t="s">
        <v>108</v>
      </c>
      <c r="D77" s="2" t="s">
        <v>80</v>
      </c>
      <c r="E77" s="2" t="s">
        <v>23</v>
      </c>
      <c r="F77" s="81">
        <f>'Final Output'!K15</f>
        <v>-5.7814712460340277E-2</v>
      </c>
    </row>
    <row r="78" spans="1:6" x14ac:dyDescent="0.45">
      <c r="A78" s="58" t="s">
        <v>32</v>
      </c>
      <c r="B78" s="2" t="s">
        <v>109</v>
      </c>
      <c r="C78" s="2" t="s">
        <v>110</v>
      </c>
      <c r="D78" s="2" t="s">
        <v>80</v>
      </c>
      <c r="E78" s="2" t="s">
        <v>23</v>
      </c>
      <c r="F78" s="81">
        <f>'Final Output'!K16</f>
        <v>-1.598808473882625E-2</v>
      </c>
    </row>
    <row r="79" spans="1:6" x14ac:dyDescent="0.45">
      <c r="A79" s="58" t="s">
        <v>32</v>
      </c>
      <c r="B79" s="2" t="s">
        <v>111</v>
      </c>
      <c r="C79" s="2" t="s">
        <v>112</v>
      </c>
      <c r="D79" s="2" t="s">
        <v>80</v>
      </c>
      <c r="E79" s="2" t="s">
        <v>23</v>
      </c>
      <c r="F79" s="81">
        <f>'Final Output'!K17</f>
        <v>2.336807268800678E-2</v>
      </c>
    </row>
    <row r="80" spans="1:6" x14ac:dyDescent="0.45">
      <c r="A80" s="58" t="s">
        <v>32</v>
      </c>
      <c r="B80" s="2" t="s">
        <v>113</v>
      </c>
      <c r="C80" s="2" t="s">
        <v>114</v>
      </c>
      <c r="D80" s="2" t="s">
        <v>80</v>
      </c>
      <c r="E80" s="2" t="s">
        <v>23</v>
      </c>
      <c r="F80" s="81">
        <f>'Final Output'!K18</f>
        <v>0.10120107690616308</v>
      </c>
    </row>
    <row r="81" spans="1:6" x14ac:dyDescent="0.45">
      <c r="A81" s="58" t="s">
        <v>32</v>
      </c>
      <c r="B81" s="2" t="s">
        <v>115</v>
      </c>
      <c r="C81" s="2" t="s">
        <v>116</v>
      </c>
      <c r="D81" s="2" t="s">
        <v>80</v>
      </c>
      <c r="E81" s="2" t="s">
        <v>23</v>
      </c>
      <c r="F81" s="81">
        <f>'Final Output'!K19</f>
        <v>0.13988190834738626</v>
      </c>
    </row>
    <row r="82" spans="1:6" x14ac:dyDescent="0.45">
      <c r="A82" s="58" t="s">
        <v>32</v>
      </c>
      <c r="B82" s="2" t="s">
        <v>117</v>
      </c>
      <c r="C82" s="2" t="s">
        <v>118</v>
      </c>
      <c r="D82" s="2" t="s">
        <v>80</v>
      </c>
      <c r="E82" s="2" t="s">
        <v>23</v>
      </c>
      <c r="F82" s="81">
        <f>'Final Output'!K20</f>
        <v>0.15595512485026133</v>
      </c>
    </row>
    <row r="83" spans="1:6" x14ac:dyDescent="0.45">
      <c r="A83" s="58" t="s">
        <v>32</v>
      </c>
      <c r="B83" s="2" t="s">
        <v>119</v>
      </c>
      <c r="C83" s="2" t="s">
        <v>120</v>
      </c>
      <c r="D83" s="2" t="s">
        <v>80</v>
      </c>
      <c r="E83" s="2" t="s">
        <v>23</v>
      </c>
      <c r="F83" s="81">
        <f>'Final Output'!K21</f>
        <v>0.18740096821179586</v>
      </c>
    </row>
    <row r="84" spans="1:6" x14ac:dyDescent="0.45">
      <c r="A84" s="58" t="s">
        <v>32</v>
      </c>
      <c r="B84" s="2" t="s">
        <v>121</v>
      </c>
      <c r="C84" s="2" t="s">
        <v>122</v>
      </c>
      <c r="D84" s="2" t="s">
        <v>80</v>
      </c>
      <c r="E84" s="2" t="s">
        <v>23</v>
      </c>
      <c r="F84" s="81">
        <f>'Final Output'!K22</f>
        <v>0.23698424711632793</v>
      </c>
    </row>
    <row r="85" spans="1:6" x14ac:dyDescent="0.45">
      <c r="A85" s="58" t="s">
        <v>32</v>
      </c>
      <c r="B85" s="2" t="s">
        <v>123</v>
      </c>
      <c r="C85" s="2" t="s">
        <v>124</v>
      </c>
      <c r="D85" s="2" t="s">
        <v>80</v>
      </c>
      <c r="E85" s="2" t="s">
        <v>23</v>
      </c>
      <c r="F85" s="81">
        <f>'Final Output'!K23</f>
        <v>0.325561892905676</v>
      </c>
    </row>
    <row r="86" spans="1:6" x14ac:dyDescent="0.45">
      <c r="A86" s="58" t="s">
        <v>32</v>
      </c>
      <c r="B86" s="2" t="s">
        <v>125</v>
      </c>
      <c r="C86" s="2" t="s">
        <v>126</v>
      </c>
      <c r="D86" s="2" t="s">
        <v>80</v>
      </c>
      <c r="E86" s="2" t="s">
        <v>23</v>
      </c>
      <c r="F86" s="81">
        <f>'Final Output'!K24</f>
        <v>0.37284954380055824</v>
      </c>
    </row>
    <row r="87" spans="1:6" x14ac:dyDescent="0.45">
      <c r="A87" s="58" t="s">
        <v>32</v>
      </c>
      <c r="B87" s="2" t="s">
        <v>127</v>
      </c>
      <c r="C87" s="2" t="s">
        <v>128</v>
      </c>
      <c r="D87" s="2" t="s">
        <v>80</v>
      </c>
      <c r="E87" s="2" t="s">
        <v>23</v>
      </c>
      <c r="F87" s="81">
        <f>'Final Output'!K25</f>
        <v>0.45191454712387891</v>
      </c>
    </row>
    <row r="88" spans="1:6" x14ac:dyDescent="0.45">
      <c r="A88" s="58" t="s">
        <v>33</v>
      </c>
      <c r="B88" s="77" t="s">
        <v>84</v>
      </c>
      <c r="C88" s="77" t="s">
        <v>85</v>
      </c>
      <c r="D88" s="77" t="s">
        <v>86</v>
      </c>
      <c r="E88" s="78" t="s">
        <v>23</v>
      </c>
      <c r="F88" s="79" t="str">
        <f ca="1">CONCATENATE("[…]", TEXT(NOW(),"dd/mm/yyy hh:mm:ss"))</f>
        <v>[…]12/12/2024 16:43:42</v>
      </c>
    </row>
    <row r="89" spans="1:6" x14ac:dyDescent="0.45">
      <c r="A89" s="58" t="s">
        <v>33</v>
      </c>
      <c r="B89" s="77" t="s">
        <v>87</v>
      </c>
      <c r="C89" s="77" t="s">
        <v>88</v>
      </c>
      <c r="D89" s="77" t="s">
        <v>86</v>
      </c>
      <c r="E89" s="78" t="s">
        <v>23</v>
      </c>
      <c r="F89" s="78" t="str">
        <f ca="1">MID(CELL("filename"),SEARCH("[",CELL("filename"))+1,SEARCH("]",CELL("filename"))-SEARCH("[",CELL("filename"))-1)</f>
        <v>PR24 FD OC15 ODI risk - Feeder Model (Storm Overflows).xlsx</v>
      </c>
    </row>
    <row r="90" spans="1:6" x14ac:dyDescent="0.45">
      <c r="A90" s="58" t="s">
        <v>33</v>
      </c>
      <c r="B90" s="77" t="s">
        <v>89</v>
      </c>
      <c r="C90" s="77" t="s">
        <v>90</v>
      </c>
      <c r="D90" s="77" t="s">
        <v>86</v>
      </c>
      <c r="E90" s="78" t="s">
        <v>23</v>
      </c>
      <c r="F90" s="78" t="str">
        <f>F_Inputs!$E$1</f>
        <v>Run on 13 Nov 2024 17:46</v>
      </c>
    </row>
    <row r="91" spans="1:6" x14ac:dyDescent="0.45">
      <c r="A91" s="58" t="s">
        <v>33</v>
      </c>
      <c r="B91" s="77" t="s">
        <v>91</v>
      </c>
      <c r="C91" s="77" t="s">
        <v>92</v>
      </c>
      <c r="D91" s="77" t="s">
        <v>93</v>
      </c>
      <c r="E91" s="78" t="s">
        <v>23</v>
      </c>
      <c r="F91" s="80" t="s">
        <v>94</v>
      </c>
    </row>
    <row r="92" spans="1:6" x14ac:dyDescent="0.45">
      <c r="A92" s="58" t="s">
        <v>33</v>
      </c>
      <c r="B92" s="2" t="s">
        <v>95</v>
      </c>
      <c r="C92" s="2" t="s">
        <v>96</v>
      </c>
      <c r="D92" s="2" t="s">
        <v>80</v>
      </c>
      <c r="E92" s="2" t="s">
        <v>23</v>
      </c>
      <c r="F92" s="81">
        <f>'Final Output'!K9</f>
        <v>-0.4014290945839612</v>
      </c>
    </row>
    <row r="93" spans="1:6" x14ac:dyDescent="0.45">
      <c r="A93" s="58" t="s">
        <v>33</v>
      </c>
      <c r="B93" s="2" t="s">
        <v>97</v>
      </c>
      <c r="C93" s="2" t="s">
        <v>98</v>
      </c>
      <c r="D93" s="2" t="s">
        <v>80</v>
      </c>
      <c r="E93" s="2" t="s">
        <v>23</v>
      </c>
      <c r="F93" s="81">
        <f>'Final Output'!K10</f>
        <v>-0.31778209792930673</v>
      </c>
    </row>
    <row r="94" spans="1:6" x14ac:dyDescent="0.45">
      <c r="A94" s="58" t="s">
        <v>33</v>
      </c>
      <c r="B94" s="2" t="s">
        <v>99</v>
      </c>
      <c r="C94" s="2" t="s">
        <v>100</v>
      </c>
      <c r="D94" s="2" t="s">
        <v>80</v>
      </c>
      <c r="E94" s="2" t="s">
        <v>23</v>
      </c>
      <c r="F94" s="81">
        <f>'Final Output'!K11</f>
        <v>-0.25440862210132192</v>
      </c>
    </row>
    <row r="95" spans="1:6" x14ac:dyDescent="0.45">
      <c r="A95" s="58" t="s">
        <v>33</v>
      </c>
      <c r="B95" s="2" t="s">
        <v>101</v>
      </c>
      <c r="C95" s="2" t="s">
        <v>102</v>
      </c>
      <c r="D95" s="2" t="s">
        <v>80</v>
      </c>
      <c r="E95" s="2" t="s">
        <v>23</v>
      </c>
      <c r="F95" s="81">
        <f>'Final Output'!K12</f>
        <v>-0.23228624892603297</v>
      </c>
    </row>
    <row r="96" spans="1:6" x14ac:dyDescent="0.45">
      <c r="A96" s="58" t="s">
        <v>33</v>
      </c>
      <c r="B96" s="2" t="s">
        <v>103</v>
      </c>
      <c r="C96" s="2" t="s">
        <v>104</v>
      </c>
      <c r="D96" s="2" t="s">
        <v>80</v>
      </c>
      <c r="E96" s="2" t="s">
        <v>23</v>
      </c>
      <c r="F96" s="81">
        <f>'Final Output'!K13</f>
        <v>-0.21935247160196084</v>
      </c>
    </row>
    <row r="97" spans="1:6" x14ac:dyDescent="0.45">
      <c r="A97" s="58" t="s">
        <v>33</v>
      </c>
      <c r="B97" s="2" t="s">
        <v>105</v>
      </c>
      <c r="C97" s="2" t="s">
        <v>106</v>
      </c>
      <c r="D97" s="2" t="s">
        <v>80</v>
      </c>
      <c r="E97" s="2" t="s">
        <v>23</v>
      </c>
      <c r="F97" s="81">
        <f>'Final Output'!K14</f>
        <v>-0.16900095705190588</v>
      </c>
    </row>
    <row r="98" spans="1:6" x14ac:dyDescent="0.45">
      <c r="A98" s="58" t="s">
        <v>33</v>
      </c>
      <c r="B98" s="2" t="s">
        <v>107</v>
      </c>
      <c r="C98" s="2" t="s">
        <v>108</v>
      </c>
      <c r="D98" s="2" t="s">
        <v>80</v>
      </c>
      <c r="E98" s="2" t="s">
        <v>23</v>
      </c>
      <c r="F98" s="81">
        <f>'Final Output'!K15</f>
        <v>-5.7814712460340277E-2</v>
      </c>
    </row>
    <row r="99" spans="1:6" x14ac:dyDescent="0.45">
      <c r="A99" s="58" t="s">
        <v>33</v>
      </c>
      <c r="B99" s="2" t="s">
        <v>109</v>
      </c>
      <c r="C99" s="2" t="s">
        <v>110</v>
      </c>
      <c r="D99" s="2" t="s">
        <v>80</v>
      </c>
      <c r="E99" s="2" t="s">
        <v>23</v>
      </c>
      <c r="F99" s="81">
        <f>'Final Output'!K16</f>
        <v>-1.598808473882625E-2</v>
      </c>
    </row>
    <row r="100" spans="1:6" x14ac:dyDescent="0.45">
      <c r="A100" s="58" t="s">
        <v>33</v>
      </c>
      <c r="B100" s="2" t="s">
        <v>111</v>
      </c>
      <c r="C100" s="2" t="s">
        <v>112</v>
      </c>
      <c r="D100" s="2" t="s">
        <v>80</v>
      </c>
      <c r="E100" s="2" t="s">
        <v>23</v>
      </c>
      <c r="F100" s="81">
        <f>'Final Output'!K17</f>
        <v>2.336807268800678E-2</v>
      </c>
    </row>
    <row r="101" spans="1:6" x14ac:dyDescent="0.45">
      <c r="A101" s="58" t="s">
        <v>33</v>
      </c>
      <c r="B101" s="2" t="s">
        <v>113</v>
      </c>
      <c r="C101" s="2" t="s">
        <v>114</v>
      </c>
      <c r="D101" s="2" t="s">
        <v>80</v>
      </c>
      <c r="E101" s="2" t="s">
        <v>23</v>
      </c>
      <c r="F101" s="81">
        <f>'Final Output'!K18</f>
        <v>0.10120107690616308</v>
      </c>
    </row>
    <row r="102" spans="1:6" x14ac:dyDescent="0.45">
      <c r="A102" s="58" t="s">
        <v>33</v>
      </c>
      <c r="B102" s="2" t="s">
        <v>115</v>
      </c>
      <c r="C102" s="2" t="s">
        <v>116</v>
      </c>
      <c r="D102" s="2" t="s">
        <v>80</v>
      </c>
      <c r="E102" s="2" t="s">
        <v>23</v>
      </c>
      <c r="F102" s="81">
        <f>'Final Output'!K19</f>
        <v>0.13988190834738626</v>
      </c>
    </row>
    <row r="103" spans="1:6" x14ac:dyDescent="0.45">
      <c r="A103" s="58" t="s">
        <v>33</v>
      </c>
      <c r="B103" s="2" t="s">
        <v>117</v>
      </c>
      <c r="C103" s="2" t="s">
        <v>118</v>
      </c>
      <c r="D103" s="2" t="s">
        <v>80</v>
      </c>
      <c r="E103" s="2" t="s">
        <v>23</v>
      </c>
      <c r="F103" s="81">
        <f>'Final Output'!K20</f>
        <v>0.15595512485026133</v>
      </c>
    </row>
    <row r="104" spans="1:6" x14ac:dyDescent="0.45">
      <c r="A104" s="58" t="s">
        <v>33</v>
      </c>
      <c r="B104" s="2" t="s">
        <v>119</v>
      </c>
      <c r="C104" s="2" t="s">
        <v>120</v>
      </c>
      <c r="D104" s="2" t="s">
        <v>80</v>
      </c>
      <c r="E104" s="2" t="s">
        <v>23</v>
      </c>
      <c r="F104" s="81">
        <f>'Final Output'!K21</f>
        <v>0.18740096821179586</v>
      </c>
    </row>
    <row r="105" spans="1:6" x14ac:dyDescent="0.45">
      <c r="A105" s="58" t="s">
        <v>33</v>
      </c>
      <c r="B105" s="2" t="s">
        <v>121</v>
      </c>
      <c r="C105" s="2" t="s">
        <v>122</v>
      </c>
      <c r="D105" s="2" t="s">
        <v>80</v>
      </c>
      <c r="E105" s="2" t="s">
        <v>23</v>
      </c>
      <c r="F105" s="81">
        <f>'Final Output'!K22</f>
        <v>0.23698424711632793</v>
      </c>
    </row>
    <row r="106" spans="1:6" x14ac:dyDescent="0.45">
      <c r="A106" s="58" t="s">
        <v>33</v>
      </c>
      <c r="B106" s="2" t="s">
        <v>123</v>
      </c>
      <c r="C106" s="2" t="s">
        <v>124</v>
      </c>
      <c r="D106" s="2" t="s">
        <v>80</v>
      </c>
      <c r="E106" s="2" t="s">
        <v>23</v>
      </c>
      <c r="F106" s="81">
        <f>'Final Output'!K23</f>
        <v>0.325561892905676</v>
      </c>
    </row>
    <row r="107" spans="1:6" x14ac:dyDescent="0.45">
      <c r="A107" s="58" t="s">
        <v>33</v>
      </c>
      <c r="B107" s="2" t="s">
        <v>125</v>
      </c>
      <c r="C107" s="2" t="s">
        <v>126</v>
      </c>
      <c r="D107" s="2" t="s">
        <v>80</v>
      </c>
      <c r="E107" s="2" t="s">
        <v>23</v>
      </c>
      <c r="F107" s="81">
        <f>'Final Output'!K24</f>
        <v>0.37284954380055824</v>
      </c>
    </row>
    <row r="108" spans="1:6" x14ac:dyDescent="0.45">
      <c r="A108" s="58" t="s">
        <v>33</v>
      </c>
      <c r="B108" s="2" t="s">
        <v>127</v>
      </c>
      <c r="C108" s="2" t="s">
        <v>128</v>
      </c>
      <c r="D108" s="2" t="s">
        <v>80</v>
      </c>
      <c r="E108" s="2" t="s">
        <v>23</v>
      </c>
      <c r="F108" s="81">
        <f>'Final Output'!K25</f>
        <v>0.45191454712387891</v>
      </c>
    </row>
    <row r="109" spans="1:6" x14ac:dyDescent="0.45">
      <c r="A109" s="58" t="s">
        <v>34</v>
      </c>
      <c r="B109" s="77" t="s">
        <v>84</v>
      </c>
      <c r="C109" s="77" t="s">
        <v>85</v>
      </c>
      <c r="D109" s="77" t="s">
        <v>86</v>
      </c>
      <c r="E109" s="78" t="s">
        <v>23</v>
      </c>
      <c r="F109" s="79" t="str">
        <f ca="1">CONCATENATE("[…]", TEXT(NOW(),"dd/mm/yyy hh:mm:ss"))</f>
        <v>[…]12/12/2024 16:43:42</v>
      </c>
    </row>
    <row r="110" spans="1:6" x14ac:dyDescent="0.45">
      <c r="A110" s="58" t="s">
        <v>34</v>
      </c>
      <c r="B110" s="77" t="s">
        <v>87</v>
      </c>
      <c r="C110" s="77" t="s">
        <v>88</v>
      </c>
      <c r="D110" s="77" t="s">
        <v>86</v>
      </c>
      <c r="E110" s="78" t="s">
        <v>23</v>
      </c>
      <c r="F110" s="78" t="str">
        <f ca="1">MID(CELL("filename"),SEARCH("[",CELL("filename"))+1,SEARCH("]",CELL("filename"))-SEARCH("[",CELL("filename"))-1)</f>
        <v>PR24 FD OC15 ODI risk - Feeder Model (Storm Overflows).xlsx</v>
      </c>
    </row>
    <row r="111" spans="1:6" x14ac:dyDescent="0.45">
      <c r="A111" s="58" t="s">
        <v>34</v>
      </c>
      <c r="B111" s="77" t="s">
        <v>89</v>
      </c>
      <c r="C111" s="77" t="s">
        <v>90</v>
      </c>
      <c r="D111" s="77" t="s">
        <v>86</v>
      </c>
      <c r="E111" s="78" t="s">
        <v>23</v>
      </c>
      <c r="F111" s="78" t="str">
        <f>F_Inputs!$E$1</f>
        <v>Run on 13 Nov 2024 17:46</v>
      </c>
    </row>
    <row r="112" spans="1:6" x14ac:dyDescent="0.45">
      <c r="A112" s="58" t="s">
        <v>34</v>
      </c>
      <c r="B112" s="77" t="s">
        <v>91</v>
      </c>
      <c r="C112" s="77" t="s">
        <v>92</v>
      </c>
      <c r="D112" s="77" t="s">
        <v>93</v>
      </c>
      <c r="E112" s="78" t="s">
        <v>23</v>
      </c>
      <c r="F112" s="80" t="s">
        <v>94</v>
      </c>
    </row>
    <row r="113" spans="1:6" x14ac:dyDescent="0.45">
      <c r="A113" s="58" t="s">
        <v>34</v>
      </c>
      <c r="B113" s="2" t="s">
        <v>95</v>
      </c>
      <c r="C113" s="2" t="s">
        <v>96</v>
      </c>
      <c r="D113" s="2" t="s">
        <v>80</v>
      </c>
      <c r="E113" s="2" t="s">
        <v>23</v>
      </c>
      <c r="F113" s="81">
        <f>'Final Output'!K9</f>
        <v>-0.4014290945839612</v>
      </c>
    </row>
    <row r="114" spans="1:6" x14ac:dyDescent="0.45">
      <c r="A114" s="58" t="s">
        <v>34</v>
      </c>
      <c r="B114" s="2" t="s">
        <v>97</v>
      </c>
      <c r="C114" s="2" t="s">
        <v>98</v>
      </c>
      <c r="D114" s="2" t="s">
        <v>80</v>
      </c>
      <c r="E114" s="2" t="s">
        <v>23</v>
      </c>
      <c r="F114" s="81">
        <f>'Final Output'!K10</f>
        <v>-0.31778209792930673</v>
      </c>
    </row>
    <row r="115" spans="1:6" x14ac:dyDescent="0.45">
      <c r="A115" s="58" t="s">
        <v>34</v>
      </c>
      <c r="B115" s="2" t="s">
        <v>99</v>
      </c>
      <c r="C115" s="2" t="s">
        <v>100</v>
      </c>
      <c r="D115" s="2" t="s">
        <v>80</v>
      </c>
      <c r="E115" s="2" t="s">
        <v>23</v>
      </c>
      <c r="F115" s="81">
        <f>'Final Output'!K11</f>
        <v>-0.25440862210132192</v>
      </c>
    </row>
    <row r="116" spans="1:6" x14ac:dyDescent="0.45">
      <c r="A116" s="58" t="s">
        <v>34</v>
      </c>
      <c r="B116" s="2" t="s">
        <v>101</v>
      </c>
      <c r="C116" s="2" t="s">
        <v>102</v>
      </c>
      <c r="D116" s="2" t="s">
        <v>80</v>
      </c>
      <c r="E116" s="2" t="s">
        <v>23</v>
      </c>
      <c r="F116" s="81">
        <f>'Final Output'!K12</f>
        <v>-0.23228624892603297</v>
      </c>
    </row>
    <row r="117" spans="1:6" x14ac:dyDescent="0.45">
      <c r="A117" s="58" t="s">
        <v>34</v>
      </c>
      <c r="B117" s="2" t="s">
        <v>103</v>
      </c>
      <c r="C117" s="2" t="s">
        <v>104</v>
      </c>
      <c r="D117" s="2" t="s">
        <v>80</v>
      </c>
      <c r="E117" s="2" t="s">
        <v>23</v>
      </c>
      <c r="F117" s="81">
        <f>'Final Output'!K13</f>
        <v>-0.21935247160196084</v>
      </c>
    </row>
    <row r="118" spans="1:6" x14ac:dyDescent="0.45">
      <c r="A118" s="58" t="s">
        <v>34</v>
      </c>
      <c r="B118" s="2" t="s">
        <v>105</v>
      </c>
      <c r="C118" s="2" t="s">
        <v>106</v>
      </c>
      <c r="D118" s="2" t="s">
        <v>80</v>
      </c>
      <c r="E118" s="2" t="s">
        <v>23</v>
      </c>
      <c r="F118" s="81">
        <f>'Final Output'!K14</f>
        <v>-0.16900095705190588</v>
      </c>
    </row>
    <row r="119" spans="1:6" x14ac:dyDescent="0.45">
      <c r="A119" s="58" t="s">
        <v>34</v>
      </c>
      <c r="B119" s="2" t="s">
        <v>107</v>
      </c>
      <c r="C119" s="2" t="s">
        <v>108</v>
      </c>
      <c r="D119" s="2" t="s">
        <v>80</v>
      </c>
      <c r="E119" s="2" t="s">
        <v>23</v>
      </c>
      <c r="F119" s="81">
        <f>'Final Output'!K15</f>
        <v>-5.7814712460340277E-2</v>
      </c>
    </row>
    <row r="120" spans="1:6" x14ac:dyDescent="0.45">
      <c r="A120" s="58" t="s">
        <v>34</v>
      </c>
      <c r="B120" s="2" t="s">
        <v>109</v>
      </c>
      <c r="C120" s="2" t="s">
        <v>110</v>
      </c>
      <c r="D120" s="2" t="s">
        <v>80</v>
      </c>
      <c r="E120" s="2" t="s">
        <v>23</v>
      </c>
      <c r="F120" s="81">
        <f>'Final Output'!K16</f>
        <v>-1.598808473882625E-2</v>
      </c>
    </row>
    <row r="121" spans="1:6" x14ac:dyDescent="0.45">
      <c r="A121" s="58" t="s">
        <v>34</v>
      </c>
      <c r="B121" s="2" t="s">
        <v>111</v>
      </c>
      <c r="C121" s="2" t="s">
        <v>112</v>
      </c>
      <c r="D121" s="2" t="s">
        <v>80</v>
      </c>
      <c r="E121" s="2" t="s">
        <v>23</v>
      </c>
      <c r="F121" s="81">
        <f>'Final Output'!K17</f>
        <v>2.336807268800678E-2</v>
      </c>
    </row>
    <row r="122" spans="1:6" x14ac:dyDescent="0.45">
      <c r="A122" s="58" t="s">
        <v>34</v>
      </c>
      <c r="B122" s="2" t="s">
        <v>113</v>
      </c>
      <c r="C122" s="2" t="s">
        <v>114</v>
      </c>
      <c r="D122" s="2" t="s">
        <v>80</v>
      </c>
      <c r="E122" s="2" t="s">
        <v>23</v>
      </c>
      <c r="F122" s="81">
        <f>'Final Output'!K18</f>
        <v>0.10120107690616308</v>
      </c>
    </row>
    <row r="123" spans="1:6" x14ac:dyDescent="0.45">
      <c r="A123" s="58" t="s">
        <v>34</v>
      </c>
      <c r="B123" s="2" t="s">
        <v>115</v>
      </c>
      <c r="C123" s="2" t="s">
        <v>116</v>
      </c>
      <c r="D123" s="2" t="s">
        <v>80</v>
      </c>
      <c r="E123" s="2" t="s">
        <v>23</v>
      </c>
      <c r="F123" s="81">
        <f>'Final Output'!K19</f>
        <v>0.13988190834738626</v>
      </c>
    </row>
    <row r="124" spans="1:6" x14ac:dyDescent="0.45">
      <c r="A124" s="58" t="s">
        <v>34</v>
      </c>
      <c r="B124" s="2" t="s">
        <v>117</v>
      </c>
      <c r="C124" s="2" t="s">
        <v>118</v>
      </c>
      <c r="D124" s="2" t="s">
        <v>80</v>
      </c>
      <c r="E124" s="2" t="s">
        <v>23</v>
      </c>
      <c r="F124" s="81">
        <f>'Final Output'!K20</f>
        <v>0.15595512485026133</v>
      </c>
    </row>
    <row r="125" spans="1:6" x14ac:dyDescent="0.45">
      <c r="A125" s="58" t="s">
        <v>34</v>
      </c>
      <c r="B125" s="2" t="s">
        <v>119</v>
      </c>
      <c r="C125" s="2" t="s">
        <v>120</v>
      </c>
      <c r="D125" s="2" t="s">
        <v>80</v>
      </c>
      <c r="E125" s="2" t="s">
        <v>23</v>
      </c>
      <c r="F125" s="81">
        <f>'Final Output'!K21</f>
        <v>0.18740096821179586</v>
      </c>
    </row>
    <row r="126" spans="1:6" x14ac:dyDescent="0.45">
      <c r="A126" s="58" t="s">
        <v>34</v>
      </c>
      <c r="B126" s="2" t="s">
        <v>121</v>
      </c>
      <c r="C126" s="2" t="s">
        <v>122</v>
      </c>
      <c r="D126" s="2" t="s">
        <v>80</v>
      </c>
      <c r="E126" s="2" t="s">
        <v>23</v>
      </c>
      <c r="F126" s="81">
        <f>'Final Output'!K22</f>
        <v>0.23698424711632793</v>
      </c>
    </row>
    <row r="127" spans="1:6" x14ac:dyDescent="0.45">
      <c r="A127" s="58" t="s">
        <v>34</v>
      </c>
      <c r="B127" s="2" t="s">
        <v>123</v>
      </c>
      <c r="C127" s="2" t="s">
        <v>124</v>
      </c>
      <c r="D127" s="2" t="s">
        <v>80</v>
      </c>
      <c r="E127" s="2" t="s">
        <v>23</v>
      </c>
      <c r="F127" s="81">
        <f>'Final Output'!K23</f>
        <v>0.325561892905676</v>
      </c>
    </row>
    <row r="128" spans="1:6" x14ac:dyDescent="0.45">
      <c r="A128" s="58" t="s">
        <v>34</v>
      </c>
      <c r="B128" s="2" t="s">
        <v>125</v>
      </c>
      <c r="C128" s="2" t="s">
        <v>126</v>
      </c>
      <c r="D128" s="2" t="s">
        <v>80</v>
      </c>
      <c r="E128" s="2" t="s">
        <v>23</v>
      </c>
      <c r="F128" s="81">
        <f>'Final Output'!K24</f>
        <v>0.37284954380055824</v>
      </c>
    </row>
    <row r="129" spans="1:6" x14ac:dyDescent="0.45">
      <c r="A129" s="58" t="s">
        <v>34</v>
      </c>
      <c r="B129" s="2" t="s">
        <v>127</v>
      </c>
      <c r="C129" s="2" t="s">
        <v>128</v>
      </c>
      <c r="D129" s="2" t="s">
        <v>80</v>
      </c>
      <c r="E129" s="2" t="s">
        <v>23</v>
      </c>
      <c r="F129" s="81">
        <f>'Final Output'!K25</f>
        <v>0.45191454712387891</v>
      </c>
    </row>
    <row r="130" spans="1:6" x14ac:dyDescent="0.45">
      <c r="A130" s="58" t="s">
        <v>35</v>
      </c>
      <c r="B130" s="77" t="s">
        <v>84</v>
      </c>
      <c r="C130" s="77" t="s">
        <v>85</v>
      </c>
      <c r="D130" s="77" t="s">
        <v>86</v>
      </c>
      <c r="E130" s="78" t="s">
        <v>23</v>
      </c>
      <c r="F130" s="79" t="str">
        <f ca="1">CONCATENATE("[…]", TEXT(NOW(),"dd/mm/yyy hh:mm:ss"))</f>
        <v>[…]12/12/2024 16:43:42</v>
      </c>
    </row>
    <row r="131" spans="1:6" x14ac:dyDescent="0.45">
      <c r="A131" s="58" t="s">
        <v>35</v>
      </c>
      <c r="B131" s="77" t="s">
        <v>87</v>
      </c>
      <c r="C131" s="77" t="s">
        <v>88</v>
      </c>
      <c r="D131" s="77" t="s">
        <v>86</v>
      </c>
      <c r="E131" s="78" t="s">
        <v>23</v>
      </c>
      <c r="F131" s="78" t="str">
        <f ca="1">MID(CELL("filename"),SEARCH("[",CELL("filename"))+1,SEARCH("]",CELL("filename"))-SEARCH("[",CELL("filename"))-1)</f>
        <v>PR24 FD OC15 ODI risk - Feeder Model (Storm Overflows).xlsx</v>
      </c>
    </row>
    <row r="132" spans="1:6" x14ac:dyDescent="0.45">
      <c r="A132" s="58" t="s">
        <v>35</v>
      </c>
      <c r="B132" s="77" t="s">
        <v>89</v>
      </c>
      <c r="C132" s="77" t="s">
        <v>90</v>
      </c>
      <c r="D132" s="77" t="s">
        <v>86</v>
      </c>
      <c r="E132" s="78" t="s">
        <v>23</v>
      </c>
      <c r="F132" s="78" t="str">
        <f>F_Inputs!$E$1</f>
        <v>Run on 13 Nov 2024 17:46</v>
      </c>
    </row>
    <row r="133" spans="1:6" x14ac:dyDescent="0.45">
      <c r="A133" s="58" t="s">
        <v>35</v>
      </c>
      <c r="B133" s="77" t="s">
        <v>91</v>
      </c>
      <c r="C133" s="77" t="s">
        <v>92</v>
      </c>
      <c r="D133" s="77" t="s">
        <v>93</v>
      </c>
      <c r="E133" s="78" t="s">
        <v>23</v>
      </c>
      <c r="F133" s="80" t="s">
        <v>94</v>
      </c>
    </row>
    <row r="134" spans="1:6" x14ac:dyDescent="0.45">
      <c r="A134" s="58" t="s">
        <v>35</v>
      </c>
      <c r="B134" s="2" t="s">
        <v>95</v>
      </c>
      <c r="C134" s="2" t="s">
        <v>96</v>
      </c>
      <c r="D134" s="2" t="s">
        <v>80</v>
      </c>
      <c r="E134" s="2" t="s">
        <v>23</v>
      </c>
      <c r="F134" s="81">
        <f>'Final Output'!K9</f>
        <v>-0.4014290945839612</v>
      </c>
    </row>
    <row r="135" spans="1:6" x14ac:dyDescent="0.45">
      <c r="A135" s="58" t="s">
        <v>35</v>
      </c>
      <c r="B135" s="2" t="s">
        <v>97</v>
      </c>
      <c r="C135" s="2" t="s">
        <v>98</v>
      </c>
      <c r="D135" s="2" t="s">
        <v>80</v>
      </c>
      <c r="E135" s="2" t="s">
        <v>23</v>
      </c>
      <c r="F135" s="81">
        <f>'Final Output'!K10</f>
        <v>-0.31778209792930673</v>
      </c>
    </row>
    <row r="136" spans="1:6" x14ac:dyDescent="0.45">
      <c r="A136" s="58" t="s">
        <v>35</v>
      </c>
      <c r="B136" s="2" t="s">
        <v>99</v>
      </c>
      <c r="C136" s="2" t="s">
        <v>100</v>
      </c>
      <c r="D136" s="2" t="s">
        <v>80</v>
      </c>
      <c r="E136" s="2" t="s">
        <v>23</v>
      </c>
      <c r="F136" s="81">
        <f>'Final Output'!K11</f>
        <v>-0.25440862210132192</v>
      </c>
    </row>
    <row r="137" spans="1:6" x14ac:dyDescent="0.45">
      <c r="A137" s="58" t="s">
        <v>35</v>
      </c>
      <c r="B137" s="2" t="s">
        <v>101</v>
      </c>
      <c r="C137" s="2" t="s">
        <v>102</v>
      </c>
      <c r="D137" s="2" t="s">
        <v>80</v>
      </c>
      <c r="E137" s="2" t="s">
        <v>23</v>
      </c>
      <c r="F137" s="81">
        <f>'Final Output'!K12</f>
        <v>-0.23228624892603297</v>
      </c>
    </row>
    <row r="138" spans="1:6" x14ac:dyDescent="0.45">
      <c r="A138" s="58" t="s">
        <v>35</v>
      </c>
      <c r="B138" s="2" t="s">
        <v>103</v>
      </c>
      <c r="C138" s="2" t="s">
        <v>104</v>
      </c>
      <c r="D138" s="2" t="s">
        <v>80</v>
      </c>
      <c r="E138" s="2" t="s">
        <v>23</v>
      </c>
      <c r="F138" s="81">
        <f>'Final Output'!K13</f>
        <v>-0.21935247160196084</v>
      </c>
    </row>
    <row r="139" spans="1:6" x14ac:dyDescent="0.45">
      <c r="A139" s="58" t="s">
        <v>35</v>
      </c>
      <c r="B139" s="2" t="s">
        <v>105</v>
      </c>
      <c r="C139" s="2" t="s">
        <v>106</v>
      </c>
      <c r="D139" s="2" t="s">
        <v>80</v>
      </c>
      <c r="E139" s="2" t="s">
        <v>23</v>
      </c>
      <c r="F139" s="81">
        <f>'Final Output'!K14</f>
        <v>-0.16900095705190588</v>
      </c>
    </row>
    <row r="140" spans="1:6" x14ac:dyDescent="0.45">
      <c r="A140" s="58" t="s">
        <v>35</v>
      </c>
      <c r="B140" s="2" t="s">
        <v>107</v>
      </c>
      <c r="C140" s="2" t="s">
        <v>108</v>
      </c>
      <c r="D140" s="2" t="s">
        <v>80</v>
      </c>
      <c r="E140" s="2" t="s">
        <v>23</v>
      </c>
      <c r="F140" s="81">
        <f>'Final Output'!K15</f>
        <v>-5.7814712460340277E-2</v>
      </c>
    </row>
    <row r="141" spans="1:6" x14ac:dyDescent="0.45">
      <c r="A141" s="58" t="s">
        <v>35</v>
      </c>
      <c r="B141" s="2" t="s">
        <v>109</v>
      </c>
      <c r="C141" s="2" t="s">
        <v>110</v>
      </c>
      <c r="D141" s="2" t="s">
        <v>80</v>
      </c>
      <c r="E141" s="2" t="s">
        <v>23</v>
      </c>
      <c r="F141" s="81">
        <f>'Final Output'!K16</f>
        <v>-1.598808473882625E-2</v>
      </c>
    </row>
    <row r="142" spans="1:6" x14ac:dyDescent="0.45">
      <c r="A142" s="58" t="s">
        <v>35</v>
      </c>
      <c r="B142" s="2" t="s">
        <v>111</v>
      </c>
      <c r="C142" s="2" t="s">
        <v>112</v>
      </c>
      <c r="D142" s="2" t="s">
        <v>80</v>
      </c>
      <c r="E142" s="2" t="s">
        <v>23</v>
      </c>
      <c r="F142" s="81">
        <f>'Final Output'!K17</f>
        <v>2.336807268800678E-2</v>
      </c>
    </row>
    <row r="143" spans="1:6" x14ac:dyDescent="0.45">
      <c r="A143" s="58" t="s">
        <v>35</v>
      </c>
      <c r="B143" s="2" t="s">
        <v>113</v>
      </c>
      <c r="C143" s="2" t="s">
        <v>114</v>
      </c>
      <c r="D143" s="2" t="s">
        <v>80</v>
      </c>
      <c r="E143" s="2" t="s">
        <v>23</v>
      </c>
      <c r="F143" s="81">
        <f>'Final Output'!K18</f>
        <v>0.10120107690616308</v>
      </c>
    </row>
    <row r="144" spans="1:6" x14ac:dyDescent="0.45">
      <c r="A144" s="58" t="s">
        <v>35</v>
      </c>
      <c r="B144" s="2" t="s">
        <v>115</v>
      </c>
      <c r="C144" s="2" t="s">
        <v>116</v>
      </c>
      <c r="D144" s="2" t="s">
        <v>80</v>
      </c>
      <c r="E144" s="2" t="s">
        <v>23</v>
      </c>
      <c r="F144" s="81">
        <f>'Final Output'!K19</f>
        <v>0.13988190834738626</v>
      </c>
    </row>
    <row r="145" spans="1:6" x14ac:dyDescent="0.45">
      <c r="A145" s="58" t="s">
        <v>35</v>
      </c>
      <c r="B145" s="2" t="s">
        <v>117</v>
      </c>
      <c r="C145" s="2" t="s">
        <v>118</v>
      </c>
      <c r="D145" s="2" t="s">
        <v>80</v>
      </c>
      <c r="E145" s="2" t="s">
        <v>23</v>
      </c>
      <c r="F145" s="81">
        <f>'Final Output'!K20</f>
        <v>0.15595512485026133</v>
      </c>
    </row>
    <row r="146" spans="1:6" x14ac:dyDescent="0.45">
      <c r="A146" s="58" t="s">
        <v>35</v>
      </c>
      <c r="B146" s="2" t="s">
        <v>119</v>
      </c>
      <c r="C146" s="2" t="s">
        <v>120</v>
      </c>
      <c r="D146" s="2" t="s">
        <v>80</v>
      </c>
      <c r="E146" s="2" t="s">
        <v>23</v>
      </c>
      <c r="F146" s="81">
        <f>'Final Output'!K21</f>
        <v>0.18740096821179586</v>
      </c>
    </row>
    <row r="147" spans="1:6" x14ac:dyDescent="0.45">
      <c r="A147" s="58" t="s">
        <v>35</v>
      </c>
      <c r="B147" s="2" t="s">
        <v>121</v>
      </c>
      <c r="C147" s="2" t="s">
        <v>122</v>
      </c>
      <c r="D147" s="2" t="s">
        <v>80</v>
      </c>
      <c r="E147" s="2" t="s">
        <v>23</v>
      </c>
      <c r="F147" s="81">
        <f>'Final Output'!K22</f>
        <v>0.23698424711632793</v>
      </c>
    </row>
    <row r="148" spans="1:6" x14ac:dyDescent="0.45">
      <c r="A148" s="58" t="s">
        <v>35</v>
      </c>
      <c r="B148" s="2" t="s">
        <v>123</v>
      </c>
      <c r="C148" s="2" t="s">
        <v>124</v>
      </c>
      <c r="D148" s="2" t="s">
        <v>80</v>
      </c>
      <c r="E148" s="2" t="s">
        <v>23</v>
      </c>
      <c r="F148" s="81">
        <f>'Final Output'!K23</f>
        <v>0.325561892905676</v>
      </c>
    </row>
    <row r="149" spans="1:6" x14ac:dyDescent="0.45">
      <c r="A149" s="58" t="s">
        <v>35</v>
      </c>
      <c r="B149" s="2" t="s">
        <v>125</v>
      </c>
      <c r="C149" s="2" t="s">
        <v>126</v>
      </c>
      <c r="D149" s="2" t="s">
        <v>80</v>
      </c>
      <c r="E149" s="2" t="s">
        <v>23</v>
      </c>
      <c r="F149" s="81">
        <f>'Final Output'!K24</f>
        <v>0.37284954380055824</v>
      </c>
    </row>
    <row r="150" spans="1:6" x14ac:dyDescent="0.45">
      <c r="A150" s="58" t="s">
        <v>35</v>
      </c>
      <c r="B150" s="2" t="s">
        <v>127</v>
      </c>
      <c r="C150" s="2" t="s">
        <v>128</v>
      </c>
      <c r="D150" s="2" t="s">
        <v>80</v>
      </c>
      <c r="E150" s="2" t="s">
        <v>23</v>
      </c>
      <c r="F150" s="81">
        <f>'Final Output'!K25</f>
        <v>0.45191454712387891</v>
      </c>
    </row>
    <row r="151" spans="1:6" x14ac:dyDescent="0.45">
      <c r="A151" s="58" t="s">
        <v>36</v>
      </c>
      <c r="B151" s="77" t="s">
        <v>84</v>
      </c>
      <c r="C151" s="77" t="s">
        <v>85</v>
      </c>
      <c r="D151" s="77" t="s">
        <v>86</v>
      </c>
      <c r="E151" s="78" t="s">
        <v>23</v>
      </c>
      <c r="F151" s="79" t="str">
        <f ca="1">CONCATENATE("[…]", TEXT(NOW(),"dd/mm/yyy hh:mm:ss"))</f>
        <v>[…]12/12/2024 16:43:42</v>
      </c>
    </row>
    <row r="152" spans="1:6" x14ac:dyDescent="0.45">
      <c r="A152" s="58" t="s">
        <v>36</v>
      </c>
      <c r="B152" s="77" t="s">
        <v>87</v>
      </c>
      <c r="C152" s="77" t="s">
        <v>88</v>
      </c>
      <c r="D152" s="77" t="s">
        <v>86</v>
      </c>
      <c r="E152" s="78" t="s">
        <v>23</v>
      </c>
      <c r="F152" s="78" t="str">
        <f ca="1">MID(CELL("filename"),SEARCH("[",CELL("filename"))+1,SEARCH("]",CELL("filename"))-SEARCH("[",CELL("filename"))-1)</f>
        <v>PR24 FD OC15 ODI risk - Feeder Model (Storm Overflows).xlsx</v>
      </c>
    </row>
    <row r="153" spans="1:6" x14ac:dyDescent="0.45">
      <c r="A153" s="58" t="s">
        <v>36</v>
      </c>
      <c r="B153" s="77" t="s">
        <v>89</v>
      </c>
      <c r="C153" s="77" t="s">
        <v>90</v>
      </c>
      <c r="D153" s="77" t="s">
        <v>86</v>
      </c>
      <c r="E153" s="78" t="s">
        <v>23</v>
      </c>
      <c r="F153" s="78" t="str">
        <f>F_Inputs!$E$1</f>
        <v>Run on 13 Nov 2024 17:46</v>
      </c>
    </row>
    <row r="154" spans="1:6" x14ac:dyDescent="0.45">
      <c r="A154" s="58" t="s">
        <v>36</v>
      </c>
      <c r="B154" s="77" t="s">
        <v>91</v>
      </c>
      <c r="C154" s="77" t="s">
        <v>92</v>
      </c>
      <c r="D154" s="77" t="s">
        <v>93</v>
      </c>
      <c r="E154" s="78" t="s">
        <v>23</v>
      </c>
      <c r="F154" s="80" t="s">
        <v>94</v>
      </c>
    </row>
    <row r="155" spans="1:6" x14ac:dyDescent="0.45">
      <c r="A155" s="58" t="s">
        <v>36</v>
      </c>
      <c r="B155" s="2" t="s">
        <v>95</v>
      </c>
      <c r="C155" s="2" t="s">
        <v>96</v>
      </c>
      <c r="D155" s="2" t="s">
        <v>80</v>
      </c>
      <c r="E155" s="2" t="s">
        <v>23</v>
      </c>
      <c r="F155" s="81">
        <f>'Final Output'!K9</f>
        <v>-0.4014290945839612</v>
      </c>
    </row>
    <row r="156" spans="1:6" x14ac:dyDescent="0.45">
      <c r="A156" s="58" t="s">
        <v>36</v>
      </c>
      <c r="B156" s="2" t="s">
        <v>97</v>
      </c>
      <c r="C156" s="2" t="s">
        <v>98</v>
      </c>
      <c r="D156" s="2" t="s">
        <v>80</v>
      </c>
      <c r="E156" s="2" t="s">
        <v>23</v>
      </c>
      <c r="F156" s="81">
        <f>'Final Output'!K10</f>
        <v>-0.31778209792930673</v>
      </c>
    </row>
    <row r="157" spans="1:6" x14ac:dyDescent="0.45">
      <c r="A157" s="58" t="s">
        <v>36</v>
      </c>
      <c r="B157" s="2" t="s">
        <v>99</v>
      </c>
      <c r="C157" s="2" t="s">
        <v>100</v>
      </c>
      <c r="D157" s="2" t="s">
        <v>80</v>
      </c>
      <c r="E157" s="2" t="s">
        <v>23</v>
      </c>
      <c r="F157" s="81">
        <f>'Final Output'!K11</f>
        <v>-0.25440862210132192</v>
      </c>
    </row>
    <row r="158" spans="1:6" x14ac:dyDescent="0.45">
      <c r="A158" s="58" t="s">
        <v>36</v>
      </c>
      <c r="B158" s="2" t="s">
        <v>101</v>
      </c>
      <c r="C158" s="2" t="s">
        <v>102</v>
      </c>
      <c r="D158" s="2" t="s">
        <v>80</v>
      </c>
      <c r="E158" s="2" t="s">
        <v>23</v>
      </c>
      <c r="F158" s="81">
        <f>'Final Output'!K12</f>
        <v>-0.23228624892603297</v>
      </c>
    </row>
    <row r="159" spans="1:6" x14ac:dyDescent="0.45">
      <c r="A159" s="58" t="s">
        <v>36</v>
      </c>
      <c r="B159" s="2" t="s">
        <v>103</v>
      </c>
      <c r="C159" s="2" t="s">
        <v>104</v>
      </c>
      <c r="D159" s="2" t="s">
        <v>80</v>
      </c>
      <c r="E159" s="2" t="s">
        <v>23</v>
      </c>
      <c r="F159" s="81">
        <f>'Final Output'!K13</f>
        <v>-0.21935247160196084</v>
      </c>
    </row>
    <row r="160" spans="1:6" x14ac:dyDescent="0.45">
      <c r="A160" s="58" t="s">
        <v>36</v>
      </c>
      <c r="B160" s="2" t="s">
        <v>105</v>
      </c>
      <c r="C160" s="2" t="s">
        <v>106</v>
      </c>
      <c r="D160" s="2" t="s">
        <v>80</v>
      </c>
      <c r="E160" s="2" t="s">
        <v>23</v>
      </c>
      <c r="F160" s="81">
        <f>'Final Output'!K14</f>
        <v>-0.16900095705190588</v>
      </c>
    </row>
    <row r="161" spans="1:6" x14ac:dyDescent="0.45">
      <c r="A161" s="58" t="s">
        <v>36</v>
      </c>
      <c r="B161" s="2" t="s">
        <v>107</v>
      </c>
      <c r="C161" s="2" t="s">
        <v>108</v>
      </c>
      <c r="D161" s="2" t="s">
        <v>80</v>
      </c>
      <c r="E161" s="2" t="s">
        <v>23</v>
      </c>
      <c r="F161" s="81">
        <f>'Final Output'!K15</f>
        <v>-5.7814712460340277E-2</v>
      </c>
    </row>
    <row r="162" spans="1:6" x14ac:dyDescent="0.45">
      <c r="A162" s="58" t="s">
        <v>36</v>
      </c>
      <c r="B162" s="2" t="s">
        <v>109</v>
      </c>
      <c r="C162" s="2" t="s">
        <v>110</v>
      </c>
      <c r="D162" s="2" t="s">
        <v>80</v>
      </c>
      <c r="E162" s="2" t="s">
        <v>23</v>
      </c>
      <c r="F162" s="81">
        <f>'Final Output'!K16</f>
        <v>-1.598808473882625E-2</v>
      </c>
    </row>
    <row r="163" spans="1:6" x14ac:dyDescent="0.45">
      <c r="A163" s="58" t="s">
        <v>36</v>
      </c>
      <c r="B163" s="2" t="s">
        <v>111</v>
      </c>
      <c r="C163" s="2" t="s">
        <v>112</v>
      </c>
      <c r="D163" s="2" t="s">
        <v>80</v>
      </c>
      <c r="E163" s="2" t="s">
        <v>23</v>
      </c>
      <c r="F163" s="81">
        <f>'Final Output'!K17</f>
        <v>2.336807268800678E-2</v>
      </c>
    </row>
    <row r="164" spans="1:6" x14ac:dyDescent="0.45">
      <c r="A164" s="58" t="s">
        <v>36</v>
      </c>
      <c r="B164" s="2" t="s">
        <v>113</v>
      </c>
      <c r="C164" s="2" t="s">
        <v>114</v>
      </c>
      <c r="D164" s="2" t="s">
        <v>80</v>
      </c>
      <c r="E164" s="2" t="s">
        <v>23</v>
      </c>
      <c r="F164" s="81">
        <f>'Final Output'!K18</f>
        <v>0.10120107690616308</v>
      </c>
    </row>
    <row r="165" spans="1:6" x14ac:dyDescent="0.45">
      <c r="A165" s="58" t="s">
        <v>36</v>
      </c>
      <c r="B165" s="2" t="s">
        <v>115</v>
      </c>
      <c r="C165" s="2" t="s">
        <v>116</v>
      </c>
      <c r="D165" s="2" t="s">
        <v>80</v>
      </c>
      <c r="E165" s="2" t="s">
        <v>23</v>
      </c>
      <c r="F165" s="81">
        <f>'Final Output'!K19</f>
        <v>0.13988190834738626</v>
      </c>
    </row>
    <row r="166" spans="1:6" x14ac:dyDescent="0.45">
      <c r="A166" s="58" t="s">
        <v>36</v>
      </c>
      <c r="B166" s="2" t="s">
        <v>117</v>
      </c>
      <c r="C166" s="2" t="s">
        <v>118</v>
      </c>
      <c r="D166" s="2" t="s">
        <v>80</v>
      </c>
      <c r="E166" s="2" t="s">
        <v>23</v>
      </c>
      <c r="F166" s="81">
        <f>'Final Output'!K20</f>
        <v>0.15595512485026133</v>
      </c>
    </row>
    <row r="167" spans="1:6" x14ac:dyDescent="0.45">
      <c r="A167" s="58" t="s">
        <v>36</v>
      </c>
      <c r="B167" s="2" t="s">
        <v>119</v>
      </c>
      <c r="C167" s="2" t="s">
        <v>120</v>
      </c>
      <c r="D167" s="2" t="s">
        <v>80</v>
      </c>
      <c r="E167" s="2" t="s">
        <v>23</v>
      </c>
      <c r="F167" s="81">
        <f>'Final Output'!K21</f>
        <v>0.18740096821179586</v>
      </c>
    </row>
    <row r="168" spans="1:6" x14ac:dyDescent="0.45">
      <c r="A168" s="58" t="s">
        <v>36</v>
      </c>
      <c r="B168" s="2" t="s">
        <v>121</v>
      </c>
      <c r="C168" s="2" t="s">
        <v>122</v>
      </c>
      <c r="D168" s="2" t="s">
        <v>80</v>
      </c>
      <c r="E168" s="2" t="s">
        <v>23</v>
      </c>
      <c r="F168" s="81">
        <f>'Final Output'!K22</f>
        <v>0.23698424711632793</v>
      </c>
    </row>
    <row r="169" spans="1:6" x14ac:dyDescent="0.45">
      <c r="A169" s="58" t="s">
        <v>36</v>
      </c>
      <c r="B169" s="2" t="s">
        <v>123</v>
      </c>
      <c r="C169" s="2" t="s">
        <v>124</v>
      </c>
      <c r="D169" s="2" t="s">
        <v>80</v>
      </c>
      <c r="E169" s="2" t="s">
        <v>23</v>
      </c>
      <c r="F169" s="81">
        <f>'Final Output'!K23</f>
        <v>0.325561892905676</v>
      </c>
    </row>
    <row r="170" spans="1:6" x14ac:dyDescent="0.45">
      <c r="A170" s="58" t="s">
        <v>36</v>
      </c>
      <c r="B170" s="2" t="s">
        <v>125</v>
      </c>
      <c r="C170" s="2" t="s">
        <v>126</v>
      </c>
      <c r="D170" s="2" t="s">
        <v>80</v>
      </c>
      <c r="E170" s="2" t="s">
        <v>23</v>
      </c>
      <c r="F170" s="81">
        <f>'Final Output'!K24</f>
        <v>0.37284954380055824</v>
      </c>
    </row>
    <row r="171" spans="1:6" x14ac:dyDescent="0.45">
      <c r="A171" s="58" t="s">
        <v>36</v>
      </c>
      <c r="B171" s="2" t="s">
        <v>127</v>
      </c>
      <c r="C171" s="2" t="s">
        <v>128</v>
      </c>
      <c r="D171" s="2" t="s">
        <v>80</v>
      </c>
      <c r="E171" s="2" t="s">
        <v>23</v>
      </c>
      <c r="F171" s="81">
        <f>'Final Output'!K25</f>
        <v>0.45191454712387891</v>
      </c>
    </row>
    <row r="172" spans="1:6" x14ac:dyDescent="0.45">
      <c r="A172" s="58" t="s">
        <v>37</v>
      </c>
      <c r="B172" s="77" t="s">
        <v>84</v>
      </c>
      <c r="C172" s="77" t="s">
        <v>85</v>
      </c>
      <c r="D172" s="77" t="s">
        <v>86</v>
      </c>
      <c r="E172" s="78" t="s">
        <v>23</v>
      </c>
      <c r="F172" s="79" t="str">
        <f ca="1">CONCATENATE("[…]", TEXT(NOW(),"dd/mm/yyy hh:mm:ss"))</f>
        <v>[…]12/12/2024 16:43:42</v>
      </c>
    </row>
    <row r="173" spans="1:6" x14ac:dyDescent="0.45">
      <c r="A173" s="58" t="s">
        <v>37</v>
      </c>
      <c r="B173" s="77" t="s">
        <v>87</v>
      </c>
      <c r="C173" s="77" t="s">
        <v>88</v>
      </c>
      <c r="D173" s="77" t="s">
        <v>86</v>
      </c>
      <c r="E173" s="78" t="s">
        <v>23</v>
      </c>
      <c r="F173" s="78" t="str">
        <f ca="1">MID(CELL("filename"),SEARCH("[",CELL("filename"))+1,SEARCH("]",CELL("filename"))-SEARCH("[",CELL("filename"))-1)</f>
        <v>PR24 FD OC15 ODI risk - Feeder Model (Storm Overflows).xlsx</v>
      </c>
    </row>
    <row r="174" spans="1:6" x14ac:dyDescent="0.45">
      <c r="A174" s="58" t="s">
        <v>37</v>
      </c>
      <c r="B174" s="77" t="s">
        <v>89</v>
      </c>
      <c r="C174" s="77" t="s">
        <v>90</v>
      </c>
      <c r="D174" s="77" t="s">
        <v>86</v>
      </c>
      <c r="E174" s="78" t="s">
        <v>23</v>
      </c>
      <c r="F174" s="78" t="str">
        <f>F_Inputs!$E$1</f>
        <v>Run on 13 Nov 2024 17:46</v>
      </c>
    </row>
    <row r="175" spans="1:6" x14ac:dyDescent="0.45">
      <c r="A175" s="58" t="s">
        <v>37</v>
      </c>
      <c r="B175" s="77" t="s">
        <v>91</v>
      </c>
      <c r="C175" s="77" t="s">
        <v>92</v>
      </c>
      <c r="D175" s="77" t="s">
        <v>93</v>
      </c>
      <c r="E175" s="78" t="s">
        <v>23</v>
      </c>
      <c r="F175" s="80" t="s">
        <v>94</v>
      </c>
    </row>
    <row r="176" spans="1:6" x14ac:dyDescent="0.45">
      <c r="A176" s="58" t="s">
        <v>37</v>
      </c>
      <c r="B176" s="2" t="s">
        <v>95</v>
      </c>
      <c r="C176" s="2" t="s">
        <v>96</v>
      </c>
      <c r="D176" s="2" t="s">
        <v>80</v>
      </c>
      <c r="E176" s="2" t="s">
        <v>23</v>
      </c>
      <c r="F176" s="81">
        <f>'Final Output'!K9</f>
        <v>-0.4014290945839612</v>
      </c>
    </row>
    <row r="177" spans="1:6" x14ac:dyDescent="0.45">
      <c r="A177" s="58" t="s">
        <v>37</v>
      </c>
      <c r="B177" s="2" t="s">
        <v>97</v>
      </c>
      <c r="C177" s="2" t="s">
        <v>98</v>
      </c>
      <c r="D177" s="2" t="s">
        <v>80</v>
      </c>
      <c r="E177" s="2" t="s">
        <v>23</v>
      </c>
      <c r="F177" s="81">
        <f>'Final Output'!K10</f>
        <v>-0.31778209792930673</v>
      </c>
    </row>
    <row r="178" spans="1:6" x14ac:dyDescent="0.45">
      <c r="A178" s="58" t="s">
        <v>37</v>
      </c>
      <c r="B178" s="2" t="s">
        <v>99</v>
      </c>
      <c r="C178" s="2" t="s">
        <v>100</v>
      </c>
      <c r="D178" s="2" t="s">
        <v>80</v>
      </c>
      <c r="E178" s="2" t="s">
        <v>23</v>
      </c>
      <c r="F178" s="81">
        <f>'Final Output'!K11</f>
        <v>-0.25440862210132192</v>
      </c>
    </row>
    <row r="179" spans="1:6" x14ac:dyDescent="0.45">
      <c r="A179" s="58" t="s">
        <v>37</v>
      </c>
      <c r="B179" s="2" t="s">
        <v>101</v>
      </c>
      <c r="C179" s="2" t="s">
        <v>102</v>
      </c>
      <c r="D179" s="2" t="s">
        <v>80</v>
      </c>
      <c r="E179" s="2" t="s">
        <v>23</v>
      </c>
      <c r="F179" s="81">
        <f>'Final Output'!K12</f>
        <v>-0.23228624892603297</v>
      </c>
    </row>
    <row r="180" spans="1:6" x14ac:dyDescent="0.45">
      <c r="A180" s="58" t="s">
        <v>37</v>
      </c>
      <c r="B180" s="2" t="s">
        <v>103</v>
      </c>
      <c r="C180" s="2" t="s">
        <v>104</v>
      </c>
      <c r="D180" s="2" t="s">
        <v>80</v>
      </c>
      <c r="E180" s="2" t="s">
        <v>23</v>
      </c>
      <c r="F180" s="81">
        <f>'Final Output'!K13</f>
        <v>-0.21935247160196084</v>
      </c>
    </row>
    <row r="181" spans="1:6" x14ac:dyDescent="0.45">
      <c r="A181" s="58" t="s">
        <v>37</v>
      </c>
      <c r="B181" s="2" t="s">
        <v>105</v>
      </c>
      <c r="C181" s="2" t="s">
        <v>106</v>
      </c>
      <c r="D181" s="2" t="s">
        <v>80</v>
      </c>
      <c r="E181" s="2" t="s">
        <v>23</v>
      </c>
      <c r="F181" s="81">
        <f>'Final Output'!K14</f>
        <v>-0.16900095705190588</v>
      </c>
    </row>
    <row r="182" spans="1:6" x14ac:dyDescent="0.45">
      <c r="A182" s="58" t="s">
        <v>37</v>
      </c>
      <c r="B182" s="2" t="s">
        <v>107</v>
      </c>
      <c r="C182" s="2" t="s">
        <v>108</v>
      </c>
      <c r="D182" s="2" t="s">
        <v>80</v>
      </c>
      <c r="E182" s="2" t="s">
        <v>23</v>
      </c>
      <c r="F182" s="81">
        <f>'Final Output'!K15</f>
        <v>-5.7814712460340277E-2</v>
      </c>
    </row>
    <row r="183" spans="1:6" x14ac:dyDescent="0.45">
      <c r="A183" s="58" t="s">
        <v>37</v>
      </c>
      <c r="B183" s="2" t="s">
        <v>109</v>
      </c>
      <c r="C183" s="2" t="s">
        <v>110</v>
      </c>
      <c r="D183" s="2" t="s">
        <v>80</v>
      </c>
      <c r="E183" s="2" t="s">
        <v>23</v>
      </c>
      <c r="F183" s="81">
        <f>'Final Output'!K16</f>
        <v>-1.598808473882625E-2</v>
      </c>
    </row>
    <row r="184" spans="1:6" x14ac:dyDescent="0.45">
      <c r="A184" s="58" t="s">
        <v>37</v>
      </c>
      <c r="B184" s="2" t="s">
        <v>111</v>
      </c>
      <c r="C184" s="2" t="s">
        <v>112</v>
      </c>
      <c r="D184" s="2" t="s">
        <v>80</v>
      </c>
      <c r="E184" s="2" t="s">
        <v>23</v>
      </c>
      <c r="F184" s="81">
        <f>'Final Output'!K17</f>
        <v>2.336807268800678E-2</v>
      </c>
    </row>
    <row r="185" spans="1:6" x14ac:dyDescent="0.45">
      <c r="A185" s="58" t="s">
        <v>37</v>
      </c>
      <c r="B185" s="2" t="s">
        <v>113</v>
      </c>
      <c r="C185" s="2" t="s">
        <v>114</v>
      </c>
      <c r="D185" s="2" t="s">
        <v>80</v>
      </c>
      <c r="E185" s="2" t="s">
        <v>23</v>
      </c>
      <c r="F185" s="81">
        <f>'Final Output'!K18</f>
        <v>0.10120107690616308</v>
      </c>
    </row>
    <row r="186" spans="1:6" x14ac:dyDescent="0.45">
      <c r="A186" s="58" t="s">
        <v>37</v>
      </c>
      <c r="B186" s="2" t="s">
        <v>115</v>
      </c>
      <c r="C186" s="2" t="s">
        <v>116</v>
      </c>
      <c r="D186" s="2" t="s">
        <v>80</v>
      </c>
      <c r="E186" s="2" t="s">
        <v>23</v>
      </c>
      <c r="F186" s="81">
        <f>'Final Output'!K19</f>
        <v>0.13988190834738626</v>
      </c>
    </row>
    <row r="187" spans="1:6" x14ac:dyDescent="0.45">
      <c r="A187" s="58" t="s">
        <v>37</v>
      </c>
      <c r="B187" s="2" t="s">
        <v>117</v>
      </c>
      <c r="C187" s="2" t="s">
        <v>118</v>
      </c>
      <c r="D187" s="2" t="s">
        <v>80</v>
      </c>
      <c r="E187" s="2" t="s">
        <v>23</v>
      </c>
      <c r="F187" s="81">
        <f>'Final Output'!K20</f>
        <v>0.15595512485026133</v>
      </c>
    </row>
    <row r="188" spans="1:6" x14ac:dyDescent="0.45">
      <c r="A188" s="58" t="s">
        <v>37</v>
      </c>
      <c r="B188" s="2" t="s">
        <v>119</v>
      </c>
      <c r="C188" s="2" t="s">
        <v>120</v>
      </c>
      <c r="D188" s="2" t="s">
        <v>80</v>
      </c>
      <c r="E188" s="2" t="s">
        <v>23</v>
      </c>
      <c r="F188" s="81">
        <f>'Final Output'!K21</f>
        <v>0.18740096821179586</v>
      </c>
    </row>
    <row r="189" spans="1:6" x14ac:dyDescent="0.45">
      <c r="A189" s="58" t="s">
        <v>37</v>
      </c>
      <c r="B189" s="2" t="s">
        <v>121</v>
      </c>
      <c r="C189" s="2" t="s">
        <v>122</v>
      </c>
      <c r="D189" s="2" t="s">
        <v>80</v>
      </c>
      <c r="E189" s="2" t="s">
        <v>23</v>
      </c>
      <c r="F189" s="81">
        <f>'Final Output'!K22</f>
        <v>0.23698424711632793</v>
      </c>
    </row>
    <row r="190" spans="1:6" x14ac:dyDescent="0.45">
      <c r="A190" s="58" t="s">
        <v>37</v>
      </c>
      <c r="B190" s="2" t="s">
        <v>123</v>
      </c>
      <c r="C190" s="2" t="s">
        <v>124</v>
      </c>
      <c r="D190" s="2" t="s">
        <v>80</v>
      </c>
      <c r="E190" s="2" t="s">
        <v>23</v>
      </c>
      <c r="F190" s="81">
        <f>'Final Output'!K23</f>
        <v>0.325561892905676</v>
      </c>
    </row>
    <row r="191" spans="1:6" x14ac:dyDescent="0.45">
      <c r="A191" s="58" t="s">
        <v>37</v>
      </c>
      <c r="B191" s="2" t="s">
        <v>125</v>
      </c>
      <c r="C191" s="2" t="s">
        <v>126</v>
      </c>
      <c r="D191" s="2" t="s">
        <v>80</v>
      </c>
      <c r="E191" s="2" t="s">
        <v>23</v>
      </c>
      <c r="F191" s="81">
        <f>'Final Output'!K24</f>
        <v>0.37284954380055824</v>
      </c>
    </row>
    <row r="192" spans="1:6" x14ac:dyDescent="0.45">
      <c r="A192" s="58" t="s">
        <v>37</v>
      </c>
      <c r="B192" s="2" t="s">
        <v>127</v>
      </c>
      <c r="C192" s="2" t="s">
        <v>128</v>
      </c>
      <c r="D192" s="2" t="s">
        <v>80</v>
      </c>
      <c r="E192" s="2" t="s">
        <v>23</v>
      </c>
      <c r="F192" s="81">
        <f>'Final Output'!K25</f>
        <v>0.45191454712387891</v>
      </c>
    </row>
    <row r="193" spans="1:6" x14ac:dyDescent="0.45">
      <c r="A193" s="58" t="s">
        <v>38</v>
      </c>
      <c r="B193" s="77" t="s">
        <v>84</v>
      </c>
      <c r="C193" s="77" t="s">
        <v>85</v>
      </c>
      <c r="D193" s="77" t="s">
        <v>86</v>
      </c>
      <c r="E193" s="78" t="s">
        <v>23</v>
      </c>
      <c r="F193" s="79" t="str">
        <f ca="1">CONCATENATE("[…]", TEXT(NOW(),"dd/mm/yyy hh:mm:ss"))</f>
        <v>[…]12/12/2024 16:43:42</v>
      </c>
    </row>
    <row r="194" spans="1:6" x14ac:dyDescent="0.45">
      <c r="A194" s="58" t="s">
        <v>38</v>
      </c>
      <c r="B194" s="77" t="s">
        <v>87</v>
      </c>
      <c r="C194" s="77" t="s">
        <v>88</v>
      </c>
      <c r="D194" s="77" t="s">
        <v>86</v>
      </c>
      <c r="E194" s="78" t="s">
        <v>23</v>
      </c>
      <c r="F194" s="78" t="str">
        <f ca="1">MID(CELL("filename"),SEARCH("[",CELL("filename"))+1,SEARCH("]",CELL("filename"))-SEARCH("[",CELL("filename"))-1)</f>
        <v>PR24 FD OC15 ODI risk - Feeder Model (Storm Overflows).xlsx</v>
      </c>
    </row>
    <row r="195" spans="1:6" x14ac:dyDescent="0.45">
      <c r="A195" s="58" t="s">
        <v>38</v>
      </c>
      <c r="B195" s="77" t="s">
        <v>89</v>
      </c>
      <c r="C195" s="77" t="s">
        <v>90</v>
      </c>
      <c r="D195" s="77" t="s">
        <v>86</v>
      </c>
      <c r="E195" s="78" t="s">
        <v>23</v>
      </c>
      <c r="F195" s="78" t="str">
        <f>F_Inputs!$E$1</f>
        <v>Run on 13 Nov 2024 17:46</v>
      </c>
    </row>
    <row r="196" spans="1:6" x14ac:dyDescent="0.45">
      <c r="A196" s="58" t="s">
        <v>38</v>
      </c>
      <c r="B196" s="77" t="s">
        <v>91</v>
      </c>
      <c r="C196" s="77" t="s">
        <v>92</v>
      </c>
      <c r="D196" s="77" t="s">
        <v>93</v>
      </c>
      <c r="E196" s="78" t="s">
        <v>23</v>
      </c>
      <c r="F196" s="80" t="s">
        <v>94</v>
      </c>
    </row>
    <row r="197" spans="1:6" x14ac:dyDescent="0.45">
      <c r="A197" s="58" t="s">
        <v>38</v>
      </c>
      <c r="B197" s="2" t="s">
        <v>95</v>
      </c>
      <c r="C197" s="2" t="s">
        <v>96</v>
      </c>
      <c r="D197" s="2" t="s">
        <v>80</v>
      </c>
      <c r="E197" s="2" t="s">
        <v>23</v>
      </c>
      <c r="F197" s="81">
        <f>'Final Output'!K9</f>
        <v>-0.4014290945839612</v>
      </c>
    </row>
    <row r="198" spans="1:6" x14ac:dyDescent="0.45">
      <c r="A198" s="58" t="s">
        <v>38</v>
      </c>
      <c r="B198" s="2" t="s">
        <v>97</v>
      </c>
      <c r="C198" s="2" t="s">
        <v>98</v>
      </c>
      <c r="D198" s="2" t="s">
        <v>80</v>
      </c>
      <c r="E198" s="2" t="s">
        <v>23</v>
      </c>
      <c r="F198" s="81">
        <f>'Final Output'!K10</f>
        <v>-0.31778209792930673</v>
      </c>
    </row>
    <row r="199" spans="1:6" x14ac:dyDescent="0.45">
      <c r="A199" s="58" t="s">
        <v>38</v>
      </c>
      <c r="B199" s="2" t="s">
        <v>99</v>
      </c>
      <c r="C199" s="2" t="s">
        <v>100</v>
      </c>
      <c r="D199" s="2" t="s">
        <v>80</v>
      </c>
      <c r="E199" s="2" t="s">
        <v>23</v>
      </c>
      <c r="F199" s="81">
        <f>'Final Output'!K11</f>
        <v>-0.25440862210132192</v>
      </c>
    </row>
    <row r="200" spans="1:6" x14ac:dyDescent="0.45">
      <c r="A200" s="58" t="s">
        <v>38</v>
      </c>
      <c r="B200" s="2" t="s">
        <v>101</v>
      </c>
      <c r="C200" s="2" t="s">
        <v>102</v>
      </c>
      <c r="D200" s="2" t="s">
        <v>80</v>
      </c>
      <c r="E200" s="2" t="s">
        <v>23</v>
      </c>
      <c r="F200" s="81">
        <f>'Final Output'!K12</f>
        <v>-0.23228624892603297</v>
      </c>
    </row>
    <row r="201" spans="1:6" x14ac:dyDescent="0.45">
      <c r="A201" s="58" t="s">
        <v>38</v>
      </c>
      <c r="B201" s="2" t="s">
        <v>103</v>
      </c>
      <c r="C201" s="2" t="s">
        <v>104</v>
      </c>
      <c r="D201" s="2" t="s">
        <v>80</v>
      </c>
      <c r="E201" s="2" t="s">
        <v>23</v>
      </c>
      <c r="F201" s="81">
        <f>'Final Output'!K13</f>
        <v>-0.21935247160196084</v>
      </c>
    </row>
    <row r="202" spans="1:6" x14ac:dyDescent="0.45">
      <c r="A202" s="58" t="s">
        <v>38</v>
      </c>
      <c r="B202" s="2" t="s">
        <v>105</v>
      </c>
      <c r="C202" s="2" t="s">
        <v>106</v>
      </c>
      <c r="D202" s="2" t="s">
        <v>80</v>
      </c>
      <c r="E202" s="2" t="s">
        <v>23</v>
      </c>
      <c r="F202" s="81">
        <f>'Final Output'!K14</f>
        <v>-0.16900095705190588</v>
      </c>
    </row>
    <row r="203" spans="1:6" x14ac:dyDescent="0.45">
      <c r="A203" s="58" t="s">
        <v>38</v>
      </c>
      <c r="B203" s="2" t="s">
        <v>107</v>
      </c>
      <c r="C203" s="2" t="s">
        <v>108</v>
      </c>
      <c r="D203" s="2" t="s">
        <v>80</v>
      </c>
      <c r="E203" s="2" t="s">
        <v>23</v>
      </c>
      <c r="F203" s="81">
        <f>'Final Output'!K15</f>
        <v>-5.7814712460340277E-2</v>
      </c>
    </row>
    <row r="204" spans="1:6" x14ac:dyDescent="0.45">
      <c r="A204" s="58" t="s">
        <v>38</v>
      </c>
      <c r="B204" s="2" t="s">
        <v>109</v>
      </c>
      <c r="C204" s="2" t="s">
        <v>110</v>
      </c>
      <c r="D204" s="2" t="s">
        <v>80</v>
      </c>
      <c r="E204" s="2" t="s">
        <v>23</v>
      </c>
      <c r="F204" s="81">
        <f>'Final Output'!K16</f>
        <v>-1.598808473882625E-2</v>
      </c>
    </row>
    <row r="205" spans="1:6" x14ac:dyDescent="0.45">
      <c r="A205" s="58" t="s">
        <v>38</v>
      </c>
      <c r="B205" s="2" t="s">
        <v>111</v>
      </c>
      <c r="C205" s="2" t="s">
        <v>112</v>
      </c>
      <c r="D205" s="2" t="s">
        <v>80</v>
      </c>
      <c r="E205" s="2" t="s">
        <v>23</v>
      </c>
      <c r="F205" s="81">
        <f>'Final Output'!K17</f>
        <v>2.336807268800678E-2</v>
      </c>
    </row>
    <row r="206" spans="1:6" x14ac:dyDescent="0.45">
      <c r="A206" s="58" t="s">
        <v>38</v>
      </c>
      <c r="B206" s="2" t="s">
        <v>113</v>
      </c>
      <c r="C206" s="2" t="s">
        <v>114</v>
      </c>
      <c r="D206" s="2" t="s">
        <v>80</v>
      </c>
      <c r="E206" s="2" t="s">
        <v>23</v>
      </c>
      <c r="F206" s="81">
        <f>'Final Output'!K18</f>
        <v>0.10120107690616308</v>
      </c>
    </row>
    <row r="207" spans="1:6" x14ac:dyDescent="0.45">
      <c r="A207" s="58" t="s">
        <v>38</v>
      </c>
      <c r="B207" s="2" t="s">
        <v>115</v>
      </c>
      <c r="C207" s="2" t="s">
        <v>116</v>
      </c>
      <c r="D207" s="2" t="s">
        <v>80</v>
      </c>
      <c r="E207" s="2" t="s">
        <v>23</v>
      </c>
      <c r="F207" s="81">
        <f>'Final Output'!K19</f>
        <v>0.13988190834738626</v>
      </c>
    </row>
    <row r="208" spans="1:6" x14ac:dyDescent="0.45">
      <c r="A208" s="58" t="s">
        <v>38</v>
      </c>
      <c r="B208" s="2" t="s">
        <v>117</v>
      </c>
      <c r="C208" s="2" t="s">
        <v>118</v>
      </c>
      <c r="D208" s="2" t="s">
        <v>80</v>
      </c>
      <c r="E208" s="2" t="s">
        <v>23</v>
      </c>
      <c r="F208" s="81">
        <f>'Final Output'!K20</f>
        <v>0.15595512485026133</v>
      </c>
    </row>
    <row r="209" spans="1:6" x14ac:dyDescent="0.45">
      <c r="A209" s="58" t="s">
        <v>38</v>
      </c>
      <c r="B209" s="2" t="s">
        <v>119</v>
      </c>
      <c r="C209" s="2" t="s">
        <v>120</v>
      </c>
      <c r="D209" s="2" t="s">
        <v>80</v>
      </c>
      <c r="E209" s="2" t="s">
        <v>23</v>
      </c>
      <c r="F209" s="81">
        <f>'Final Output'!K21</f>
        <v>0.18740096821179586</v>
      </c>
    </row>
    <row r="210" spans="1:6" x14ac:dyDescent="0.45">
      <c r="A210" s="58" t="s">
        <v>38</v>
      </c>
      <c r="B210" s="2" t="s">
        <v>121</v>
      </c>
      <c r="C210" s="2" t="s">
        <v>122</v>
      </c>
      <c r="D210" s="2" t="s">
        <v>80</v>
      </c>
      <c r="E210" s="2" t="s">
        <v>23</v>
      </c>
      <c r="F210" s="81">
        <f>'Final Output'!K22</f>
        <v>0.23698424711632793</v>
      </c>
    </row>
    <row r="211" spans="1:6" x14ac:dyDescent="0.45">
      <c r="A211" s="58" t="s">
        <v>38</v>
      </c>
      <c r="B211" s="2" t="s">
        <v>123</v>
      </c>
      <c r="C211" s="2" t="s">
        <v>124</v>
      </c>
      <c r="D211" s="2" t="s">
        <v>80</v>
      </c>
      <c r="E211" s="2" t="s">
        <v>23</v>
      </c>
      <c r="F211" s="81">
        <f>'Final Output'!K23</f>
        <v>0.325561892905676</v>
      </c>
    </row>
    <row r="212" spans="1:6" x14ac:dyDescent="0.45">
      <c r="A212" s="58" t="s">
        <v>38</v>
      </c>
      <c r="B212" s="2" t="s">
        <v>125</v>
      </c>
      <c r="C212" s="2" t="s">
        <v>126</v>
      </c>
      <c r="D212" s="2" t="s">
        <v>80</v>
      </c>
      <c r="E212" s="2" t="s">
        <v>23</v>
      </c>
      <c r="F212" s="81">
        <f>'Final Output'!K24</f>
        <v>0.37284954380055824</v>
      </c>
    </row>
    <row r="213" spans="1:6" x14ac:dyDescent="0.45">
      <c r="A213" s="58" t="s">
        <v>38</v>
      </c>
      <c r="B213" s="2" t="s">
        <v>127</v>
      </c>
      <c r="C213" s="2" t="s">
        <v>128</v>
      </c>
      <c r="D213" s="2" t="s">
        <v>80</v>
      </c>
      <c r="E213" s="2" t="s">
        <v>23</v>
      </c>
      <c r="F213" s="81">
        <f>'Final Output'!K25</f>
        <v>0.45191454712387891</v>
      </c>
    </row>
    <row r="214" spans="1:6" x14ac:dyDescent="0.45">
      <c r="A214" s="58" t="s">
        <v>39</v>
      </c>
      <c r="B214" s="77" t="s">
        <v>84</v>
      </c>
      <c r="C214" s="77" t="s">
        <v>85</v>
      </c>
      <c r="D214" s="77" t="s">
        <v>86</v>
      </c>
      <c r="E214" s="78" t="s">
        <v>23</v>
      </c>
      <c r="F214" s="79" t="str">
        <f ca="1">CONCATENATE("[…]", TEXT(NOW(),"dd/mm/yyy hh:mm:ss"))</f>
        <v>[…]12/12/2024 16:43:42</v>
      </c>
    </row>
    <row r="215" spans="1:6" x14ac:dyDescent="0.45">
      <c r="A215" s="58" t="s">
        <v>39</v>
      </c>
      <c r="B215" s="77" t="s">
        <v>87</v>
      </c>
      <c r="C215" s="77" t="s">
        <v>88</v>
      </c>
      <c r="D215" s="77" t="s">
        <v>86</v>
      </c>
      <c r="E215" s="78" t="s">
        <v>23</v>
      </c>
      <c r="F215" s="78" t="str">
        <f ca="1">MID(CELL("filename"),SEARCH("[",CELL("filename"))+1,SEARCH("]",CELL("filename"))-SEARCH("[",CELL("filename"))-1)</f>
        <v>PR24 FD OC15 ODI risk - Feeder Model (Storm Overflows).xlsx</v>
      </c>
    </row>
    <row r="216" spans="1:6" x14ac:dyDescent="0.45">
      <c r="A216" s="58" t="s">
        <v>39</v>
      </c>
      <c r="B216" s="77" t="s">
        <v>89</v>
      </c>
      <c r="C216" s="77" t="s">
        <v>90</v>
      </c>
      <c r="D216" s="77" t="s">
        <v>86</v>
      </c>
      <c r="E216" s="78" t="s">
        <v>23</v>
      </c>
      <c r="F216" s="78" t="str">
        <f>F_Inputs!$E$1</f>
        <v>Run on 13 Nov 2024 17:46</v>
      </c>
    </row>
    <row r="217" spans="1:6" x14ac:dyDescent="0.45">
      <c r="A217" s="58" t="s">
        <v>39</v>
      </c>
      <c r="B217" s="77" t="s">
        <v>91</v>
      </c>
      <c r="C217" s="77" t="s">
        <v>92</v>
      </c>
      <c r="D217" s="77" t="s">
        <v>93</v>
      </c>
      <c r="E217" s="78" t="s">
        <v>23</v>
      </c>
      <c r="F217" s="80" t="s">
        <v>94</v>
      </c>
    </row>
    <row r="218" spans="1:6" x14ac:dyDescent="0.45">
      <c r="A218" s="58" t="s">
        <v>39</v>
      </c>
      <c r="B218" s="2" t="s">
        <v>95</v>
      </c>
      <c r="C218" s="2" t="s">
        <v>96</v>
      </c>
      <c r="D218" s="2" t="s">
        <v>80</v>
      </c>
      <c r="E218" s="2" t="s">
        <v>23</v>
      </c>
      <c r="F218" s="81">
        <f>'Final Output'!K9</f>
        <v>-0.4014290945839612</v>
      </c>
    </row>
    <row r="219" spans="1:6" x14ac:dyDescent="0.45">
      <c r="A219" s="58" t="s">
        <v>39</v>
      </c>
      <c r="B219" s="2" t="s">
        <v>97</v>
      </c>
      <c r="C219" s="2" t="s">
        <v>98</v>
      </c>
      <c r="D219" s="2" t="s">
        <v>80</v>
      </c>
      <c r="E219" s="2" t="s">
        <v>23</v>
      </c>
      <c r="F219" s="81">
        <f>'Final Output'!K10</f>
        <v>-0.31778209792930673</v>
      </c>
    </row>
    <row r="220" spans="1:6" x14ac:dyDescent="0.45">
      <c r="A220" s="58" t="s">
        <v>39</v>
      </c>
      <c r="B220" s="2" t="s">
        <v>99</v>
      </c>
      <c r="C220" s="2" t="s">
        <v>100</v>
      </c>
      <c r="D220" s="2" t="s">
        <v>80</v>
      </c>
      <c r="E220" s="2" t="s">
        <v>23</v>
      </c>
      <c r="F220" s="81">
        <f>'Final Output'!K11</f>
        <v>-0.25440862210132192</v>
      </c>
    </row>
    <row r="221" spans="1:6" x14ac:dyDescent="0.45">
      <c r="A221" s="58" t="s">
        <v>39</v>
      </c>
      <c r="B221" s="2" t="s">
        <v>101</v>
      </c>
      <c r="C221" s="2" t="s">
        <v>102</v>
      </c>
      <c r="D221" s="2" t="s">
        <v>80</v>
      </c>
      <c r="E221" s="2" t="s">
        <v>23</v>
      </c>
      <c r="F221" s="81">
        <f>'Final Output'!K12</f>
        <v>-0.23228624892603297</v>
      </c>
    </row>
    <row r="222" spans="1:6" x14ac:dyDescent="0.45">
      <c r="A222" s="58" t="s">
        <v>39</v>
      </c>
      <c r="B222" s="2" t="s">
        <v>103</v>
      </c>
      <c r="C222" s="2" t="s">
        <v>104</v>
      </c>
      <c r="D222" s="2" t="s">
        <v>80</v>
      </c>
      <c r="E222" s="2" t="s">
        <v>23</v>
      </c>
      <c r="F222" s="81">
        <f>'Final Output'!K13</f>
        <v>-0.21935247160196084</v>
      </c>
    </row>
    <row r="223" spans="1:6" x14ac:dyDescent="0.45">
      <c r="A223" s="58" t="s">
        <v>39</v>
      </c>
      <c r="B223" s="2" t="s">
        <v>105</v>
      </c>
      <c r="C223" s="2" t="s">
        <v>106</v>
      </c>
      <c r="D223" s="2" t="s">
        <v>80</v>
      </c>
      <c r="E223" s="2" t="s">
        <v>23</v>
      </c>
      <c r="F223" s="81">
        <f>'Final Output'!K14</f>
        <v>-0.16900095705190588</v>
      </c>
    </row>
    <row r="224" spans="1:6" x14ac:dyDescent="0.45">
      <c r="A224" s="58" t="s">
        <v>39</v>
      </c>
      <c r="B224" s="2" t="s">
        <v>107</v>
      </c>
      <c r="C224" s="2" t="s">
        <v>108</v>
      </c>
      <c r="D224" s="2" t="s">
        <v>80</v>
      </c>
      <c r="E224" s="2" t="s">
        <v>23</v>
      </c>
      <c r="F224" s="81">
        <f>'Final Output'!K15</f>
        <v>-5.7814712460340277E-2</v>
      </c>
    </row>
    <row r="225" spans="1:12" x14ac:dyDescent="0.45">
      <c r="A225" s="58" t="s">
        <v>39</v>
      </c>
      <c r="B225" s="2" t="s">
        <v>109</v>
      </c>
      <c r="C225" s="2" t="s">
        <v>110</v>
      </c>
      <c r="D225" s="2" t="s">
        <v>80</v>
      </c>
      <c r="E225" s="2" t="s">
        <v>23</v>
      </c>
      <c r="F225" s="81">
        <f>'Final Output'!K16</f>
        <v>-1.598808473882625E-2</v>
      </c>
    </row>
    <row r="226" spans="1:12" x14ac:dyDescent="0.45">
      <c r="A226" s="58" t="s">
        <v>39</v>
      </c>
      <c r="B226" s="2" t="s">
        <v>111</v>
      </c>
      <c r="C226" s="2" t="s">
        <v>112</v>
      </c>
      <c r="D226" s="2" t="s">
        <v>80</v>
      </c>
      <c r="E226" s="2" t="s">
        <v>23</v>
      </c>
      <c r="F226" s="81">
        <f>'Final Output'!K17</f>
        <v>2.336807268800678E-2</v>
      </c>
    </row>
    <row r="227" spans="1:12" x14ac:dyDescent="0.45">
      <c r="A227" s="58" t="s">
        <v>39</v>
      </c>
      <c r="B227" s="2" t="s">
        <v>113</v>
      </c>
      <c r="C227" s="2" t="s">
        <v>114</v>
      </c>
      <c r="D227" s="2" t="s">
        <v>80</v>
      </c>
      <c r="E227" s="2" t="s">
        <v>23</v>
      </c>
      <c r="F227" s="81">
        <f>'Final Output'!K18</f>
        <v>0.10120107690616308</v>
      </c>
    </row>
    <row r="228" spans="1:12" x14ac:dyDescent="0.45">
      <c r="A228" s="58" t="s">
        <v>39</v>
      </c>
      <c r="B228" s="2" t="s">
        <v>115</v>
      </c>
      <c r="C228" s="2" t="s">
        <v>116</v>
      </c>
      <c r="D228" s="2" t="s">
        <v>80</v>
      </c>
      <c r="E228" s="2" t="s">
        <v>23</v>
      </c>
      <c r="F228" s="81">
        <f>'Final Output'!K19</f>
        <v>0.13988190834738626</v>
      </c>
    </row>
    <row r="229" spans="1:12" x14ac:dyDescent="0.45">
      <c r="A229" s="58" t="s">
        <v>39</v>
      </c>
      <c r="B229" s="2" t="s">
        <v>117</v>
      </c>
      <c r="C229" s="2" t="s">
        <v>118</v>
      </c>
      <c r="D229" s="2" t="s">
        <v>80</v>
      </c>
      <c r="E229" s="2" t="s">
        <v>23</v>
      </c>
      <c r="F229" s="81">
        <f>'Final Output'!K20</f>
        <v>0.15595512485026133</v>
      </c>
    </row>
    <row r="230" spans="1:12" x14ac:dyDescent="0.45">
      <c r="A230" s="58" t="s">
        <v>39</v>
      </c>
      <c r="B230" s="2" t="s">
        <v>119</v>
      </c>
      <c r="C230" s="2" t="s">
        <v>120</v>
      </c>
      <c r="D230" s="2" t="s">
        <v>80</v>
      </c>
      <c r="E230" s="2" t="s">
        <v>23</v>
      </c>
      <c r="F230" s="81">
        <f>'Final Output'!K21</f>
        <v>0.18740096821179586</v>
      </c>
    </row>
    <row r="231" spans="1:12" x14ac:dyDescent="0.45">
      <c r="A231" s="58" t="s">
        <v>39</v>
      </c>
      <c r="B231" s="2" t="s">
        <v>121</v>
      </c>
      <c r="C231" s="2" t="s">
        <v>122</v>
      </c>
      <c r="D231" s="2" t="s">
        <v>80</v>
      </c>
      <c r="E231" s="2" t="s">
        <v>23</v>
      </c>
      <c r="F231" s="81">
        <f>'Final Output'!K22</f>
        <v>0.23698424711632793</v>
      </c>
    </row>
    <row r="232" spans="1:12" x14ac:dyDescent="0.45">
      <c r="A232" s="58" t="s">
        <v>39</v>
      </c>
      <c r="B232" s="2" t="s">
        <v>123</v>
      </c>
      <c r="C232" s="2" t="s">
        <v>124</v>
      </c>
      <c r="D232" s="2" t="s">
        <v>80</v>
      </c>
      <c r="E232" s="2" t="s">
        <v>23</v>
      </c>
      <c r="F232" s="81">
        <f>'Final Output'!K23</f>
        <v>0.325561892905676</v>
      </c>
    </row>
    <row r="233" spans="1:12" x14ac:dyDescent="0.45">
      <c r="A233" s="58" t="s">
        <v>39</v>
      </c>
      <c r="B233" s="2" t="s">
        <v>125</v>
      </c>
      <c r="C233" s="2" t="s">
        <v>126</v>
      </c>
      <c r="D233" s="2" t="s">
        <v>80</v>
      </c>
      <c r="E233" s="2" t="s">
        <v>23</v>
      </c>
      <c r="F233" s="81">
        <f>'Final Output'!K24</f>
        <v>0.37284954380055824</v>
      </c>
    </row>
    <row r="234" spans="1:12" x14ac:dyDescent="0.45">
      <c r="A234" s="58" t="s">
        <v>39</v>
      </c>
      <c r="B234" s="2" t="s">
        <v>127</v>
      </c>
      <c r="C234" s="2" t="s">
        <v>128</v>
      </c>
      <c r="D234" s="2" t="s">
        <v>80</v>
      </c>
      <c r="E234" s="2" t="s">
        <v>23</v>
      </c>
      <c r="F234" s="81">
        <f>'Final Output'!K25</f>
        <v>0.45191454712387891</v>
      </c>
    </row>
    <row r="235" spans="1:12" x14ac:dyDescent="0.45"/>
    <row r="236" spans="1:12" x14ac:dyDescent="0.45"/>
    <row r="237" spans="1:12" s="71" customFormat="1" x14ac:dyDescent="0.45">
      <c r="A237" s="66" t="s">
        <v>49</v>
      </c>
      <c r="B237" s="66"/>
      <c r="C237" s="66"/>
      <c r="D237" s="66"/>
      <c r="E237" s="66"/>
      <c r="F237" s="66"/>
      <c r="G237" s="66"/>
      <c r="H237" s="68"/>
      <c r="I237" s="68"/>
      <c r="J237" s="66"/>
      <c r="K237" s="68"/>
      <c r="L237" s="66"/>
    </row>
    <row r="239" spans="1:12" hidden="1" x14ac:dyDescent="0.45">
      <c r="A239" s="7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10F36128E44943B1120CACFDAE9F7B" ma:contentTypeVersion="18" ma:contentTypeDescription="Create a new document." ma:contentTypeScope="" ma:versionID="dda5e66041eeea5ffa9dd507a65eac01">
  <xsd:schema xmlns:xsd="http://www.w3.org/2001/XMLSchema" xmlns:xs="http://www.w3.org/2001/XMLSchema" xmlns:p="http://schemas.microsoft.com/office/2006/metadata/properties" xmlns:ns2="fadac89a-56fa-4a3d-a427-8ae1dcb95347" xmlns:ns3="71c95305-930c-4d63-9794-2d644343057c" targetNamespace="http://schemas.microsoft.com/office/2006/metadata/properties" ma:root="true" ma:fieldsID="07887bece720a3db8d95f18e05c1dc4e" ns2:_="" ns3:_="">
    <xsd:import namespace="fadac89a-56fa-4a3d-a427-8ae1dcb95347"/>
    <xsd:import namespace="71c95305-930c-4d63-9794-2d6443430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re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dac89a-56fa-4a3d-a427-8ae1dcb953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ref" ma:index="12" nillable="true" ma:displayName="ref" ma:format="Dropdown" ma:internalName="ref">
      <xsd:simpleType>
        <xsd:restriction base="dms:Text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0e5cfab-624c-4e44-8ff4-7cd112c8ab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95305-930c-4d63-9794-2d644343057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fcfc185-b934-4070-b809-bad603feb5c3}" ma:internalName="TaxCatchAll" ma:showField="CatchAllData" ma:web="71c95305-930c-4d63-9794-2d6443430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dac89a-56fa-4a3d-a427-8ae1dcb95347">
      <Terms xmlns="http://schemas.microsoft.com/office/infopath/2007/PartnerControls"/>
    </lcf76f155ced4ddcb4097134ff3c332f>
    <ref xmlns="fadac89a-56fa-4a3d-a427-8ae1dcb95347" xsi:nil="true"/>
    <TaxCatchAll xmlns="71c95305-930c-4d63-9794-2d644343057c" xsi:nil="true"/>
  </documentManagement>
</p:properties>
</file>

<file path=customXml/itemProps1.xml><?xml version="1.0" encoding="utf-8"?>
<ds:datastoreItem xmlns:ds="http://schemas.openxmlformats.org/officeDocument/2006/customXml" ds:itemID="{853AC3A3-0E5E-4A9E-AD63-402A4BE3F2B8}"/>
</file>

<file path=customXml/itemProps2.xml><?xml version="1.0" encoding="utf-8"?>
<ds:datastoreItem xmlns:ds="http://schemas.openxmlformats.org/officeDocument/2006/customXml" ds:itemID="{F7D16D1D-EA5E-4740-B874-3956A71D105B}"/>
</file>

<file path=customXml/itemProps3.xml><?xml version="1.0" encoding="utf-8"?>
<ds:datastoreItem xmlns:ds="http://schemas.openxmlformats.org/officeDocument/2006/customXml" ds:itemID="{297404B8-1C7A-49F3-9497-69550E2C0BB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Conceptual Model</vt:lpstr>
      <vt:lpstr>F_Inputs</vt:lpstr>
      <vt:lpstr>Inputs_All</vt:lpstr>
      <vt:lpstr>Proxy PCL</vt:lpstr>
      <vt:lpstr>Difference to PCL</vt:lpstr>
      <vt:lpstr>Percentiles</vt:lpstr>
      <vt:lpstr>Final Output</vt:lpstr>
      <vt:lpstr>F_Outputs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2024-12-12T11:42:39Z</dcterms:created>
  <dcterms:modified xsi:type="dcterms:W3CDTF">2024-12-12T16:43:44Z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0x0101004010F36128E44943B1120CACFDAE9F7B</vt:lpwstr>
  </property>
</Properties>
</file>